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오성업무\"/>
    </mc:Choice>
  </mc:AlternateContent>
  <bookViews>
    <workbookView xWindow="0" yWindow="0" windowWidth="28800" windowHeight="12870" activeTab="1"/>
  </bookViews>
  <sheets>
    <sheet name="엑셀업로드양식" sheetId="1" r:id="rId1"/>
    <sheet name="마스터시트" sheetId="2" r:id="rId2"/>
    <sheet name="파일1" sheetId="3" r:id="rId3"/>
  </sheets>
  <calcPr calcId="162913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638" i="2" l="1"/>
  <c r="P638" i="2"/>
  <c r="O638" i="2"/>
  <c r="K7" i="1" l="1"/>
  <c r="K8" i="1"/>
  <c r="T8" i="1" s="1"/>
  <c r="K9" i="1"/>
  <c r="K10" i="1"/>
  <c r="K11" i="1"/>
  <c r="U11" i="1" s="1"/>
  <c r="K12" i="1"/>
  <c r="M12" i="1" s="1"/>
  <c r="K13" i="1"/>
  <c r="BG13" i="1" s="1"/>
  <c r="K14" i="1"/>
  <c r="Q14" i="1" s="1"/>
  <c r="K15" i="1"/>
  <c r="Y15" i="1" s="1"/>
  <c r="K16" i="1"/>
  <c r="N16" i="1" s="1"/>
  <c r="K17" i="1"/>
  <c r="BG17" i="1" s="1"/>
  <c r="K18" i="1"/>
  <c r="N18" i="1" s="1"/>
  <c r="K19" i="1"/>
  <c r="N19" i="1" s="1"/>
  <c r="K20" i="1"/>
  <c r="N20" i="1" s="1"/>
  <c r="K21" i="1"/>
  <c r="B21" i="1" s="1"/>
  <c r="K22" i="1"/>
  <c r="N22" i="1" s="1"/>
  <c r="K23" i="1"/>
  <c r="N23" i="1" s="1"/>
  <c r="K24" i="1"/>
  <c r="N24" i="1" s="1"/>
  <c r="K25" i="1"/>
  <c r="K26" i="1"/>
  <c r="K27" i="1"/>
  <c r="Y27" i="1" s="1"/>
  <c r="K28" i="1"/>
  <c r="M28" i="1" s="1"/>
  <c r="K29" i="1"/>
  <c r="Z29" i="1" s="1"/>
  <c r="K30" i="1"/>
  <c r="J30" i="1" s="1"/>
  <c r="K31" i="1"/>
  <c r="B31" i="1" s="1"/>
  <c r="K32" i="1"/>
  <c r="N32" i="1" s="1"/>
  <c r="K33" i="1"/>
  <c r="J33" i="1" s="1"/>
  <c r="K34" i="1"/>
  <c r="N34" i="1" s="1"/>
  <c r="K35" i="1"/>
  <c r="N35" i="1" s="1"/>
  <c r="K36" i="1"/>
  <c r="N36" i="1" s="1"/>
  <c r="K37" i="1"/>
  <c r="B37" i="1" s="1"/>
  <c r="K38" i="1"/>
  <c r="B38" i="1" s="1"/>
  <c r="K39" i="1"/>
  <c r="K40" i="1"/>
  <c r="K41" i="1"/>
  <c r="K42" i="1"/>
  <c r="K43" i="1"/>
  <c r="F43" i="1" s="1"/>
  <c r="K44" i="1"/>
  <c r="J44" i="1" s="1"/>
  <c r="K45" i="1"/>
  <c r="K46" i="1"/>
  <c r="B46" i="1" s="1"/>
  <c r="K47" i="1"/>
  <c r="B47" i="1" s="1"/>
  <c r="K48" i="1"/>
  <c r="K49" i="1"/>
  <c r="D49" i="1" s="1"/>
  <c r="K50" i="1"/>
  <c r="N50" i="1" s="1"/>
  <c r="K51" i="1"/>
  <c r="N51" i="1" s="1"/>
  <c r="K52" i="1"/>
  <c r="N52" i="1" s="1"/>
  <c r="K53" i="1"/>
  <c r="B53" i="1" s="1"/>
  <c r="K54" i="1"/>
  <c r="N54" i="1" s="1"/>
  <c r="K55" i="1"/>
  <c r="K56" i="1"/>
  <c r="K57" i="1"/>
  <c r="K58" i="1"/>
  <c r="K59" i="1"/>
  <c r="N59" i="1" s="1"/>
  <c r="K60" i="1"/>
  <c r="N60" i="1" s="1"/>
  <c r="K61" i="1"/>
  <c r="AB61" i="1" s="1"/>
  <c r="K62" i="1"/>
  <c r="B62" i="1" s="1"/>
  <c r="K63" i="1"/>
  <c r="B63" i="1" s="1"/>
  <c r="K64" i="1"/>
  <c r="K65" i="1"/>
  <c r="H65" i="1" s="1"/>
  <c r="K66" i="1"/>
  <c r="N66" i="1" s="1"/>
  <c r="K67" i="1"/>
  <c r="N67" i="1" s="1"/>
  <c r="K68" i="1"/>
  <c r="N68" i="1" s="1"/>
  <c r="K69" i="1"/>
  <c r="B69" i="1" s="1"/>
  <c r="K70" i="1"/>
  <c r="J70" i="1" s="1"/>
  <c r="K71" i="1"/>
  <c r="K72" i="1"/>
  <c r="K73" i="1"/>
  <c r="K74" i="1"/>
  <c r="K75" i="1"/>
  <c r="N75" i="1" s="1"/>
  <c r="K76" i="1"/>
  <c r="N76" i="1" s="1"/>
  <c r="K77" i="1"/>
  <c r="B77" i="1" s="1"/>
  <c r="K78" i="1"/>
  <c r="B78" i="1" s="1"/>
  <c r="K79" i="1"/>
  <c r="B79" i="1" s="1"/>
  <c r="K80" i="1"/>
  <c r="B80" i="1" s="1"/>
  <c r="K81" i="1"/>
  <c r="B81" i="1" s="1"/>
  <c r="K82" i="1"/>
  <c r="N82" i="1" s="1"/>
  <c r="K83" i="1"/>
  <c r="D83" i="1" s="1"/>
  <c r="K84" i="1"/>
  <c r="A84" i="1" s="1"/>
  <c r="K85" i="1"/>
  <c r="B85" i="1" s="1"/>
  <c r="K86" i="1"/>
  <c r="B86" i="1" s="1"/>
  <c r="K87" i="1"/>
  <c r="K88" i="1"/>
  <c r="K89" i="1"/>
  <c r="B8" i="1"/>
  <c r="W8" i="1" s="1"/>
  <c r="B9" i="1"/>
  <c r="B10" i="1"/>
  <c r="B11" i="1"/>
  <c r="W11" i="1" s="1"/>
  <c r="B12" i="1"/>
  <c r="B13" i="1"/>
  <c r="W13" i="1" s="1"/>
  <c r="B16" i="1"/>
  <c r="B17" i="1"/>
  <c r="B18" i="1"/>
  <c r="B23" i="1"/>
  <c r="B24" i="1"/>
  <c r="B25" i="1"/>
  <c r="B26" i="1"/>
  <c r="B39" i="1"/>
  <c r="B40" i="1"/>
  <c r="B41" i="1"/>
  <c r="B42" i="1"/>
  <c r="B43" i="1"/>
  <c r="B44" i="1"/>
  <c r="B45" i="1"/>
  <c r="B48" i="1"/>
  <c r="W48" i="1" s="1"/>
  <c r="B55" i="1"/>
  <c r="B56" i="1"/>
  <c r="B57" i="1"/>
  <c r="B58" i="1"/>
  <c r="B59" i="1"/>
  <c r="B61" i="1"/>
  <c r="B64" i="1"/>
  <c r="B65" i="1"/>
  <c r="B71" i="1"/>
  <c r="B72" i="1"/>
  <c r="W72" i="1" s="1"/>
  <c r="B73" i="1"/>
  <c r="B74" i="1"/>
  <c r="B75" i="1"/>
  <c r="B7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W99" i="1" s="1"/>
  <c r="B100" i="1"/>
  <c r="B101" i="1"/>
  <c r="B102" i="1"/>
  <c r="B103" i="1"/>
  <c r="B104" i="1"/>
  <c r="W104" i="1" s="1"/>
  <c r="B105" i="1"/>
  <c r="B106" i="1"/>
  <c r="N8" i="1"/>
  <c r="N9" i="1"/>
  <c r="N10" i="1"/>
  <c r="N13" i="1"/>
  <c r="N25" i="1"/>
  <c r="N26" i="1"/>
  <c r="N39" i="1"/>
  <c r="N40" i="1"/>
  <c r="N41" i="1"/>
  <c r="N42" i="1"/>
  <c r="N45" i="1"/>
  <c r="N46" i="1"/>
  <c r="N48" i="1"/>
  <c r="N49" i="1"/>
  <c r="N55" i="1"/>
  <c r="N56" i="1"/>
  <c r="N57" i="1"/>
  <c r="N58" i="1"/>
  <c r="N61" i="1"/>
  <c r="N64" i="1"/>
  <c r="N65" i="1"/>
  <c r="N71" i="1"/>
  <c r="N72" i="1"/>
  <c r="N73" i="1"/>
  <c r="N74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7" i="1"/>
  <c r="M7" i="1"/>
  <c r="O7" i="1"/>
  <c r="Q1946" i="2"/>
  <c r="P1946" i="2"/>
  <c r="O1946" i="2"/>
  <c r="Q1945" i="2"/>
  <c r="P1945" i="2"/>
  <c r="O1945" i="2"/>
  <c r="Q1944" i="2"/>
  <c r="P1944" i="2"/>
  <c r="O1944" i="2"/>
  <c r="Q1943" i="2"/>
  <c r="P1943" i="2"/>
  <c r="O1943" i="2"/>
  <c r="Q1942" i="2"/>
  <c r="P1942" i="2"/>
  <c r="O1942" i="2"/>
  <c r="Q1941" i="2"/>
  <c r="P1941" i="2"/>
  <c r="O1941" i="2"/>
  <c r="Q1940" i="2"/>
  <c r="P1940" i="2"/>
  <c r="O1940" i="2"/>
  <c r="Q1939" i="2"/>
  <c r="P1939" i="2"/>
  <c r="O1939" i="2"/>
  <c r="Q1938" i="2"/>
  <c r="P1938" i="2"/>
  <c r="O1938" i="2"/>
  <c r="Q1937" i="2"/>
  <c r="P1937" i="2"/>
  <c r="O1937" i="2"/>
  <c r="Q1936" i="2"/>
  <c r="P1936" i="2"/>
  <c r="O1936" i="2"/>
  <c r="Q1935" i="2"/>
  <c r="P1935" i="2"/>
  <c r="O1935" i="2"/>
  <c r="Q1934" i="2"/>
  <c r="P1934" i="2"/>
  <c r="O1934" i="2"/>
  <c r="Q1933" i="2"/>
  <c r="P1933" i="2"/>
  <c r="O1933" i="2"/>
  <c r="Q1932" i="2"/>
  <c r="P1932" i="2"/>
  <c r="O1932" i="2"/>
  <c r="Q1931" i="2"/>
  <c r="P1931" i="2"/>
  <c r="O1931" i="2"/>
  <c r="Q1930" i="2"/>
  <c r="P1930" i="2"/>
  <c r="O1930" i="2"/>
  <c r="Q1929" i="2"/>
  <c r="P1929" i="2"/>
  <c r="O1929" i="2"/>
  <c r="Q1928" i="2"/>
  <c r="P1928" i="2"/>
  <c r="O1928" i="2"/>
  <c r="Q1927" i="2"/>
  <c r="P1927" i="2"/>
  <c r="O1927" i="2"/>
  <c r="Q1926" i="2"/>
  <c r="P1926" i="2"/>
  <c r="O1926" i="2"/>
  <c r="Q1925" i="2"/>
  <c r="P1925" i="2"/>
  <c r="O1925" i="2"/>
  <c r="Q1924" i="2"/>
  <c r="P1924" i="2"/>
  <c r="O1924" i="2"/>
  <c r="Q1923" i="2"/>
  <c r="P1923" i="2"/>
  <c r="O1923" i="2"/>
  <c r="Q1922" i="2"/>
  <c r="P1922" i="2"/>
  <c r="O1922" i="2"/>
  <c r="Q1921" i="2"/>
  <c r="P1921" i="2"/>
  <c r="O1921" i="2"/>
  <c r="Q1920" i="2"/>
  <c r="P1920" i="2"/>
  <c r="O1920" i="2"/>
  <c r="Q1919" i="2"/>
  <c r="P1919" i="2"/>
  <c r="O1919" i="2"/>
  <c r="Q1918" i="2"/>
  <c r="P1918" i="2"/>
  <c r="O1918" i="2"/>
  <c r="Q1917" i="2"/>
  <c r="P1917" i="2"/>
  <c r="O1917" i="2"/>
  <c r="Q1916" i="2"/>
  <c r="P1916" i="2"/>
  <c r="O1916" i="2"/>
  <c r="Q1915" i="2"/>
  <c r="P1915" i="2"/>
  <c r="O1915" i="2"/>
  <c r="Q1914" i="2"/>
  <c r="P1914" i="2"/>
  <c r="O1914" i="2"/>
  <c r="Q1913" i="2"/>
  <c r="P1913" i="2"/>
  <c r="O1913" i="2"/>
  <c r="Q1912" i="2"/>
  <c r="P1912" i="2"/>
  <c r="O1912" i="2"/>
  <c r="Q1911" i="2"/>
  <c r="P1911" i="2"/>
  <c r="O1911" i="2"/>
  <c r="Q1910" i="2"/>
  <c r="P1910" i="2"/>
  <c r="O1910" i="2"/>
  <c r="Q1909" i="2"/>
  <c r="P1909" i="2"/>
  <c r="O1909" i="2"/>
  <c r="Q1908" i="2"/>
  <c r="P1908" i="2"/>
  <c r="O1908" i="2"/>
  <c r="Q1907" i="2"/>
  <c r="P1907" i="2"/>
  <c r="O1907" i="2"/>
  <c r="Q1906" i="2"/>
  <c r="P1906" i="2"/>
  <c r="O1906" i="2"/>
  <c r="Q1905" i="2"/>
  <c r="P1905" i="2"/>
  <c r="O1905" i="2"/>
  <c r="Q1904" i="2"/>
  <c r="P1904" i="2"/>
  <c r="O1904" i="2"/>
  <c r="Q1903" i="2"/>
  <c r="P1903" i="2"/>
  <c r="O1903" i="2"/>
  <c r="Q1902" i="2"/>
  <c r="P1902" i="2"/>
  <c r="O1902" i="2"/>
  <c r="Q1901" i="2"/>
  <c r="P1901" i="2"/>
  <c r="O1901" i="2"/>
  <c r="Q1900" i="2"/>
  <c r="P1900" i="2"/>
  <c r="O1900" i="2"/>
  <c r="Q1899" i="2"/>
  <c r="P1899" i="2"/>
  <c r="O1899" i="2"/>
  <c r="Q1898" i="2"/>
  <c r="P1898" i="2"/>
  <c r="O1898" i="2"/>
  <c r="Q1897" i="2"/>
  <c r="P1897" i="2"/>
  <c r="O1897" i="2"/>
  <c r="Q1896" i="2"/>
  <c r="P1896" i="2"/>
  <c r="O1896" i="2"/>
  <c r="Q1895" i="2"/>
  <c r="P1895" i="2"/>
  <c r="O1895" i="2"/>
  <c r="Q1894" i="2"/>
  <c r="P1894" i="2"/>
  <c r="O1894" i="2"/>
  <c r="Q1893" i="2"/>
  <c r="P1893" i="2"/>
  <c r="O1893" i="2"/>
  <c r="Q1892" i="2"/>
  <c r="P1892" i="2"/>
  <c r="O1892" i="2"/>
  <c r="Q1891" i="2"/>
  <c r="P1891" i="2"/>
  <c r="O1891" i="2"/>
  <c r="Q1890" i="2"/>
  <c r="P1890" i="2"/>
  <c r="O1890" i="2"/>
  <c r="Q1889" i="2"/>
  <c r="P1889" i="2"/>
  <c r="O1889" i="2"/>
  <c r="Q1888" i="2"/>
  <c r="P1888" i="2"/>
  <c r="O1888" i="2"/>
  <c r="Q1887" i="2"/>
  <c r="P1887" i="2"/>
  <c r="O1887" i="2"/>
  <c r="Q1886" i="2"/>
  <c r="P1886" i="2"/>
  <c r="O1886" i="2"/>
  <c r="Q1885" i="2"/>
  <c r="P1885" i="2"/>
  <c r="O1885" i="2"/>
  <c r="Q1884" i="2"/>
  <c r="P1884" i="2"/>
  <c r="O1884" i="2"/>
  <c r="Q1883" i="2"/>
  <c r="P1883" i="2"/>
  <c r="O1883" i="2"/>
  <c r="Q1882" i="2"/>
  <c r="P1882" i="2"/>
  <c r="O1882" i="2"/>
  <c r="Q1881" i="2"/>
  <c r="P1881" i="2"/>
  <c r="O1881" i="2"/>
  <c r="Q1880" i="2"/>
  <c r="P1880" i="2"/>
  <c r="O1880" i="2"/>
  <c r="Q1879" i="2"/>
  <c r="P1879" i="2"/>
  <c r="O1879" i="2"/>
  <c r="Q1878" i="2"/>
  <c r="P1878" i="2"/>
  <c r="O1878" i="2"/>
  <c r="Q1877" i="2"/>
  <c r="P1877" i="2"/>
  <c r="O1877" i="2"/>
  <c r="Q1876" i="2"/>
  <c r="P1876" i="2"/>
  <c r="O1876" i="2"/>
  <c r="Q1875" i="2"/>
  <c r="P1875" i="2"/>
  <c r="O1875" i="2"/>
  <c r="Q1874" i="2"/>
  <c r="P1874" i="2"/>
  <c r="O1874" i="2"/>
  <c r="Q1873" i="2"/>
  <c r="P1873" i="2"/>
  <c r="O1873" i="2"/>
  <c r="Q1872" i="2"/>
  <c r="P1872" i="2"/>
  <c r="O1872" i="2"/>
  <c r="Q1871" i="2"/>
  <c r="P1871" i="2"/>
  <c r="O1871" i="2"/>
  <c r="Q1870" i="2"/>
  <c r="P1870" i="2"/>
  <c r="O1870" i="2"/>
  <c r="Q1869" i="2"/>
  <c r="P1869" i="2"/>
  <c r="O1869" i="2"/>
  <c r="Q1868" i="2"/>
  <c r="P1868" i="2"/>
  <c r="O1868" i="2"/>
  <c r="Q1867" i="2"/>
  <c r="P1867" i="2"/>
  <c r="O1867" i="2"/>
  <c r="Q1866" i="2"/>
  <c r="P1866" i="2"/>
  <c r="O1866" i="2"/>
  <c r="Q1865" i="2"/>
  <c r="P1865" i="2"/>
  <c r="O1865" i="2"/>
  <c r="Q1864" i="2"/>
  <c r="P1864" i="2"/>
  <c r="O1864" i="2"/>
  <c r="Q1863" i="2"/>
  <c r="P1863" i="2"/>
  <c r="O1863" i="2"/>
  <c r="Q1862" i="2"/>
  <c r="P1862" i="2"/>
  <c r="O1862" i="2"/>
  <c r="Q1861" i="2"/>
  <c r="P1861" i="2"/>
  <c r="O1861" i="2"/>
  <c r="Q1860" i="2"/>
  <c r="P1860" i="2"/>
  <c r="O1860" i="2"/>
  <c r="Q1859" i="2"/>
  <c r="P1859" i="2"/>
  <c r="O1859" i="2"/>
  <c r="Q1858" i="2"/>
  <c r="P1858" i="2"/>
  <c r="O1858" i="2"/>
  <c r="Q1857" i="2"/>
  <c r="P1857" i="2"/>
  <c r="O1857" i="2"/>
  <c r="Q1856" i="2"/>
  <c r="P1856" i="2"/>
  <c r="O1856" i="2"/>
  <c r="Q1855" i="2"/>
  <c r="P1855" i="2"/>
  <c r="O1855" i="2"/>
  <c r="Q1854" i="2"/>
  <c r="P1854" i="2"/>
  <c r="O1854" i="2"/>
  <c r="Q1853" i="2"/>
  <c r="P1853" i="2"/>
  <c r="O1853" i="2"/>
  <c r="Q1852" i="2"/>
  <c r="P1852" i="2"/>
  <c r="O1852" i="2"/>
  <c r="Q1851" i="2"/>
  <c r="P1851" i="2"/>
  <c r="O1851" i="2"/>
  <c r="Q1850" i="2"/>
  <c r="P1850" i="2"/>
  <c r="O1850" i="2"/>
  <c r="Q1849" i="2"/>
  <c r="P1849" i="2"/>
  <c r="O1849" i="2"/>
  <c r="Q1848" i="2"/>
  <c r="P1848" i="2"/>
  <c r="O1848" i="2"/>
  <c r="Q1847" i="2"/>
  <c r="P1847" i="2"/>
  <c r="O1847" i="2"/>
  <c r="Q1846" i="2"/>
  <c r="P1846" i="2"/>
  <c r="O1846" i="2"/>
  <c r="Q1845" i="2"/>
  <c r="P1845" i="2"/>
  <c r="O1845" i="2"/>
  <c r="Q1844" i="2"/>
  <c r="P1844" i="2"/>
  <c r="O1844" i="2"/>
  <c r="Q1843" i="2"/>
  <c r="P1843" i="2"/>
  <c r="O1843" i="2"/>
  <c r="Q1842" i="2"/>
  <c r="P1842" i="2"/>
  <c r="O1842" i="2"/>
  <c r="Q1841" i="2"/>
  <c r="P1841" i="2"/>
  <c r="O1841" i="2"/>
  <c r="Q1840" i="2"/>
  <c r="P1840" i="2"/>
  <c r="O1840" i="2"/>
  <c r="Q1839" i="2"/>
  <c r="P1839" i="2"/>
  <c r="O1839" i="2"/>
  <c r="Q1838" i="2"/>
  <c r="P1838" i="2"/>
  <c r="O1838" i="2"/>
  <c r="Q1837" i="2"/>
  <c r="P1837" i="2"/>
  <c r="O1837" i="2"/>
  <c r="Q1836" i="2"/>
  <c r="P1836" i="2"/>
  <c r="O1836" i="2"/>
  <c r="Q1835" i="2"/>
  <c r="P1835" i="2"/>
  <c r="O1835" i="2"/>
  <c r="Q1834" i="2"/>
  <c r="P1834" i="2"/>
  <c r="O1834" i="2"/>
  <c r="Q1833" i="2"/>
  <c r="P1833" i="2"/>
  <c r="O1833" i="2"/>
  <c r="Q1832" i="2"/>
  <c r="P1832" i="2"/>
  <c r="O1832" i="2"/>
  <c r="Q1831" i="2"/>
  <c r="P1831" i="2"/>
  <c r="O1831" i="2"/>
  <c r="Q1830" i="2"/>
  <c r="P1830" i="2"/>
  <c r="O1830" i="2"/>
  <c r="Q1829" i="2"/>
  <c r="P1829" i="2"/>
  <c r="O1829" i="2"/>
  <c r="Q1828" i="2"/>
  <c r="P1828" i="2"/>
  <c r="O1828" i="2"/>
  <c r="Q1827" i="2"/>
  <c r="P1827" i="2"/>
  <c r="O1827" i="2"/>
  <c r="Q1826" i="2"/>
  <c r="P1826" i="2"/>
  <c r="O1826" i="2"/>
  <c r="Q1825" i="2"/>
  <c r="P1825" i="2"/>
  <c r="O1825" i="2"/>
  <c r="Q1824" i="2"/>
  <c r="P1824" i="2"/>
  <c r="O1824" i="2"/>
  <c r="Q1823" i="2"/>
  <c r="P1823" i="2"/>
  <c r="O1823" i="2"/>
  <c r="Q1822" i="2"/>
  <c r="P1822" i="2"/>
  <c r="O1822" i="2"/>
  <c r="Q1821" i="2"/>
  <c r="P1821" i="2"/>
  <c r="O1821" i="2"/>
  <c r="Q1820" i="2"/>
  <c r="P1820" i="2"/>
  <c r="O1820" i="2"/>
  <c r="Q1819" i="2"/>
  <c r="P1819" i="2"/>
  <c r="O1819" i="2"/>
  <c r="Q1818" i="2"/>
  <c r="P1818" i="2"/>
  <c r="O1818" i="2"/>
  <c r="Q1817" i="2"/>
  <c r="P1817" i="2"/>
  <c r="O1817" i="2"/>
  <c r="Q1816" i="2"/>
  <c r="P1816" i="2"/>
  <c r="O1816" i="2"/>
  <c r="Q1815" i="2"/>
  <c r="P1815" i="2"/>
  <c r="O1815" i="2"/>
  <c r="Q1814" i="2"/>
  <c r="P1814" i="2"/>
  <c r="O1814" i="2"/>
  <c r="Q1813" i="2"/>
  <c r="P1813" i="2"/>
  <c r="O1813" i="2"/>
  <c r="Q1812" i="2"/>
  <c r="P1812" i="2"/>
  <c r="O1812" i="2"/>
  <c r="Q1811" i="2"/>
  <c r="P1811" i="2"/>
  <c r="O1811" i="2"/>
  <c r="Q1810" i="2"/>
  <c r="P1810" i="2"/>
  <c r="O1810" i="2"/>
  <c r="Q1809" i="2"/>
  <c r="P1809" i="2"/>
  <c r="O1809" i="2"/>
  <c r="Q1808" i="2"/>
  <c r="P1808" i="2"/>
  <c r="O1808" i="2"/>
  <c r="Q1807" i="2"/>
  <c r="P1807" i="2"/>
  <c r="O1807" i="2"/>
  <c r="Q1806" i="2"/>
  <c r="P1806" i="2"/>
  <c r="O1806" i="2"/>
  <c r="Q1805" i="2"/>
  <c r="P1805" i="2"/>
  <c r="O1805" i="2"/>
  <c r="Q1804" i="2"/>
  <c r="P1804" i="2"/>
  <c r="O1804" i="2"/>
  <c r="Q1803" i="2"/>
  <c r="P1803" i="2"/>
  <c r="O1803" i="2"/>
  <c r="Q1802" i="2"/>
  <c r="P1802" i="2"/>
  <c r="O1802" i="2"/>
  <c r="Q1801" i="2"/>
  <c r="P1801" i="2"/>
  <c r="O1801" i="2"/>
  <c r="Q1800" i="2"/>
  <c r="P1800" i="2"/>
  <c r="O1800" i="2"/>
  <c r="Q1799" i="2"/>
  <c r="P1799" i="2"/>
  <c r="O1799" i="2"/>
  <c r="Q1798" i="2"/>
  <c r="P1798" i="2"/>
  <c r="O1798" i="2"/>
  <c r="Q1797" i="2"/>
  <c r="P1797" i="2"/>
  <c r="O1797" i="2"/>
  <c r="Q1796" i="2"/>
  <c r="P1796" i="2"/>
  <c r="O1796" i="2"/>
  <c r="Q1795" i="2"/>
  <c r="P1795" i="2"/>
  <c r="O1795" i="2"/>
  <c r="Q1794" i="2"/>
  <c r="P1794" i="2"/>
  <c r="O1794" i="2"/>
  <c r="Q1793" i="2"/>
  <c r="P1793" i="2"/>
  <c r="O1793" i="2"/>
  <c r="Q1792" i="2"/>
  <c r="P1792" i="2"/>
  <c r="O1792" i="2"/>
  <c r="Q1791" i="2"/>
  <c r="P1791" i="2"/>
  <c r="O1791" i="2"/>
  <c r="Q1790" i="2"/>
  <c r="P1790" i="2"/>
  <c r="O1790" i="2"/>
  <c r="Q1789" i="2"/>
  <c r="P1789" i="2"/>
  <c r="O1789" i="2"/>
  <c r="Q1788" i="2"/>
  <c r="P1788" i="2"/>
  <c r="O1788" i="2"/>
  <c r="Q1787" i="2"/>
  <c r="P1787" i="2"/>
  <c r="O1787" i="2"/>
  <c r="Q1786" i="2"/>
  <c r="P1786" i="2"/>
  <c r="O1786" i="2"/>
  <c r="Q1785" i="2"/>
  <c r="P1785" i="2"/>
  <c r="O1785" i="2"/>
  <c r="Q1784" i="2"/>
  <c r="P1784" i="2"/>
  <c r="O1784" i="2"/>
  <c r="Q1783" i="2"/>
  <c r="P1783" i="2"/>
  <c r="O1783" i="2"/>
  <c r="Q1782" i="2"/>
  <c r="P1782" i="2"/>
  <c r="O1782" i="2"/>
  <c r="Q1781" i="2"/>
  <c r="P1781" i="2"/>
  <c r="O1781" i="2"/>
  <c r="Q1780" i="2"/>
  <c r="P1780" i="2"/>
  <c r="O1780" i="2"/>
  <c r="Q1779" i="2"/>
  <c r="P1779" i="2"/>
  <c r="O1779" i="2"/>
  <c r="Q1778" i="2"/>
  <c r="P1778" i="2"/>
  <c r="O1778" i="2"/>
  <c r="Q1777" i="2"/>
  <c r="P1777" i="2"/>
  <c r="O1777" i="2"/>
  <c r="Q1776" i="2"/>
  <c r="P1776" i="2"/>
  <c r="O1776" i="2"/>
  <c r="Q1775" i="2"/>
  <c r="P1775" i="2"/>
  <c r="O1775" i="2"/>
  <c r="Q1774" i="2"/>
  <c r="P1774" i="2"/>
  <c r="O1774" i="2"/>
  <c r="Q1773" i="2"/>
  <c r="P1773" i="2"/>
  <c r="O1773" i="2"/>
  <c r="Q1772" i="2"/>
  <c r="P1772" i="2"/>
  <c r="O1772" i="2"/>
  <c r="Q1771" i="2"/>
  <c r="P1771" i="2"/>
  <c r="O1771" i="2"/>
  <c r="Q1770" i="2"/>
  <c r="P1770" i="2"/>
  <c r="O1770" i="2"/>
  <c r="Q1769" i="2"/>
  <c r="P1769" i="2"/>
  <c r="O1769" i="2"/>
  <c r="Q1768" i="2"/>
  <c r="P1768" i="2"/>
  <c r="O1768" i="2"/>
  <c r="Q1767" i="2"/>
  <c r="P1767" i="2"/>
  <c r="O1767" i="2"/>
  <c r="Q1766" i="2"/>
  <c r="P1766" i="2"/>
  <c r="O1766" i="2"/>
  <c r="Q1765" i="2"/>
  <c r="P1765" i="2"/>
  <c r="O1765" i="2"/>
  <c r="Q1764" i="2"/>
  <c r="P1764" i="2"/>
  <c r="O1764" i="2"/>
  <c r="Q1763" i="2"/>
  <c r="P1763" i="2"/>
  <c r="O1763" i="2"/>
  <c r="Q1762" i="2"/>
  <c r="P1762" i="2"/>
  <c r="O1762" i="2"/>
  <c r="Q1761" i="2"/>
  <c r="P1761" i="2"/>
  <c r="O1761" i="2"/>
  <c r="Q1760" i="2"/>
  <c r="P1760" i="2"/>
  <c r="O1760" i="2"/>
  <c r="Q1759" i="2"/>
  <c r="P1759" i="2"/>
  <c r="O1759" i="2"/>
  <c r="Q1758" i="2"/>
  <c r="P1758" i="2"/>
  <c r="O1758" i="2"/>
  <c r="Q1757" i="2"/>
  <c r="P1757" i="2"/>
  <c r="O1757" i="2"/>
  <c r="Q1756" i="2"/>
  <c r="P1756" i="2"/>
  <c r="O1756" i="2"/>
  <c r="Q1755" i="2"/>
  <c r="P1755" i="2"/>
  <c r="O1755" i="2"/>
  <c r="Q1754" i="2"/>
  <c r="P1754" i="2"/>
  <c r="O1754" i="2"/>
  <c r="Q1753" i="2"/>
  <c r="P1753" i="2"/>
  <c r="O1753" i="2"/>
  <c r="Q1752" i="2"/>
  <c r="P1752" i="2"/>
  <c r="O1752" i="2"/>
  <c r="Q1751" i="2"/>
  <c r="P1751" i="2"/>
  <c r="O1751" i="2"/>
  <c r="Q1750" i="2"/>
  <c r="P1750" i="2"/>
  <c r="O1750" i="2"/>
  <c r="Q1749" i="2"/>
  <c r="P1749" i="2"/>
  <c r="O1749" i="2"/>
  <c r="Q1748" i="2"/>
  <c r="P1748" i="2"/>
  <c r="O1748" i="2"/>
  <c r="Q1747" i="2"/>
  <c r="P1747" i="2"/>
  <c r="O1747" i="2"/>
  <c r="Q1746" i="2"/>
  <c r="P1746" i="2"/>
  <c r="O1746" i="2"/>
  <c r="Q1745" i="2"/>
  <c r="P1745" i="2"/>
  <c r="O1745" i="2"/>
  <c r="Q1744" i="2"/>
  <c r="P1744" i="2"/>
  <c r="O1744" i="2"/>
  <c r="Q1743" i="2"/>
  <c r="P1743" i="2"/>
  <c r="O1743" i="2"/>
  <c r="Q1742" i="2"/>
  <c r="P1742" i="2"/>
  <c r="O1742" i="2"/>
  <c r="Q1741" i="2"/>
  <c r="P1741" i="2"/>
  <c r="O1741" i="2"/>
  <c r="Q1740" i="2"/>
  <c r="P1740" i="2"/>
  <c r="O1740" i="2"/>
  <c r="Q1739" i="2"/>
  <c r="P1739" i="2"/>
  <c r="O1739" i="2"/>
  <c r="Q1738" i="2"/>
  <c r="P1738" i="2"/>
  <c r="O1738" i="2"/>
  <c r="Q1737" i="2"/>
  <c r="P1737" i="2"/>
  <c r="O1737" i="2"/>
  <c r="Q1736" i="2"/>
  <c r="P1736" i="2"/>
  <c r="O1736" i="2"/>
  <c r="Q1735" i="2"/>
  <c r="P1735" i="2"/>
  <c r="O1735" i="2"/>
  <c r="Q1734" i="2"/>
  <c r="P1734" i="2"/>
  <c r="O1734" i="2"/>
  <c r="Q1733" i="2"/>
  <c r="P1733" i="2"/>
  <c r="O1733" i="2"/>
  <c r="Q1732" i="2"/>
  <c r="P1732" i="2"/>
  <c r="O1732" i="2"/>
  <c r="Q1731" i="2"/>
  <c r="P1731" i="2"/>
  <c r="O1731" i="2"/>
  <c r="Q1730" i="2"/>
  <c r="P1730" i="2"/>
  <c r="O1730" i="2"/>
  <c r="Q1729" i="2"/>
  <c r="P1729" i="2"/>
  <c r="O1729" i="2"/>
  <c r="Q1728" i="2"/>
  <c r="P1728" i="2"/>
  <c r="O1728" i="2"/>
  <c r="Q1727" i="2"/>
  <c r="P1727" i="2"/>
  <c r="O1727" i="2"/>
  <c r="Q1726" i="2"/>
  <c r="P1726" i="2"/>
  <c r="O1726" i="2"/>
  <c r="Q1725" i="2"/>
  <c r="P1725" i="2"/>
  <c r="O1725" i="2"/>
  <c r="Q1724" i="2"/>
  <c r="P1724" i="2"/>
  <c r="O1724" i="2"/>
  <c r="Q1723" i="2"/>
  <c r="P1723" i="2"/>
  <c r="O1723" i="2"/>
  <c r="Q1722" i="2"/>
  <c r="P1722" i="2"/>
  <c r="O1722" i="2"/>
  <c r="Q1721" i="2"/>
  <c r="P1721" i="2"/>
  <c r="O1721" i="2"/>
  <c r="Q1720" i="2"/>
  <c r="P1720" i="2"/>
  <c r="O1720" i="2"/>
  <c r="Q1719" i="2"/>
  <c r="P1719" i="2"/>
  <c r="O1719" i="2"/>
  <c r="Q1718" i="2"/>
  <c r="P1718" i="2"/>
  <c r="O1718" i="2"/>
  <c r="Q1717" i="2"/>
  <c r="P1717" i="2"/>
  <c r="O1717" i="2"/>
  <c r="Q1716" i="2"/>
  <c r="P1716" i="2"/>
  <c r="O1716" i="2"/>
  <c r="Q1715" i="2"/>
  <c r="P1715" i="2"/>
  <c r="O1715" i="2"/>
  <c r="Q1714" i="2"/>
  <c r="P1714" i="2"/>
  <c r="O1714" i="2"/>
  <c r="Q1713" i="2"/>
  <c r="P1713" i="2"/>
  <c r="O1713" i="2"/>
  <c r="Q1712" i="2"/>
  <c r="P1712" i="2"/>
  <c r="O1712" i="2"/>
  <c r="Q1711" i="2"/>
  <c r="P1711" i="2"/>
  <c r="O1711" i="2"/>
  <c r="Q1710" i="2"/>
  <c r="P1710" i="2"/>
  <c r="O1710" i="2"/>
  <c r="Q1709" i="2"/>
  <c r="P1709" i="2"/>
  <c r="O1709" i="2"/>
  <c r="Q1708" i="2"/>
  <c r="P1708" i="2"/>
  <c r="O1708" i="2"/>
  <c r="Q1707" i="2"/>
  <c r="P1707" i="2"/>
  <c r="O1707" i="2"/>
  <c r="Q1706" i="2"/>
  <c r="P1706" i="2"/>
  <c r="O1706" i="2"/>
  <c r="Q1705" i="2"/>
  <c r="P1705" i="2"/>
  <c r="O1705" i="2"/>
  <c r="Q1704" i="2"/>
  <c r="P1704" i="2"/>
  <c r="O1704" i="2"/>
  <c r="Q1703" i="2"/>
  <c r="P1703" i="2"/>
  <c r="O1703" i="2"/>
  <c r="Q1702" i="2"/>
  <c r="P1702" i="2"/>
  <c r="O1702" i="2"/>
  <c r="Q1701" i="2"/>
  <c r="P1701" i="2"/>
  <c r="O1701" i="2"/>
  <c r="Q1700" i="2"/>
  <c r="P1700" i="2"/>
  <c r="O1700" i="2"/>
  <c r="Q1699" i="2"/>
  <c r="P1699" i="2"/>
  <c r="O1699" i="2"/>
  <c r="Q1698" i="2"/>
  <c r="P1698" i="2"/>
  <c r="O1698" i="2"/>
  <c r="Q1697" i="2"/>
  <c r="P1697" i="2"/>
  <c r="O1697" i="2"/>
  <c r="Q1696" i="2"/>
  <c r="P1696" i="2"/>
  <c r="O1696" i="2"/>
  <c r="Q1695" i="2"/>
  <c r="P1695" i="2"/>
  <c r="O1695" i="2"/>
  <c r="Q1694" i="2"/>
  <c r="P1694" i="2"/>
  <c r="O1694" i="2"/>
  <c r="Q1693" i="2"/>
  <c r="P1693" i="2"/>
  <c r="O1693" i="2"/>
  <c r="Q1692" i="2"/>
  <c r="P1692" i="2"/>
  <c r="O1692" i="2"/>
  <c r="Q1691" i="2"/>
  <c r="P1691" i="2"/>
  <c r="O1691" i="2"/>
  <c r="Q1690" i="2"/>
  <c r="P1690" i="2"/>
  <c r="O1690" i="2"/>
  <c r="Q1689" i="2"/>
  <c r="P1689" i="2"/>
  <c r="O1689" i="2"/>
  <c r="Q1688" i="2"/>
  <c r="P1688" i="2"/>
  <c r="O1688" i="2"/>
  <c r="Q1687" i="2"/>
  <c r="P1687" i="2"/>
  <c r="O1687" i="2"/>
  <c r="Q1686" i="2"/>
  <c r="P1686" i="2"/>
  <c r="O1686" i="2"/>
  <c r="Q1685" i="2"/>
  <c r="P1685" i="2"/>
  <c r="O1685" i="2"/>
  <c r="Q1684" i="2"/>
  <c r="P1684" i="2"/>
  <c r="O1684" i="2"/>
  <c r="Q1683" i="2"/>
  <c r="P1683" i="2"/>
  <c r="O1683" i="2"/>
  <c r="Q1682" i="2"/>
  <c r="P1682" i="2"/>
  <c r="O1682" i="2"/>
  <c r="Q1681" i="2"/>
  <c r="P1681" i="2"/>
  <c r="O1681" i="2"/>
  <c r="Q1680" i="2"/>
  <c r="P1680" i="2"/>
  <c r="O1680" i="2"/>
  <c r="Q1679" i="2"/>
  <c r="P1679" i="2"/>
  <c r="O1679" i="2"/>
  <c r="Q1678" i="2"/>
  <c r="P1678" i="2"/>
  <c r="O1678" i="2"/>
  <c r="Q1677" i="2"/>
  <c r="P1677" i="2"/>
  <c r="O1677" i="2"/>
  <c r="Q1676" i="2"/>
  <c r="P1676" i="2"/>
  <c r="O1676" i="2"/>
  <c r="Q1675" i="2"/>
  <c r="P1675" i="2"/>
  <c r="O1675" i="2"/>
  <c r="Q1674" i="2"/>
  <c r="P1674" i="2"/>
  <c r="O1674" i="2"/>
  <c r="Q1673" i="2"/>
  <c r="P1673" i="2"/>
  <c r="O1673" i="2"/>
  <c r="Q1672" i="2"/>
  <c r="P1672" i="2"/>
  <c r="O1672" i="2"/>
  <c r="Q1671" i="2"/>
  <c r="P1671" i="2"/>
  <c r="O1671" i="2"/>
  <c r="Q1670" i="2"/>
  <c r="P1670" i="2"/>
  <c r="O1670" i="2"/>
  <c r="Q1669" i="2"/>
  <c r="P1669" i="2"/>
  <c r="O1669" i="2"/>
  <c r="Q1668" i="2"/>
  <c r="P1668" i="2"/>
  <c r="O1668" i="2"/>
  <c r="Q1667" i="2"/>
  <c r="P1667" i="2"/>
  <c r="O1667" i="2"/>
  <c r="Q1666" i="2"/>
  <c r="P1666" i="2"/>
  <c r="O1666" i="2"/>
  <c r="Q1665" i="2"/>
  <c r="P1665" i="2"/>
  <c r="O1665" i="2"/>
  <c r="Q1664" i="2"/>
  <c r="P1664" i="2"/>
  <c r="O1664" i="2"/>
  <c r="Q1663" i="2"/>
  <c r="P1663" i="2"/>
  <c r="O1663" i="2"/>
  <c r="Q1662" i="2"/>
  <c r="P1662" i="2"/>
  <c r="O1662" i="2"/>
  <c r="Q1661" i="2"/>
  <c r="P1661" i="2"/>
  <c r="O1661" i="2"/>
  <c r="Q1660" i="2"/>
  <c r="P1660" i="2"/>
  <c r="O1660" i="2"/>
  <c r="Q1659" i="2"/>
  <c r="P1659" i="2"/>
  <c r="O1659" i="2"/>
  <c r="Q1658" i="2"/>
  <c r="P1658" i="2"/>
  <c r="O1658" i="2"/>
  <c r="Q1657" i="2"/>
  <c r="P1657" i="2"/>
  <c r="O1657" i="2"/>
  <c r="Q1656" i="2"/>
  <c r="P1656" i="2"/>
  <c r="O1656" i="2"/>
  <c r="Q1655" i="2"/>
  <c r="P1655" i="2"/>
  <c r="O1655" i="2"/>
  <c r="Q1654" i="2"/>
  <c r="P1654" i="2"/>
  <c r="O1654" i="2"/>
  <c r="Q1653" i="2"/>
  <c r="P1653" i="2"/>
  <c r="O1653" i="2"/>
  <c r="Q1652" i="2"/>
  <c r="P1652" i="2"/>
  <c r="O1652" i="2"/>
  <c r="Q1651" i="2"/>
  <c r="P1651" i="2"/>
  <c r="O1651" i="2"/>
  <c r="Q1650" i="2"/>
  <c r="P1650" i="2"/>
  <c r="O1650" i="2"/>
  <c r="Q1649" i="2"/>
  <c r="P1649" i="2"/>
  <c r="O1649" i="2"/>
  <c r="Q1648" i="2"/>
  <c r="P1648" i="2"/>
  <c r="O1648" i="2"/>
  <c r="Q1647" i="2"/>
  <c r="P1647" i="2"/>
  <c r="O1647" i="2"/>
  <c r="Q1646" i="2"/>
  <c r="P1646" i="2"/>
  <c r="O1646" i="2"/>
  <c r="Q1645" i="2"/>
  <c r="P1645" i="2"/>
  <c r="O1645" i="2"/>
  <c r="Q1644" i="2"/>
  <c r="P1644" i="2"/>
  <c r="O1644" i="2"/>
  <c r="Q1643" i="2"/>
  <c r="P1643" i="2"/>
  <c r="O1643" i="2"/>
  <c r="Q1642" i="2"/>
  <c r="P1642" i="2"/>
  <c r="O1642" i="2"/>
  <c r="Q1641" i="2"/>
  <c r="P1641" i="2"/>
  <c r="O1641" i="2"/>
  <c r="Q1640" i="2"/>
  <c r="P1640" i="2"/>
  <c r="O1640" i="2"/>
  <c r="Q1639" i="2"/>
  <c r="P1639" i="2"/>
  <c r="O1639" i="2"/>
  <c r="Q1638" i="2"/>
  <c r="P1638" i="2"/>
  <c r="O1638" i="2"/>
  <c r="Q1637" i="2"/>
  <c r="P1637" i="2"/>
  <c r="O1637" i="2"/>
  <c r="Q1636" i="2"/>
  <c r="P1636" i="2"/>
  <c r="O1636" i="2"/>
  <c r="Q1635" i="2"/>
  <c r="P1635" i="2"/>
  <c r="O1635" i="2"/>
  <c r="Q1634" i="2"/>
  <c r="P1634" i="2"/>
  <c r="O1634" i="2"/>
  <c r="Q1633" i="2"/>
  <c r="P1633" i="2"/>
  <c r="O1633" i="2"/>
  <c r="Q1632" i="2"/>
  <c r="P1632" i="2"/>
  <c r="O1632" i="2"/>
  <c r="Q1631" i="2"/>
  <c r="P1631" i="2"/>
  <c r="O1631" i="2"/>
  <c r="Q1630" i="2"/>
  <c r="P1630" i="2"/>
  <c r="O1630" i="2"/>
  <c r="Q1629" i="2"/>
  <c r="P1629" i="2"/>
  <c r="O1629" i="2"/>
  <c r="Q1628" i="2"/>
  <c r="P1628" i="2"/>
  <c r="O1628" i="2"/>
  <c r="Q1627" i="2"/>
  <c r="P1627" i="2"/>
  <c r="O1627" i="2"/>
  <c r="Q1626" i="2"/>
  <c r="P1626" i="2"/>
  <c r="O1626" i="2"/>
  <c r="Q1625" i="2"/>
  <c r="P1625" i="2"/>
  <c r="O1625" i="2"/>
  <c r="Q1624" i="2"/>
  <c r="P1624" i="2"/>
  <c r="O1624" i="2"/>
  <c r="Q1623" i="2"/>
  <c r="P1623" i="2"/>
  <c r="O1623" i="2"/>
  <c r="Q1622" i="2"/>
  <c r="P1622" i="2"/>
  <c r="O1622" i="2"/>
  <c r="Q1621" i="2"/>
  <c r="P1621" i="2"/>
  <c r="O1621" i="2"/>
  <c r="Q1620" i="2"/>
  <c r="P1620" i="2"/>
  <c r="O1620" i="2"/>
  <c r="Q1619" i="2"/>
  <c r="P1619" i="2"/>
  <c r="O1619" i="2"/>
  <c r="Q1618" i="2"/>
  <c r="P1618" i="2"/>
  <c r="O1618" i="2"/>
  <c r="Q1617" i="2"/>
  <c r="P1617" i="2"/>
  <c r="O1617" i="2"/>
  <c r="Q1616" i="2"/>
  <c r="P1616" i="2"/>
  <c r="O1616" i="2"/>
  <c r="Q1615" i="2"/>
  <c r="P1615" i="2"/>
  <c r="O1615" i="2"/>
  <c r="Q1614" i="2"/>
  <c r="P1614" i="2"/>
  <c r="O1614" i="2"/>
  <c r="Q1613" i="2"/>
  <c r="P1613" i="2"/>
  <c r="O1613" i="2"/>
  <c r="Q1612" i="2"/>
  <c r="P1612" i="2"/>
  <c r="O1612" i="2"/>
  <c r="Q1611" i="2"/>
  <c r="P1611" i="2"/>
  <c r="O1611" i="2"/>
  <c r="Q1610" i="2"/>
  <c r="P1610" i="2"/>
  <c r="O1610" i="2"/>
  <c r="Q1609" i="2"/>
  <c r="P1609" i="2"/>
  <c r="O1609" i="2"/>
  <c r="Q1608" i="2"/>
  <c r="P1608" i="2"/>
  <c r="O1608" i="2"/>
  <c r="Q1607" i="2"/>
  <c r="P1607" i="2"/>
  <c r="O1607" i="2"/>
  <c r="Q1606" i="2"/>
  <c r="P1606" i="2"/>
  <c r="O1606" i="2"/>
  <c r="Q1605" i="2"/>
  <c r="P1605" i="2"/>
  <c r="O1605" i="2"/>
  <c r="Q1604" i="2"/>
  <c r="P1604" i="2"/>
  <c r="O1604" i="2"/>
  <c r="Q1603" i="2"/>
  <c r="P1603" i="2"/>
  <c r="O1603" i="2"/>
  <c r="Q1602" i="2"/>
  <c r="P1602" i="2"/>
  <c r="O1602" i="2"/>
  <c r="Q1601" i="2"/>
  <c r="P1601" i="2"/>
  <c r="O1601" i="2"/>
  <c r="Q1600" i="2"/>
  <c r="P1600" i="2"/>
  <c r="O1600" i="2"/>
  <c r="Q1599" i="2"/>
  <c r="P1599" i="2"/>
  <c r="O1599" i="2"/>
  <c r="Q1598" i="2"/>
  <c r="P1598" i="2"/>
  <c r="O1598" i="2"/>
  <c r="Q1597" i="2"/>
  <c r="P1597" i="2"/>
  <c r="O1597" i="2"/>
  <c r="Q1596" i="2"/>
  <c r="P1596" i="2"/>
  <c r="O1596" i="2"/>
  <c r="Q1595" i="2"/>
  <c r="P1595" i="2"/>
  <c r="O1595" i="2"/>
  <c r="Q1594" i="2"/>
  <c r="P1594" i="2"/>
  <c r="O1594" i="2"/>
  <c r="Q1593" i="2"/>
  <c r="P1593" i="2"/>
  <c r="O1593" i="2"/>
  <c r="Q1592" i="2"/>
  <c r="P1592" i="2"/>
  <c r="O1592" i="2"/>
  <c r="Q1591" i="2"/>
  <c r="P1591" i="2"/>
  <c r="O1591" i="2"/>
  <c r="Q1590" i="2"/>
  <c r="P1590" i="2"/>
  <c r="O1590" i="2"/>
  <c r="Q1589" i="2"/>
  <c r="P1589" i="2"/>
  <c r="O1589" i="2"/>
  <c r="Q1588" i="2"/>
  <c r="P1588" i="2"/>
  <c r="O1588" i="2"/>
  <c r="Q1587" i="2"/>
  <c r="P1587" i="2"/>
  <c r="O1587" i="2"/>
  <c r="Q1586" i="2"/>
  <c r="P1586" i="2"/>
  <c r="O1586" i="2"/>
  <c r="Q1585" i="2"/>
  <c r="P1585" i="2"/>
  <c r="O1585" i="2"/>
  <c r="Q1584" i="2"/>
  <c r="P1584" i="2"/>
  <c r="O1584" i="2"/>
  <c r="Q1583" i="2"/>
  <c r="P1583" i="2"/>
  <c r="O1583" i="2"/>
  <c r="Q1582" i="2"/>
  <c r="P1582" i="2"/>
  <c r="O1582" i="2"/>
  <c r="Q1581" i="2"/>
  <c r="P1581" i="2"/>
  <c r="O1581" i="2"/>
  <c r="Q1580" i="2"/>
  <c r="P1580" i="2"/>
  <c r="O1580" i="2"/>
  <c r="Q1579" i="2"/>
  <c r="P1579" i="2"/>
  <c r="O1579" i="2"/>
  <c r="Q1578" i="2"/>
  <c r="P1578" i="2"/>
  <c r="O1578" i="2"/>
  <c r="Q1577" i="2"/>
  <c r="P1577" i="2"/>
  <c r="O1577" i="2"/>
  <c r="Q1576" i="2"/>
  <c r="P1576" i="2"/>
  <c r="O1576" i="2"/>
  <c r="Q1575" i="2"/>
  <c r="P1575" i="2"/>
  <c r="O1575" i="2"/>
  <c r="Q1574" i="2"/>
  <c r="P1574" i="2"/>
  <c r="O1574" i="2"/>
  <c r="Q1573" i="2"/>
  <c r="P1573" i="2"/>
  <c r="O1573" i="2"/>
  <c r="Q1572" i="2"/>
  <c r="P1572" i="2"/>
  <c r="O1572" i="2"/>
  <c r="Q1571" i="2"/>
  <c r="P1571" i="2"/>
  <c r="O1571" i="2"/>
  <c r="Q1570" i="2"/>
  <c r="P1570" i="2"/>
  <c r="O1570" i="2"/>
  <c r="Q1569" i="2"/>
  <c r="P1569" i="2"/>
  <c r="O1569" i="2"/>
  <c r="Q1568" i="2"/>
  <c r="P1568" i="2"/>
  <c r="O1568" i="2"/>
  <c r="Q1567" i="2"/>
  <c r="P1567" i="2"/>
  <c r="O1567" i="2"/>
  <c r="Q1566" i="2"/>
  <c r="P1566" i="2"/>
  <c r="O1566" i="2"/>
  <c r="Q1565" i="2"/>
  <c r="P1565" i="2"/>
  <c r="O1565" i="2"/>
  <c r="Q1564" i="2"/>
  <c r="P1564" i="2"/>
  <c r="O1564" i="2"/>
  <c r="Q1563" i="2"/>
  <c r="P1563" i="2"/>
  <c r="O1563" i="2"/>
  <c r="Q1562" i="2"/>
  <c r="P1562" i="2"/>
  <c r="O1562" i="2"/>
  <c r="Q1561" i="2"/>
  <c r="P1561" i="2"/>
  <c r="O1561" i="2"/>
  <c r="Q1560" i="2"/>
  <c r="P1560" i="2"/>
  <c r="O1560" i="2"/>
  <c r="Q1559" i="2"/>
  <c r="P1559" i="2"/>
  <c r="O1559" i="2"/>
  <c r="Q1558" i="2"/>
  <c r="P1558" i="2"/>
  <c r="O1558" i="2"/>
  <c r="Q1557" i="2"/>
  <c r="P1557" i="2"/>
  <c r="O1557" i="2"/>
  <c r="Q1556" i="2"/>
  <c r="P1556" i="2"/>
  <c r="O1556" i="2"/>
  <c r="Q1555" i="2"/>
  <c r="P1555" i="2"/>
  <c r="O1555" i="2"/>
  <c r="Q1554" i="2"/>
  <c r="P1554" i="2"/>
  <c r="O1554" i="2"/>
  <c r="Q1553" i="2"/>
  <c r="P1553" i="2"/>
  <c r="O1553" i="2"/>
  <c r="Q1552" i="2"/>
  <c r="P1552" i="2"/>
  <c r="O1552" i="2"/>
  <c r="Q1551" i="2"/>
  <c r="P1551" i="2"/>
  <c r="O1551" i="2"/>
  <c r="Q1550" i="2"/>
  <c r="P1550" i="2"/>
  <c r="O1550" i="2"/>
  <c r="Q1549" i="2"/>
  <c r="P1549" i="2"/>
  <c r="O1549" i="2"/>
  <c r="Q1548" i="2"/>
  <c r="P1548" i="2"/>
  <c r="O1548" i="2"/>
  <c r="Q1547" i="2"/>
  <c r="P1547" i="2"/>
  <c r="O1547" i="2"/>
  <c r="Q1546" i="2"/>
  <c r="P1546" i="2"/>
  <c r="O1546" i="2"/>
  <c r="Q1545" i="2"/>
  <c r="P1545" i="2"/>
  <c r="O1545" i="2"/>
  <c r="Q1544" i="2"/>
  <c r="P1544" i="2"/>
  <c r="O1544" i="2"/>
  <c r="Q1543" i="2"/>
  <c r="P1543" i="2"/>
  <c r="O1543" i="2"/>
  <c r="Q1542" i="2"/>
  <c r="P1542" i="2"/>
  <c r="O1542" i="2"/>
  <c r="Q1541" i="2"/>
  <c r="P1541" i="2"/>
  <c r="O1541" i="2"/>
  <c r="Q1540" i="2"/>
  <c r="P1540" i="2"/>
  <c r="O1540" i="2"/>
  <c r="Q1539" i="2"/>
  <c r="P1539" i="2"/>
  <c r="O1539" i="2"/>
  <c r="Q1538" i="2"/>
  <c r="P1538" i="2"/>
  <c r="O1538" i="2"/>
  <c r="Q1537" i="2"/>
  <c r="P1537" i="2"/>
  <c r="O1537" i="2"/>
  <c r="Q1536" i="2"/>
  <c r="P1536" i="2"/>
  <c r="O1536" i="2"/>
  <c r="Q1535" i="2"/>
  <c r="P1535" i="2"/>
  <c r="O1535" i="2"/>
  <c r="Q1534" i="2"/>
  <c r="P1534" i="2"/>
  <c r="O1534" i="2"/>
  <c r="Q1533" i="2"/>
  <c r="P1533" i="2"/>
  <c r="O1533" i="2"/>
  <c r="Q1532" i="2"/>
  <c r="P1532" i="2"/>
  <c r="O1532" i="2"/>
  <c r="Q1531" i="2"/>
  <c r="P1531" i="2"/>
  <c r="O1531" i="2"/>
  <c r="Q1530" i="2"/>
  <c r="P1530" i="2"/>
  <c r="O1530" i="2"/>
  <c r="Q1529" i="2"/>
  <c r="P1529" i="2"/>
  <c r="O1529" i="2"/>
  <c r="Q1528" i="2"/>
  <c r="P1528" i="2"/>
  <c r="O1528" i="2"/>
  <c r="Q1527" i="2"/>
  <c r="P1527" i="2"/>
  <c r="O1527" i="2"/>
  <c r="Q1526" i="2"/>
  <c r="P1526" i="2"/>
  <c r="O1526" i="2"/>
  <c r="Q1525" i="2"/>
  <c r="P1525" i="2"/>
  <c r="O1525" i="2"/>
  <c r="Q1524" i="2"/>
  <c r="P1524" i="2"/>
  <c r="O1524" i="2"/>
  <c r="Q1523" i="2"/>
  <c r="P1523" i="2"/>
  <c r="O1523" i="2"/>
  <c r="Q1522" i="2"/>
  <c r="P1522" i="2"/>
  <c r="O1522" i="2"/>
  <c r="Q1521" i="2"/>
  <c r="P1521" i="2"/>
  <c r="O1521" i="2"/>
  <c r="Q1520" i="2"/>
  <c r="P1520" i="2"/>
  <c r="O1520" i="2"/>
  <c r="Q1519" i="2"/>
  <c r="P1519" i="2"/>
  <c r="O1519" i="2"/>
  <c r="Q1518" i="2"/>
  <c r="P1518" i="2"/>
  <c r="O1518" i="2"/>
  <c r="Q1517" i="2"/>
  <c r="P1517" i="2"/>
  <c r="O1517" i="2"/>
  <c r="Q1516" i="2"/>
  <c r="P1516" i="2"/>
  <c r="O1516" i="2"/>
  <c r="Q1515" i="2"/>
  <c r="P1515" i="2"/>
  <c r="O1515" i="2"/>
  <c r="Q1514" i="2"/>
  <c r="P1514" i="2"/>
  <c r="O1514" i="2"/>
  <c r="Q1513" i="2"/>
  <c r="P1513" i="2"/>
  <c r="O1513" i="2"/>
  <c r="Q1512" i="2"/>
  <c r="P1512" i="2"/>
  <c r="O1512" i="2"/>
  <c r="Q1511" i="2"/>
  <c r="P1511" i="2"/>
  <c r="O1511" i="2"/>
  <c r="Q1510" i="2"/>
  <c r="P1510" i="2"/>
  <c r="O1510" i="2"/>
  <c r="Q1509" i="2"/>
  <c r="P1509" i="2"/>
  <c r="O1509" i="2"/>
  <c r="Q1508" i="2"/>
  <c r="P1508" i="2"/>
  <c r="O1508" i="2"/>
  <c r="Q1507" i="2"/>
  <c r="P1507" i="2"/>
  <c r="O1507" i="2"/>
  <c r="Q1506" i="2"/>
  <c r="P1506" i="2"/>
  <c r="O1506" i="2"/>
  <c r="Q1505" i="2"/>
  <c r="P1505" i="2"/>
  <c r="O1505" i="2"/>
  <c r="Q1504" i="2"/>
  <c r="P1504" i="2"/>
  <c r="O1504" i="2"/>
  <c r="Q1503" i="2"/>
  <c r="P1503" i="2"/>
  <c r="O1503" i="2"/>
  <c r="Q1502" i="2"/>
  <c r="P1502" i="2"/>
  <c r="O1502" i="2"/>
  <c r="Q1501" i="2"/>
  <c r="P1501" i="2"/>
  <c r="O1501" i="2"/>
  <c r="Q1500" i="2"/>
  <c r="P1500" i="2"/>
  <c r="O1500" i="2"/>
  <c r="Q1499" i="2"/>
  <c r="P1499" i="2"/>
  <c r="O1499" i="2"/>
  <c r="Q1498" i="2"/>
  <c r="P1498" i="2"/>
  <c r="O1498" i="2"/>
  <c r="Q1497" i="2"/>
  <c r="P1497" i="2"/>
  <c r="O1497" i="2"/>
  <c r="Q1496" i="2"/>
  <c r="P1496" i="2"/>
  <c r="O1496" i="2"/>
  <c r="Q1495" i="2"/>
  <c r="P1495" i="2"/>
  <c r="O1495" i="2"/>
  <c r="Q1494" i="2"/>
  <c r="P1494" i="2"/>
  <c r="O1494" i="2"/>
  <c r="Q1493" i="2"/>
  <c r="P1493" i="2"/>
  <c r="O1493" i="2"/>
  <c r="Q1492" i="2"/>
  <c r="P1492" i="2"/>
  <c r="O1492" i="2"/>
  <c r="Q1491" i="2"/>
  <c r="P1491" i="2"/>
  <c r="O1491" i="2"/>
  <c r="Q1490" i="2"/>
  <c r="P1490" i="2"/>
  <c r="O1490" i="2"/>
  <c r="Q1489" i="2"/>
  <c r="P1489" i="2"/>
  <c r="O1489" i="2"/>
  <c r="Q1488" i="2"/>
  <c r="P1488" i="2"/>
  <c r="O1488" i="2"/>
  <c r="Q1487" i="2"/>
  <c r="P1487" i="2"/>
  <c r="O1487" i="2"/>
  <c r="Q1486" i="2"/>
  <c r="P1486" i="2"/>
  <c r="O1486" i="2"/>
  <c r="Q1485" i="2"/>
  <c r="P1485" i="2"/>
  <c r="O1485" i="2"/>
  <c r="Q1484" i="2"/>
  <c r="P1484" i="2"/>
  <c r="O1484" i="2"/>
  <c r="Q1483" i="2"/>
  <c r="P1483" i="2"/>
  <c r="O1483" i="2"/>
  <c r="Q1482" i="2"/>
  <c r="P1482" i="2"/>
  <c r="O1482" i="2"/>
  <c r="Q1481" i="2"/>
  <c r="P1481" i="2"/>
  <c r="O1481" i="2"/>
  <c r="Q1480" i="2"/>
  <c r="P1480" i="2"/>
  <c r="O1480" i="2"/>
  <c r="Q1479" i="2"/>
  <c r="P1479" i="2"/>
  <c r="O1479" i="2"/>
  <c r="Q1478" i="2"/>
  <c r="P1478" i="2"/>
  <c r="O1478" i="2"/>
  <c r="Q1477" i="2"/>
  <c r="P1477" i="2"/>
  <c r="O1477" i="2"/>
  <c r="Q1476" i="2"/>
  <c r="P1476" i="2"/>
  <c r="O1476" i="2"/>
  <c r="Q1475" i="2"/>
  <c r="P1475" i="2"/>
  <c r="O1475" i="2"/>
  <c r="Q1474" i="2"/>
  <c r="P1474" i="2"/>
  <c r="O1474" i="2"/>
  <c r="Q1473" i="2"/>
  <c r="P1473" i="2"/>
  <c r="O1473" i="2"/>
  <c r="Q1472" i="2"/>
  <c r="P1472" i="2"/>
  <c r="O1472" i="2"/>
  <c r="Q1471" i="2"/>
  <c r="P1471" i="2"/>
  <c r="O1471" i="2"/>
  <c r="Q1470" i="2"/>
  <c r="P1470" i="2"/>
  <c r="O1470" i="2"/>
  <c r="Q1469" i="2"/>
  <c r="P1469" i="2"/>
  <c r="O1469" i="2"/>
  <c r="Q1468" i="2"/>
  <c r="P1468" i="2"/>
  <c r="O1468" i="2"/>
  <c r="Q1467" i="2"/>
  <c r="P1467" i="2"/>
  <c r="O1467" i="2"/>
  <c r="Q1466" i="2"/>
  <c r="P1466" i="2"/>
  <c r="O1466" i="2"/>
  <c r="Q1465" i="2"/>
  <c r="P1465" i="2"/>
  <c r="O1465" i="2"/>
  <c r="Q1464" i="2"/>
  <c r="P1464" i="2"/>
  <c r="O1464" i="2"/>
  <c r="Q1463" i="2"/>
  <c r="P1463" i="2"/>
  <c r="O1463" i="2"/>
  <c r="Q1462" i="2"/>
  <c r="P1462" i="2"/>
  <c r="O1462" i="2"/>
  <c r="Q1461" i="2"/>
  <c r="P1461" i="2"/>
  <c r="O1461" i="2"/>
  <c r="Q1460" i="2"/>
  <c r="P1460" i="2"/>
  <c r="O1460" i="2"/>
  <c r="Q1459" i="2"/>
  <c r="P1459" i="2"/>
  <c r="O1459" i="2"/>
  <c r="Q1458" i="2"/>
  <c r="P1458" i="2"/>
  <c r="O1458" i="2"/>
  <c r="Q1457" i="2"/>
  <c r="P1457" i="2"/>
  <c r="O1457" i="2"/>
  <c r="Q1456" i="2"/>
  <c r="P1456" i="2"/>
  <c r="O1456" i="2"/>
  <c r="Q1455" i="2"/>
  <c r="P1455" i="2"/>
  <c r="O1455" i="2"/>
  <c r="Q1454" i="2"/>
  <c r="P1454" i="2"/>
  <c r="O1454" i="2"/>
  <c r="Q1453" i="2"/>
  <c r="P1453" i="2"/>
  <c r="O1453" i="2"/>
  <c r="Q1452" i="2"/>
  <c r="P1452" i="2"/>
  <c r="O1452" i="2"/>
  <c r="Q1451" i="2"/>
  <c r="P1451" i="2"/>
  <c r="O1451" i="2"/>
  <c r="Q1450" i="2"/>
  <c r="P1450" i="2"/>
  <c r="O1450" i="2"/>
  <c r="Q1449" i="2"/>
  <c r="P1449" i="2"/>
  <c r="O1449" i="2"/>
  <c r="Q1448" i="2"/>
  <c r="P1448" i="2"/>
  <c r="O1448" i="2"/>
  <c r="Q1447" i="2"/>
  <c r="P1447" i="2"/>
  <c r="O1447" i="2"/>
  <c r="Q1446" i="2"/>
  <c r="P1446" i="2"/>
  <c r="O1446" i="2"/>
  <c r="Q1445" i="2"/>
  <c r="P1445" i="2"/>
  <c r="O1445" i="2"/>
  <c r="Q1444" i="2"/>
  <c r="P1444" i="2"/>
  <c r="O1444" i="2"/>
  <c r="Q1443" i="2"/>
  <c r="P1443" i="2"/>
  <c r="O1443" i="2"/>
  <c r="Q1442" i="2"/>
  <c r="P1442" i="2"/>
  <c r="O1442" i="2"/>
  <c r="Q1441" i="2"/>
  <c r="P1441" i="2"/>
  <c r="O1441" i="2"/>
  <c r="Q1440" i="2"/>
  <c r="P1440" i="2"/>
  <c r="O1440" i="2"/>
  <c r="Q1439" i="2"/>
  <c r="P1439" i="2"/>
  <c r="O1439" i="2"/>
  <c r="Q1438" i="2"/>
  <c r="P1438" i="2"/>
  <c r="O1438" i="2"/>
  <c r="Q1437" i="2"/>
  <c r="P1437" i="2"/>
  <c r="O1437" i="2"/>
  <c r="Q1436" i="2"/>
  <c r="P1436" i="2"/>
  <c r="O1436" i="2"/>
  <c r="Q1435" i="2"/>
  <c r="P1435" i="2"/>
  <c r="O1435" i="2"/>
  <c r="Q1434" i="2"/>
  <c r="P1434" i="2"/>
  <c r="O1434" i="2"/>
  <c r="Q1433" i="2"/>
  <c r="P1433" i="2"/>
  <c r="O1433" i="2"/>
  <c r="Q1432" i="2"/>
  <c r="P1432" i="2"/>
  <c r="O1432" i="2"/>
  <c r="Q1431" i="2"/>
  <c r="P1431" i="2"/>
  <c r="O1431" i="2"/>
  <c r="Q1430" i="2"/>
  <c r="P1430" i="2"/>
  <c r="O1430" i="2"/>
  <c r="Q1429" i="2"/>
  <c r="P1429" i="2"/>
  <c r="O1429" i="2"/>
  <c r="Q1428" i="2"/>
  <c r="P1428" i="2"/>
  <c r="O1428" i="2"/>
  <c r="Q1427" i="2"/>
  <c r="P1427" i="2"/>
  <c r="O1427" i="2"/>
  <c r="Q1426" i="2"/>
  <c r="P1426" i="2"/>
  <c r="O1426" i="2"/>
  <c r="Q1425" i="2"/>
  <c r="P1425" i="2"/>
  <c r="O1425" i="2"/>
  <c r="Q1424" i="2"/>
  <c r="P1424" i="2"/>
  <c r="O1424" i="2"/>
  <c r="Q1423" i="2"/>
  <c r="P1423" i="2"/>
  <c r="O1423" i="2"/>
  <c r="Q1422" i="2"/>
  <c r="P1422" i="2"/>
  <c r="O1422" i="2"/>
  <c r="Q1421" i="2"/>
  <c r="P1421" i="2"/>
  <c r="O1421" i="2"/>
  <c r="Q1420" i="2"/>
  <c r="P1420" i="2"/>
  <c r="O1420" i="2"/>
  <c r="Q1419" i="2"/>
  <c r="P1419" i="2"/>
  <c r="O1419" i="2"/>
  <c r="Q1418" i="2"/>
  <c r="P1418" i="2"/>
  <c r="O1418" i="2"/>
  <c r="Q1417" i="2"/>
  <c r="P1417" i="2"/>
  <c r="O1417" i="2"/>
  <c r="Q1416" i="2"/>
  <c r="P1416" i="2"/>
  <c r="O1416" i="2"/>
  <c r="Q1415" i="2"/>
  <c r="P1415" i="2"/>
  <c r="O1415" i="2"/>
  <c r="Q1414" i="2"/>
  <c r="P1414" i="2"/>
  <c r="O1414" i="2"/>
  <c r="Q1413" i="2"/>
  <c r="P1413" i="2"/>
  <c r="O1413" i="2"/>
  <c r="Q1412" i="2"/>
  <c r="P1412" i="2"/>
  <c r="O1412" i="2"/>
  <c r="Q1411" i="2"/>
  <c r="P1411" i="2"/>
  <c r="O1411" i="2"/>
  <c r="Q1410" i="2"/>
  <c r="P1410" i="2"/>
  <c r="O1410" i="2"/>
  <c r="Q1409" i="2"/>
  <c r="P1409" i="2"/>
  <c r="O1409" i="2"/>
  <c r="Q1408" i="2"/>
  <c r="P1408" i="2"/>
  <c r="O1408" i="2"/>
  <c r="Q1407" i="2"/>
  <c r="P1407" i="2"/>
  <c r="O1407" i="2"/>
  <c r="Q1406" i="2"/>
  <c r="P1406" i="2"/>
  <c r="O1406" i="2"/>
  <c r="Q1405" i="2"/>
  <c r="P1405" i="2"/>
  <c r="O1405" i="2"/>
  <c r="Q1404" i="2"/>
  <c r="P1404" i="2"/>
  <c r="O1404" i="2"/>
  <c r="Q1403" i="2"/>
  <c r="P1403" i="2"/>
  <c r="O1403" i="2"/>
  <c r="Q1402" i="2"/>
  <c r="P1402" i="2"/>
  <c r="O1402" i="2"/>
  <c r="Q1401" i="2"/>
  <c r="P1401" i="2"/>
  <c r="O1401" i="2"/>
  <c r="Q1400" i="2"/>
  <c r="P1400" i="2"/>
  <c r="O1400" i="2"/>
  <c r="Q1399" i="2"/>
  <c r="P1399" i="2"/>
  <c r="O1399" i="2"/>
  <c r="Q1398" i="2"/>
  <c r="P1398" i="2"/>
  <c r="O1398" i="2"/>
  <c r="Q1397" i="2"/>
  <c r="P1397" i="2"/>
  <c r="O1397" i="2"/>
  <c r="Q1396" i="2"/>
  <c r="P1396" i="2"/>
  <c r="O1396" i="2"/>
  <c r="Q1395" i="2"/>
  <c r="P1395" i="2"/>
  <c r="O1395" i="2"/>
  <c r="Q1394" i="2"/>
  <c r="P1394" i="2"/>
  <c r="O1394" i="2"/>
  <c r="Q1393" i="2"/>
  <c r="P1393" i="2"/>
  <c r="O1393" i="2"/>
  <c r="Q1392" i="2"/>
  <c r="P1392" i="2"/>
  <c r="O1392" i="2"/>
  <c r="Q1391" i="2"/>
  <c r="P1391" i="2"/>
  <c r="O1391" i="2"/>
  <c r="Q1390" i="2"/>
  <c r="P1390" i="2"/>
  <c r="O1390" i="2"/>
  <c r="Q1389" i="2"/>
  <c r="P1389" i="2"/>
  <c r="O1389" i="2"/>
  <c r="Q1388" i="2"/>
  <c r="P1388" i="2"/>
  <c r="O1388" i="2"/>
  <c r="Q1387" i="2"/>
  <c r="P1387" i="2"/>
  <c r="O1387" i="2"/>
  <c r="Q1386" i="2"/>
  <c r="P1386" i="2"/>
  <c r="O1386" i="2"/>
  <c r="Q1385" i="2"/>
  <c r="P1385" i="2"/>
  <c r="O1385" i="2"/>
  <c r="Q1384" i="2"/>
  <c r="P1384" i="2"/>
  <c r="O1384" i="2"/>
  <c r="Q1383" i="2"/>
  <c r="P1383" i="2"/>
  <c r="O1383" i="2"/>
  <c r="Q1382" i="2"/>
  <c r="P1382" i="2"/>
  <c r="O1382" i="2"/>
  <c r="Q1381" i="2"/>
  <c r="P1381" i="2"/>
  <c r="O1381" i="2"/>
  <c r="Q1380" i="2"/>
  <c r="P1380" i="2"/>
  <c r="O1380" i="2"/>
  <c r="Q1379" i="2"/>
  <c r="P1379" i="2"/>
  <c r="O1379" i="2"/>
  <c r="Q1378" i="2"/>
  <c r="P1378" i="2"/>
  <c r="O1378" i="2"/>
  <c r="Q1377" i="2"/>
  <c r="P1377" i="2"/>
  <c r="O1377" i="2"/>
  <c r="Q1376" i="2"/>
  <c r="P1376" i="2"/>
  <c r="O1376" i="2"/>
  <c r="Q1375" i="2"/>
  <c r="P1375" i="2"/>
  <c r="O1375" i="2"/>
  <c r="Q1374" i="2"/>
  <c r="P1374" i="2"/>
  <c r="O1374" i="2"/>
  <c r="Q1373" i="2"/>
  <c r="P1373" i="2"/>
  <c r="O1373" i="2"/>
  <c r="Q1372" i="2"/>
  <c r="P1372" i="2"/>
  <c r="O1372" i="2"/>
  <c r="Q1371" i="2"/>
  <c r="P1371" i="2"/>
  <c r="O1371" i="2"/>
  <c r="Q1370" i="2"/>
  <c r="P1370" i="2"/>
  <c r="O1370" i="2"/>
  <c r="Q1369" i="2"/>
  <c r="P1369" i="2"/>
  <c r="O1369" i="2"/>
  <c r="Q1368" i="2"/>
  <c r="P1368" i="2"/>
  <c r="O1368" i="2"/>
  <c r="Q1367" i="2"/>
  <c r="P1367" i="2"/>
  <c r="O1367" i="2"/>
  <c r="Q1366" i="2"/>
  <c r="P1366" i="2"/>
  <c r="O1366" i="2"/>
  <c r="Q1365" i="2"/>
  <c r="P1365" i="2"/>
  <c r="O1365" i="2"/>
  <c r="Q1364" i="2"/>
  <c r="P1364" i="2"/>
  <c r="O1364" i="2"/>
  <c r="Q1363" i="2"/>
  <c r="P1363" i="2"/>
  <c r="O1363" i="2"/>
  <c r="Q1362" i="2"/>
  <c r="P1362" i="2"/>
  <c r="O1362" i="2"/>
  <c r="Q1361" i="2"/>
  <c r="P1361" i="2"/>
  <c r="O1361" i="2"/>
  <c r="Q1360" i="2"/>
  <c r="P1360" i="2"/>
  <c r="O1360" i="2"/>
  <c r="Q1359" i="2"/>
  <c r="P1359" i="2"/>
  <c r="O1359" i="2"/>
  <c r="Q1358" i="2"/>
  <c r="P1358" i="2"/>
  <c r="O1358" i="2"/>
  <c r="Q1357" i="2"/>
  <c r="P1357" i="2"/>
  <c r="O1357" i="2"/>
  <c r="Q1356" i="2"/>
  <c r="P1356" i="2"/>
  <c r="O1356" i="2"/>
  <c r="Q1355" i="2"/>
  <c r="P1355" i="2"/>
  <c r="O1355" i="2"/>
  <c r="Q1354" i="2"/>
  <c r="P1354" i="2"/>
  <c r="O1354" i="2"/>
  <c r="Q1353" i="2"/>
  <c r="P1353" i="2"/>
  <c r="O1353" i="2"/>
  <c r="Q1352" i="2"/>
  <c r="P1352" i="2"/>
  <c r="O1352" i="2"/>
  <c r="Q1351" i="2"/>
  <c r="P1351" i="2"/>
  <c r="O1351" i="2"/>
  <c r="Q1350" i="2"/>
  <c r="P1350" i="2"/>
  <c r="O1350" i="2"/>
  <c r="Q1349" i="2"/>
  <c r="P1349" i="2"/>
  <c r="O1349" i="2"/>
  <c r="Q1348" i="2"/>
  <c r="P1348" i="2"/>
  <c r="O1348" i="2"/>
  <c r="Q1347" i="2"/>
  <c r="P1347" i="2"/>
  <c r="O1347" i="2"/>
  <c r="Q1346" i="2"/>
  <c r="P1346" i="2"/>
  <c r="O1346" i="2"/>
  <c r="Q1345" i="2"/>
  <c r="P1345" i="2"/>
  <c r="O1345" i="2"/>
  <c r="Q1344" i="2"/>
  <c r="P1344" i="2"/>
  <c r="O1344" i="2"/>
  <c r="Q1343" i="2"/>
  <c r="P1343" i="2"/>
  <c r="O1343" i="2"/>
  <c r="Q1342" i="2"/>
  <c r="P1342" i="2"/>
  <c r="O1342" i="2"/>
  <c r="Q1341" i="2"/>
  <c r="P1341" i="2"/>
  <c r="O1341" i="2"/>
  <c r="Q1340" i="2"/>
  <c r="P1340" i="2"/>
  <c r="O1340" i="2"/>
  <c r="Q1339" i="2"/>
  <c r="P1339" i="2"/>
  <c r="O1339" i="2"/>
  <c r="Q1338" i="2"/>
  <c r="P1338" i="2"/>
  <c r="O1338" i="2"/>
  <c r="Q1337" i="2"/>
  <c r="P1337" i="2"/>
  <c r="O1337" i="2"/>
  <c r="Q1336" i="2"/>
  <c r="P1336" i="2"/>
  <c r="O1336" i="2"/>
  <c r="Q1335" i="2"/>
  <c r="P1335" i="2"/>
  <c r="O1335" i="2"/>
  <c r="Q1334" i="2"/>
  <c r="P1334" i="2"/>
  <c r="O1334" i="2"/>
  <c r="Q1333" i="2"/>
  <c r="P1333" i="2"/>
  <c r="O1333" i="2"/>
  <c r="Q1332" i="2"/>
  <c r="P1332" i="2"/>
  <c r="O1332" i="2"/>
  <c r="Q1331" i="2"/>
  <c r="P1331" i="2"/>
  <c r="O1331" i="2"/>
  <c r="Q1330" i="2"/>
  <c r="P1330" i="2"/>
  <c r="O1330" i="2"/>
  <c r="Q1329" i="2"/>
  <c r="P1329" i="2"/>
  <c r="O1329" i="2"/>
  <c r="Q1328" i="2"/>
  <c r="P1328" i="2"/>
  <c r="O1328" i="2"/>
  <c r="Q1327" i="2"/>
  <c r="P1327" i="2"/>
  <c r="O1327" i="2"/>
  <c r="Q1326" i="2"/>
  <c r="P1326" i="2"/>
  <c r="O1326" i="2"/>
  <c r="Q1325" i="2"/>
  <c r="P1325" i="2"/>
  <c r="O1325" i="2"/>
  <c r="Q1324" i="2"/>
  <c r="P1324" i="2"/>
  <c r="O1324" i="2"/>
  <c r="Q1323" i="2"/>
  <c r="P1323" i="2"/>
  <c r="O1323" i="2"/>
  <c r="Q1322" i="2"/>
  <c r="P1322" i="2"/>
  <c r="O1322" i="2"/>
  <c r="Q1321" i="2"/>
  <c r="P1321" i="2"/>
  <c r="O1321" i="2"/>
  <c r="Q1320" i="2"/>
  <c r="P1320" i="2"/>
  <c r="O1320" i="2"/>
  <c r="Q1319" i="2"/>
  <c r="P1319" i="2"/>
  <c r="O1319" i="2"/>
  <c r="Q1318" i="2"/>
  <c r="P1318" i="2"/>
  <c r="O1318" i="2"/>
  <c r="Q1317" i="2"/>
  <c r="P1317" i="2"/>
  <c r="O1317" i="2"/>
  <c r="Q1316" i="2"/>
  <c r="P1316" i="2"/>
  <c r="O1316" i="2"/>
  <c r="Q1315" i="2"/>
  <c r="P1315" i="2"/>
  <c r="O1315" i="2"/>
  <c r="Q1314" i="2"/>
  <c r="P1314" i="2"/>
  <c r="O1314" i="2"/>
  <c r="Q1313" i="2"/>
  <c r="P1313" i="2"/>
  <c r="O1313" i="2"/>
  <c r="Q1312" i="2"/>
  <c r="P1312" i="2"/>
  <c r="O1312" i="2"/>
  <c r="Q1311" i="2"/>
  <c r="P1311" i="2"/>
  <c r="O1311" i="2"/>
  <c r="Q1310" i="2"/>
  <c r="P1310" i="2"/>
  <c r="O1310" i="2"/>
  <c r="Q1309" i="2"/>
  <c r="P1309" i="2"/>
  <c r="O1309" i="2"/>
  <c r="Q1308" i="2"/>
  <c r="P1308" i="2"/>
  <c r="O1308" i="2"/>
  <c r="Q1307" i="2"/>
  <c r="P1307" i="2"/>
  <c r="O1307" i="2"/>
  <c r="Q1306" i="2"/>
  <c r="P1306" i="2"/>
  <c r="O1306" i="2"/>
  <c r="Q1305" i="2"/>
  <c r="P1305" i="2"/>
  <c r="O1305" i="2"/>
  <c r="Q1304" i="2"/>
  <c r="P1304" i="2"/>
  <c r="O1304" i="2"/>
  <c r="Q1303" i="2"/>
  <c r="P1303" i="2"/>
  <c r="O1303" i="2"/>
  <c r="Q1302" i="2"/>
  <c r="P1302" i="2"/>
  <c r="O1302" i="2"/>
  <c r="Q1301" i="2"/>
  <c r="P1301" i="2"/>
  <c r="O1301" i="2"/>
  <c r="Q1300" i="2"/>
  <c r="P1300" i="2"/>
  <c r="O1300" i="2"/>
  <c r="Q1299" i="2"/>
  <c r="P1299" i="2"/>
  <c r="O1299" i="2"/>
  <c r="Q1298" i="2"/>
  <c r="P1298" i="2"/>
  <c r="O1298" i="2"/>
  <c r="Q1297" i="2"/>
  <c r="P1297" i="2"/>
  <c r="O1297" i="2"/>
  <c r="Q1296" i="2"/>
  <c r="P1296" i="2"/>
  <c r="O1296" i="2"/>
  <c r="Q1295" i="2"/>
  <c r="P1295" i="2"/>
  <c r="O1295" i="2"/>
  <c r="Q1294" i="2"/>
  <c r="P1294" i="2"/>
  <c r="O1294" i="2"/>
  <c r="Q1293" i="2"/>
  <c r="P1293" i="2"/>
  <c r="O1293" i="2"/>
  <c r="Q1292" i="2"/>
  <c r="P1292" i="2"/>
  <c r="O1292" i="2"/>
  <c r="Q1291" i="2"/>
  <c r="P1291" i="2"/>
  <c r="O1291" i="2"/>
  <c r="Q1290" i="2"/>
  <c r="P1290" i="2"/>
  <c r="O1290" i="2"/>
  <c r="Q1289" i="2"/>
  <c r="P1289" i="2"/>
  <c r="O1289" i="2"/>
  <c r="Q1288" i="2"/>
  <c r="P1288" i="2"/>
  <c r="O1288" i="2"/>
  <c r="Q1287" i="2"/>
  <c r="P1287" i="2"/>
  <c r="O1287" i="2"/>
  <c r="Q1286" i="2"/>
  <c r="P1286" i="2"/>
  <c r="O1286" i="2"/>
  <c r="Q1285" i="2"/>
  <c r="P1285" i="2"/>
  <c r="O1285" i="2"/>
  <c r="Q1284" i="2"/>
  <c r="P1284" i="2"/>
  <c r="O1284" i="2"/>
  <c r="Q1283" i="2"/>
  <c r="P1283" i="2"/>
  <c r="O1283" i="2"/>
  <c r="Q1282" i="2"/>
  <c r="P1282" i="2"/>
  <c r="O1282" i="2"/>
  <c r="Q1281" i="2"/>
  <c r="P1281" i="2"/>
  <c r="O1281" i="2"/>
  <c r="Q1280" i="2"/>
  <c r="P1280" i="2"/>
  <c r="O1280" i="2"/>
  <c r="Q1279" i="2"/>
  <c r="P1279" i="2"/>
  <c r="O1279" i="2"/>
  <c r="Q1278" i="2"/>
  <c r="P1278" i="2"/>
  <c r="O1278" i="2"/>
  <c r="Q1277" i="2"/>
  <c r="P1277" i="2"/>
  <c r="O1277" i="2"/>
  <c r="Q1276" i="2"/>
  <c r="P1276" i="2"/>
  <c r="O1276" i="2"/>
  <c r="Q1275" i="2"/>
  <c r="P1275" i="2"/>
  <c r="O1275" i="2"/>
  <c r="Q1274" i="2"/>
  <c r="P1274" i="2"/>
  <c r="O1274" i="2"/>
  <c r="Q1273" i="2"/>
  <c r="P1273" i="2"/>
  <c r="O1273" i="2"/>
  <c r="Q1272" i="2"/>
  <c r="P1272" i="2"/>
  <c r="O1272" i="2"/>
  <c r="Q1271" i="2"/>
  <c r="P1271" i="2"/>
  <c r="O1271" i="2"/>
  <c r="Q1270" i="2"/>
  <c r="P1270" i="2"/>
  <c r="O1270" i="2"/>
  <c r="Q1269" i="2"/>
  <c r="P1269" i="2"/>
  <c r="O1269" i="2"/>
  <c r="Q1268" i="2"/>
  <c r="P1268" i="2"/>
  <c r="O1268" i="2"/>
  <c r="Q1267" i="2"/>
  <c r="P1267" i="2"/>
  <c r="O1267" i="2"/>
  <c r="Q1266" i="2"/>
  <c r="P1266" i="2"/>
  <c r="O1266" i="2"/>
  <c r="Q1265" i="2"/>
  <c r="P1265" i="2"/>
  <c r="O1265" i="2"/>
  <c r="Q1264" i="2"/>
  <c r="P1264" i="2"/>
  <c r="O1264" i="2"/>
  <c r="Q1263" i="2"/>
  <c r="P1263" i="2"/>
  <c r="O1263" i="2"/>
  <c r="Q1262" i="2"/>
  <c r="P1262" i="2"/>
  <c r="O1262" i="2"/>
  <c r="Q1261" i="2"/>
  <c r="P1261" i="2"/>
  <c r="O1261" i="2"/>
  <c r="Q1260" i="2"/>
  <c r="P1260" i="2"/>
  <c r="O1260" i="2"/>
  <c r="Q1259" i="2"/>
  <c r="P1259" i="2"/>
  <c r="O1259" i="2"/>
  <c r="Q1258" i="2"/>
  <c r="P1258" i="2"/>
  <c r="O1258" i="2"/>
  <c r="Q1257" i="2"/>
  <c r="P1257" i="2"/>
  <c r="O1257" i="2"/>
  <c r="Q1256" i="2"/>
  <c r="P1256" i="2"/>
  <c r="O1256" i="2"/>
  <c r="Q1255" i="2"/>
  <c r="P1255" i="2"/>
  <c r="O1255" i="2"/>
  <c r="Q1254" i="2"/>
  <c r="P1254" i="2"/>
  <c r="O1254" i="2"/>
  <c r="Q1253" i="2"/>
  <c r="P1253" i="2"/>
  <c r="O1253" i="2"/>
  <c r="Q1252" i="2"/>
  <c r="P1252" i="2"/>
  <c r="O1252" i="2"/>
  <c r="Q1251" i="2"/>
  <c r="P1251" i="2"/>
  <c r="O1251" i="2"/>
  <c r="Q1250" i="2"/>
  <c r="P1250" i="2"/>
  <c r="O1250" i="2"/>
  <c r="Q1249" i="2"/>
  <c r="P1249" i="2"/>
  <c r="O1249" i="2"/>
  <c r="Q1248" i="2"/>
  <c r="P1248" i="2"/>
  <c r="O1248" i="2"/>
  <c r="Q1247" i="2"/>
  <c r="P1247" i="2"/>
  <c r="O1247" i="2"/>
  <c r="Q1246" i="2"/>
  <c r="P1246" i="2"/>
  <c r="O1246" i="2"/>
  <c r="Q1245" i="2"/>
  <c r="P1245" i="2"/>
  <c r="O1245" i="2"/>
  <c r="Q1244" i="2"/>
  <c r="P1244" i="2"/>
  <c r="O1244" i="2"/>
  <c r="Q1243" i="2"/>
  <c r="P1243" i="2"/>
  <c r="O1243" i="2"/>
  <c r="Q1242" i="2"/>
  <c r="P1242" i="2"/>
  <c r="O1242" i="2"/>
  <c r="Q1241" i="2"/>
  <c r="P1241" i="2"/>
  <c r="O1241" i="2"/>
  <c r="Q1240" i="2"/>
  <c r="P1240" i="2"/>
  <c r="O1240" i="2"/>
  <c r="Q1239" i="2"/>
  <c r="P1239" i="2"/>
  <c r="O1239" i="2"/>
  <c r="Q1238" i="2"/>
  <c r="P1238" i="2"/>
  <c r="O1238" i="2"/>
  <c r="Q1237" i="2"/>
  <c r="P1237" i="2"/>
  <c r="O1237" i="2"/>
  <c r="Q1236" i="2"/>
  <c r="P1236" i="2"/>
  <c r="O1236" i="2"/>
  <c r="Q1235" i="2"/>
  <c r="P1235" i="2"/>
  <c r="O1235" i="2"/>
  <c r="Q1234" i="2"/>
  <c r="P1234" i="2"/>
  <c r="O1234" i="2"/>
  <c r="Q1233" i="2"/>
  <c r="P1233" i="2"/>
  <c r="O1233" i="2"/>
  <c r="Q1232" i="2"/>
  <c r="P1232" i="2"/>
  <c r="O1232" i="2"/>
  <c r="Q1231" i="2"/>
  <c r="P1231" i="2"/>
  <c r="O1231" i="2"/>
  <c r="Q1230" i="2"/>
  <c r="P1230" i="2"/>
  <c r="O1230" i="2"/>
  <c r="Q1229" i="2"/>
  <c r="P1229" i="2"/>
  <c r="O1229" i="2"/>
  <c r="Q1228" i="2"/>
  <c r="P1228" i="2"/>
  <c r="O1228" i="2"/>
  <c r="Q1227" i="2"/>
  <c r="P1227" i="2"/>
  <c r="O1227" i="2"/>
  <c r="Q1226" i="2"/>
  <c r="P1226" i="2"/>
  <c r="O1226" i="2"/>
  <c r="Q1225" i="2"/>
  <c r="P1225" i="2"/>
  <c r="O1225" i="2"/>
  <c r="Q1224" i="2"/>
  <c r="P1224" i="2"/>
  <c r="O1224" i="2"/>
  <c r="Q1223" i="2"/>
  <c r="P1223" i="2"/>
  <c r="O1223" i="2"/>
  <c r="Q1222" i="2"/>
  <c r="P1222" i="2"/>
  <c r="O1222" i="2"/>
  <c r="Q1221" i="2"/>
  <c r="P1221" i="2"/>
  <c r="O1221" i="2"/>
  <c r="Q1220" i="2"/>
  <c r="P1220" i="2"/>
  <c r="O1220" i="2"/>
  <c r="Q1219" i="2"/>
  <c r="P1219" i="2"/>
  <c r="O1219" i="2"/>
  <c r="Q1218" i="2"/>
  <c r="P1218" i="2"/>
  <c r="O1218" i="2"/>
  <c r="Q1217" i="2"/>
  <c r="P1217" i="2"/>
  <c r="O1217" i="2"/>
  <c r="Q1216" i="2"/>
  <c r="P1216" i="2"/>
  <c r="O1216" i="2"/>
  <c r="Q1215" i="2"/>
  <c r="P1215" i="2"/>
  <c r="O1215" i="2"/>
  <c r="Q1214" i="2"/>
  <c r="P1214" i="2"/>
  <c r="O1214" i="2"/>
  <c r="Q1213" i="2"/>
  <c r="P1213" i="2"/>
  <c r="O1213" i="2"/>
  <c r="Q1212" i="2"/>
  <c r="P1212" i="2"/>
  <c r="O1212" i="2"/>
  <c r="Q1211" i="2"/>
  <c r="P1211" i="2"/>
  <c r="O1211" i="2"/>
  <c r="Q1210" i="2"/>
  <c r="P1210" i="2"/>
  <c r="O1210" i="2"/>
  <c r="Q1209" i="2"/>
  <c r="P1209" i="2"/>
  <c r="O1209" i="2"/>
  <c r="Q1208" i="2"/>
  <c r="P1208" i="2"/>
  <c r="O1208" i="2"/>
  <c r="Q1207" i="2"/>
  <c r="P1207" i="2"/>
  <c r="O1207" i="2"/>
  <c r="Q1206" i="2"/>
  <c r="P1206" i="2"/>
  <c r="O1206" i="2"/>
  <c r="Q1205" i="2"/>
  <c r="P1205" i="2"/>
  <c r="O1205" i="2"/>
  <c r="Q1204" i="2"/>
  <c r="P1204" i="2"/>
  <c r="O1204" i="2"/>
  <c r="Q1203" i="2"/>
  <c r="P1203" i="2"/>
  <c r="O1203" i="2"/>
  <c r="Q1202" i="2"/>
  <c r="P1202" i="2"/>
  <c r="O1202" i="2"/>
  <c r="Q1201" i="2"/>
  <c r="P1201" i="2"/>
  <c r="O1201" i="2"/>
  <c r="Q1200" i="2"/>
  <c r="P1200" i="2"/>
  <c r="O1200" i="2"/>
  <c r="Q1199" i="2"/>
  <c r="P1199" i="2"/>
  <c r="O1199" i="2"/>
  <c r="Q1198" i="2"/>
  <c r="P1198" i="2"/>
  <c r="O1198" i="2"/>
  <c r="Q1197" i="2"/>
  <c r="P1197" i="2"/>
  <c r="O1197" i="2"/>
  <c r="Q1196" i="2"/>
  <c r="P1196" i="2"/>
  <c r="O1196" i="2"/>
  <c r="Q1195" i="2"/>
  <c r="P1195" i="2"/>
  <c r="O1195" i="2"/>
  <c r="Q1194" i="2"/>
  <c r="P1194" i="2"/>
  <c r="O1194" i="2"/>
  <c r="Q1193" i="2"/>
  <c r="P1193" i="2"/>
  <c r="O1193" i="2"/>
  <c r="Q1192" i="2"/>
  <c r="P1192" i="2"/>
  <c r="O1192" i="2"/>
  <c r="Q1191" i="2"/>
  <c r="P1191" i="2"/>
  <c r="O1191" i="2"/>
  <c r="Q1190" i="2"/>
  <c r="P1190" i="2"/>
  <c r="O1190" i="2"/>
  <c r="Q1189" i="2"/>
  <c r="P1189" i="2"/>
  <c r="O1189" i="2"/>
  <c r="Q1188" i="2"/>
  <c r="P1188" i="2"/>
  <c r="O1188" i="2"/>
  <c r="Q1187" i="2"/>
  <c r="P1187" i="2"/>
  <c r="O1187" i="2"/>
  <c r="Q1186" i="2"/>
  <c r="P1186" i="2"/>
  <c r="O1186" i="2"/>
  <c r="Q1185" i="2"/>
  <c r="P1185" i="2"/>
  <c r="O1185" i="2"/>
  <c r="Q1184" i="2"/>
  <c r="P1184" i="2"/>
  <c r="O1184" i="2"/>
  <c r="Q1183" i="2"/>
  <c r="P1183" i="2"/>
  <c r="O1183" i="2"/>
  <c r="Q1182" i="2"/>
  <c r="P1182" i="2"/>
  <c r="O1182" i="2"/>
  <c r="Q1181" i="2"/>
  <c r="P1181" i="2"/>
  <c r="O1181" i="2"/>
  <c r="Q1180" i="2"/>
  <c r="P1180" i="2"/>
  <c r="O1180" i="2"/>
  <c r="Q1179" i="2"/>
  <c r="P1179" i="2"/>
  <c r="O1179" i="2"/>
  <c r="Q1178" i="2"/>
  <c r="P1178" i="2"/>
  <c r="O1178" i="2"/>
  <c r="Q1177" i="2"/>
  <c r="P1177" i="2"/>
  <c r="O1177" i="2"/>
  <c r="Q1176" i="2"/>
  <c r="P1176" i="2"/>
  <c r="O1176" i="2"/>
  <c r="Q1175" i="2"/>
  <c r="P1175" i="2"/>
  <c r="O1175" i="2"/>
  <c r="Q1174" i="2"/>
  <c r="P1174" i="2"/>
  <c r="O1174" i="2"/>
  <c r="Q1173" i="2"/>
  <c r="P1173" i="2"/>
  <c r="O1173" i="2"/>
  <c r="Q1172" i="2"/>
  <c r="P1172" i="2"/>
  <c r="O1172" i="2"/>
  <c r="Q1171" i="2"/>
  <c r="P1171" i="2"/>
  <c r="O1171" i="2"/>
  <c r="Q1170" i="2"/>
  <c r="P1170" i="2"/>
  <c r="O1170" i="2"/>
  <c r="Q1169" i="2"/>
  <c r="P1169" i="2"/>
  <c r="O1169" i="2"/>
  <c r="Q1168" i="2"/>
  <c r="P1168" i="2"/>
  <c r="O1168" i="2"/>
  <c r="Q1167" i="2"/>
  <c r="P1167" i="2"/>
  <c r="O1167" i="2"/>
  <c r="Q1166" i="2"/>
  <c r="P1166" i="2"/>
  <c r="O1166" i="2"/>
  <c r="Q1165" i="2"/>
  <c r="P1165" i="2"/>
  <c r="O1165" i="2"/>
  <c r="Q1164" i="2"/>
  <c r="P1164" i="2"/>
  <c r="O1164" i="2"/>
  <c r="Q1163" i="2"/>
  <c r="P1163" i="2"/>
  <c r="O1163" i="2"/>
  <c r="Q1162" i="2"/>
  <c r="P1162" i="2"/>
  <c r="O1162" i="2"/>
  <c r="Q1161" i="2"/>
  <c r="P1161" i="2"/>
  <c r="O1161" i="2"/>
  <c r="Q1160" i="2"/>
  <c r="P1160" i="2"/>
  <c r="O1160" i="2"/>
  <c r="Q1159" i="2"/>
  <c r="P1159" i="2"/>
  <c r="O1159" i="2"/>
  <c r="Q1158" i="2"/>
  <c r="P1158" i="2"/>
  <c r="O1158" i="2"/>
  <c r="Q1157" i="2"/>
  <c r="P1157" i="2"/>
  <c r="O1157" i="2"/>
  <c r="Q1156" i="2"/>
  <c r="P1156" i="2"/>
  <c r="O1156" i="2"/>
  <c r="Q1155" i="2"/>
  <c r="P1155" i="2"/>
  <c r="O1155" i="2"/>
  <c r="Q1154" i="2"/>
  <c r="P1154" i="2"/>
  <c r="O1154" i="2"/>
  <c r="Q1153" i="2"/>
  <c r="P1153" i="2"/>
  <c r="O1153" i="2"/>
  <c r="Q1152" i="2"/>
  <c r="P1152" i="2"/>
  <c r="O1152" i="2"/>
  <c r="Q1151" i="2"/>
  <c r="P1151" i="2"/>
  <c r="O1151" i="2"/>
  <c r="Q1150" i="2"/>
  <c r="P1150" i="2"/>
  <c r="O1150" i="2"/>
  <c r="Q1149" i="2"/>
  <c r="P1149" i="2"/>
  <c r="O1149" i="2"/>
  <c r="Q1148" i="2"/>
  <c r="P1148" i="2"/>
  <c r="O1148" i="2"/>
  <c r="Q1147" i="2"/>
  <c r="P1147" i="2"/>
  <c r="O1147" i="2"/>
  <c r="Q1146" i="2"/>
  <c r="P1146" i="2"/>
  <c r="O1146" i="2"/>
  <c r="Q1145" i="2"/>
  <c r="P1145" i="2"/>
  <c r="O1145" i="2"/>
  <c r="Q1144" i="2"/>
  <c r="P1144" i="2"/>
  <c r="O1144" i="2"/>
  <c r="Q1143" i="2"/>
  <c r="P1143" i="2"/>
  <c r="O1143" i="2"/>
  <c r="Q1142" i="2"/>
  <c r="P1142" i="2"/>
  <c r="O1142" i="2"/>
  <c r="Q1141" i="2"/>
  <c r="P1141" i="2"/>
  <c r="O1141" i="2"/>
  <c r="Q1140" i="2"/>
  <c r="P1140" i="2"/>
  <c r="O1140" i="2"/>
  <c r="Q1139" i="2"/>
  <c r="P1139" i="2"/>
  <c r="O1139" i="2"/>
  <c r="Q1138" i="2"/>
  <c r="P1138" i="2"/>
  <c r="O1138" i="2"/>
  <c r="Q1137" i="2"/>
  <c r="P1137" i="2"/>
  <c r="O1137" i="2"/>
  <c r="Q1136" i="2"/>
  <c r="P1136" i="2"/>
  <c r="O1136" i="2"/>
  <c r="Q1135" i="2"/>
  <c r="P1135" i="2"/>
  <c r="O1135" i="2"/>
  <c r="Q1134" i="2"/>
  <c r="P1134" i="2"/>
  <c r="O1134" i="2"/>
  <c r="Q1133" i="2"/>
  <c r="P1133" i="2"/>
  <c r="O1133" i="2"/>
  <c r="Q1132" i="2"/>
  <c r="P1132" i="2"/>
  <c r="O1132" i="2"/>
  <c r="Q1131" i="2"/>
  <c r="P1131" i="2"/>
  <c r="O1131" i="2"/>
  <c r="Q1130" i="2"/>
  <c r="P1130" i="2"/>
  <c r="O1130" i="2"/>
  <c r="Q1129" i="2"/>
  <c r="P1129" i="2"/>
  <c r="O1129" i="2"/>
  <c r="Q1128" i="2"/>
  <c r="P1128" i="2"/>
  <c r="O1128" i="2"/>
  <c r="Q1127" i="2"/>
  <c r="P1127" i="2"/>
  <c r="O1127" i="2"/>
  <c r="Q1126" i="2"/>
  <c r="P1126" i="2"/>
  <c r="O1126" i="2"/>
  <c r="Q1125" i="2"/>
  <c r="P1125" i="2"/>
  <c r="O1125" i="2"/>
  <c r="Q1124" i="2"/>
  <c r="P1124" i="2"/>
  <c r="O1124" i="2"/>
  <c r="Q1123" i="2"/>
  <c r="P1123" i="2"/>
  <c r="O1123" i="2"/>
  <c r="Q1122" i="2"/>
  <c r="P1122" i="2"/>
  <c r="O1122" i="2"/>
  <c r="Q1121" i="2"/>
  <c r="P1121" i="2"/>
  <c r="O1121" i="2"/>
  <c r="Q1120" i="2"/>
  <c r="P1120" i="2"/>
  <c r="O1120" i="2"/>
  <c r="Q1119" i="2"/>
  <c r="P1119" i="2"/>
  <c r="O1119" i="2"/>
  <c r="Q1118" i="2"/>
  <c r="P1118" i="2"/>
  <c r="O1118" i="2"/>
  <c r="Q1117" i="2"/>
  <c r="P1117" i="2"/>
  <c r="O1117" i="2"/>
  <c r="Q1116" i="2"/>
  <c r="P1116" i="2"/>
  <c r="O1116" i="2"/>
  <c r="Q1115" i="2"/>
  <c r="P1115" i="2"/>
  <c r="O1115" i="2"/>
  <c r="Q1114" i="2"/>
  <c r="P1114" i="2"/>
  <c r="O1114" i="2"/>
  <c r="Q1113" i="2"/>
  <c r="P1113" i="2"/>
  <c r="O1113" i="2"/>
  <c r="Q1112" i="2"/>
  <c r="P1112" i="2"/>
  <c r="O1112" i="2"/>
  <c r="Q1111" i="2"/>
  <c r="P1111" i="2"/>
  <c r="O1111" i="2"/>
  <c r="Q1110" i="2"/>
  <c r="P1110" i="2"/>
  <c r="O1110" i="2"/>
  <c r="Q1109" i="2"/>
  <c r="P1109" i="2"/>
  <c r="O1109" i="2"/>
  <c r="Q1108" i="2"/>
  <c r="P1108" i="2"/>
  <c r="O1108" i="2"/>
  <c r="Q1107" i="2"/>
  <c r="P1107" i="2"/>
  <c r="O1107" i="2"/>
  <c r="Q1106" i="2"/>
  <c r="P1106" i="2"/>
  <c r="O1106" i="2"/>
  <c r="Q1105" i="2"/>
  <c r="P1105" i="2"/>
  <c r="O1105" i="2"/>
  <c r="Q1104" i="2"/>
  <c r="P1104" i="2"/>
  <c r="O1104" i="2"/>
  <c r="Q1103" i="2"/>
  <c r="P1103" i="2"/>
  <c r="O1103" i="2"/>
  <c r="Q1102" i="2"/>
  <c r="P1102" i="2"/>
  <c r="O1102" i="2"/>
  <c r="Q1101" i="2"/>
  <c r="P1101" i="2"/>
  <c r="O1101" i="2"/>
  <c r="Q1100" i="2"/>
  <c r="P1100" i="2"/>
  <c r="O1100" i="2"/>
  <c r="Q1099" i="2"/>
  <c r="P1099" i="2"/>
  <c r="O1099" i="2"/>
  <c r="Q1098" i="2"/>
  <c r="P1098" i="2"/>
  <c r="O1098" i="2"/>
  <c r="Q1097" i="2"/>
  <c r="P1097" i="2"/>
  <c r="O1097" i="2"/>
  <c r="Q1096" i="2"/>
  <c r="P1096" i="2"/>
  <c r="O1096" i="2"/>
  <c r="Q1095" i="2"/>
  <c r="P1095" i="2"/>
  <c r="O1095" i="2"/>
  <c r="Q1094" i="2"/>
  <c r="P1094" i="2"/>
  <c r="O1094" i="2"/>
  <c r="Q1093" i="2"/>
  <c r="P1093" i="2"/>
  <c r="O1093" i="2"/>
  <c r="Q1092" i="2"/>
  <c r="P1092" i="2"/>
  <c r="O1092" i="2"/>
  <c r="Q1091" i="2"/>
  <c r="P1091" i="2"/>
  <c r="O1091" i="2"/>
  <c r="Q1090" i="2"/>
  <c r="P1090" i="2"/>
  <c r="O1090" i="2"/>
  <c r="Q1089" i="2"/>
  <c r="P1089" i="2"/>
  <c r="O1089" i="2"/>
  <c r="Q1088" i="2"/>
  <c r="P1088" i="2"/>
  <c r="O1088" i="2"/>
  <c r="Q1087" i="2"/>
  <c r="P1087" i="2"/>
  <c r="O1087" i="2"/>
  <c r="Q1086" i="2"/>
  <c r="P1086" i="2"/>
  <c r="O1086" i="2"/>
  <c r="Q1085" i="2"/>
  <c r="P1085" i="2"/>
  <c r="O1085" i="2"/>
  <c r="Q1084" i="2"/>
  <c r="P1084" i="2"/>
  <c r="O1084" i="2"/>
  <c r="Q1083" i="2"/>
  <c r="P1083" i="2"/>
  <c r="O1083" i="2"/>
  <c r="Q1082" i="2"/>
  <c r="P1082" i="2"/>
  <c r="O1082" i="2"/>
  <c r="Q1081" i="2"/>
  <c r="P1081" i="2"/>
  <c r="O1081" i="2"/>
  <c r="Q1080" i="2"/>
  <c r="P1080" i="2"/>
  <c r="O1080" i="2"/>
  <c r="Q1079" i="2"/>
  <c r="P1079" i="2"/>
  <c r="O1079" i="2"/>
  <c r="Q1078" i="2"/>
  <c r="P1078" i="2"/>
  <c r="O1078" i="2"/>
  <c r="Q1077" i="2"/>
  <c r="P1077" i="2"/>
  <c r="O1077" i="2"/>
  <c r="Q1076" i="2"/>
  <c r="P1076" i="2"/>
  <c r="O1076" i="2"/>
  <c r="Q1075" i="2"/>
  <c r="P1075" i="2"/>
  <c r="O1075" i="2"/>
  <c r="Q1074" i="2"/>
  <c r="P1074" i="2"/>
  <c r="O1074" i="2"/>
  <c r="Q1073" i="2"/>
  <c r="P1073" i="2"/>
  <c r="O1073" i="2"/>
  <c r="Q1072" i="2"/>
  <c r="P1072" i="2"/>
  <c r="O1072" i="2"/>
  <c r="Q1071" i="2"/>
  <c r="P1071" i="2"/>
  <c r="O1071" i="2"/>
  <c r="Q1070" i="2"/>
  <c r="P1070" i="2"/>
  <c r="O1070" i="2"/>
  <c r="Q1069" i="2"/>
  <c r="P1069" i="2"/>
  <c r="O1069" i="2"/>
  <c r="Q1068" i="2"/>
  <c r="P1068" i="2"/>
  <c r="O1068" i="2"/>
  <c r="Q1067" i="2"/>
  <c r="P1067" i="2"/>
  <c r="O1067" i="2"/>
  <c r="Q1066" i="2"/>
  <c r="P1066" i="2"/>
  <c r="O1066" i="2"/>
  <c r="Q1065" i="2"/>
  <c r="P1065" i="2"/>
  <c r="O1065" i="2"/>
  <c r="Q1064" i="2"/>
  <c r="P1064" i="2"/>
  <c r="O1064" i="2"/>
  <c r="Q1063" i="2"/>
  <c r="P1063" i="2"/>
  <c r="O1063" i="2"/>
  <c r="Q1062" i="2"/>
  <c r="P1062" i="2"/>
  <c r="O1062" i="2"/>
  <c r="Q1061" i="2"/>
  <c r="P1061" i="2"/>
  <c r="O1061" i="2"/>
  <c r="Q1060" i="2"/>
  <c r="P1060" i="2"/>
  <c r="O1060" i="2"/>
  <c r="Q1059" i="2"/>
  <c r="P1059" i="2"/>
  <c r="O1059" i="2"/>
  <c r="Q1058" i="2"/>
  <c r="P1058" i="2"/>
  <c r="O1058" i="2"/>
  <c r="Q1057" i="2"/>
  <c r="P1057" i="2"/>
  <c r="O1057" i="2"/>
  <c r="Q1056" i="2"/>
  <c r="P1056" i="2"/>
  <c r="O1056" i="2"/>
  <c r="Q1055" i="2"/>
  <c r="P1055" i="2"/>
  <c r="O1055" i="2"/>
  <c r="Q1054" i="2"/>
  <c r="P1054" i="2"/>
  <c r="O1054" i="2"/>
  <c r="Q1053" i="2"/>
  <c r="P1053" i="2"/>
  <c r="O1053" i="2"/>
  <c r="Q1052" i="2"/>
  <c r="P1052" i="2"/>
  <c r="O1052" i="2"/>
  <c r="Q1051" i="2"/>
  <c r="P1051" i="2"/>
  <c r="O1051" i="2"/>
  <c r="Q1050" i="2"/>
  <c r="P1050" i="2"/>
  <c r="O1050" i="2"/>
  <c r="Q1049" i="2"/>
  <c r="P1049" i="2"/>
  <c r="O1049" i="2"/>
  <c r="Q1048" i="2"/>
  <c r="P1048" i="2"/>
  <c r="O1048" i="2"/>
  <c r="Q1047" i="2"/>
  <c r="P1047" i="2"/>
  <c r="O1047" i="2"/>
  <c r="Q1046" i="2"/>
  <c r="P1046" i="2"/>
  <c r="O1046" i="2"/>
  <c r="Q1045" i="2"/>
  <c r="P1045" i="2"/>
  <c r="O1045" i="2"/>
  <c r="Q1044" i="2"/>
  <c r="P1044" i="2"/>
  <c r="O1044" i="2"/>
  <c r="Q1043" i="2"/>
  <c r="P1043" i="2"/>
  <c r="O1043" i="2"/>
  <c r="Q1042" i="2"/>
  <c r="P1042" i="2"/>
  <c r="O1042" i="2"/>
  <c r="Q1041" i="2"/>
  <c r="P1041" i="2"/>
  <c r="O1041" i="2"/>
  <c r="Q1040" i="2"/>
  <c r="P1040" i="2"/>
  <c r="O1040" i="2"/>
  <c r="Q1039" i="2"/>
  <c r="P1039" i="2"/>
  <c r="O1039" i="2"/>
  <c r="Q1038" i="2"/>
  <c r="P1038" i="2"/>
  <c r="O1038" i="2"/>
  <c r="Q1037" i="2"/>
  <c r="P1037" i="2"/>
  <c r="O1037" i="2"/>
  <c r="Q1036" i="2"/>
  <c r="P1036" i="2"/>
  <c r="O1036" i="2"/>
  <c r="Q1035" i="2"/>
  <c r="P1035" i="2"/>
  <c r="O1035" i="2"/>
  <c r="Q1034" i="2"/>
  <c r="P1034" i="2"/>
  <c r="O1034" i="2"/>
  <c r="Q1033" i="2"/>
  <c r="P1033" i="2"/>
  <c r="O1033" i="2"/>
  <c r="Q1032" i="2"/>
  <c r="P1032" i="2"/>
  <c r="O1032" i="2"/>
  <c r="Q1031" i="2"/>
  <c r="P1031" i="2"/>
  <c r="O1031" i="2"/>
  <c r="Q1030" i="2"/>
  <c r="P1030" i="2"/>
  <c r="O1030" i="2"/>
  <c r="Q1029" i="2"/>
  <c r="P1029" i="2"/>
  <c r="O1029" i="2"/>
  <c r="Q1028" i="2"/>
  <c r="P1028" i="2"/>
  <c r="O1028" i="2"/>
  <c r="Q1027" i="2"/>
  <c r="P1027" i="2"/>
  <c r="O1027" i="2"/>
  <c r="Q1026" i="2"/>
  <c r="P1026" i="2"/>
  <c r="O1026" i="2"/>
  <c r="Q1025" i="2"/>
  <c r="P1025" i="2"/>
  <c r="O1025" i="2"/>
  <c r="Q1024" i="2"/>
  <c r="P1024" i="2"/>
  <c r="O1024" i="2"/>
  <c r="Q1023" i="2"/>
  <c r="P1023" i="2"/>
  <c r="O1023" i="2"/>
  <c r="Q1022" i="2"/>
  <c r="P1022" i="2"/>
  <c r="O1022" i="2"/>
  <c r="Q1021" i="2"/>
  <c r="P1021" i="2"/>
  <c r="O1021" i="2"/>
  <c r="Q1020" i="2"/>
  <c r="P1020" i="2"/>
  <c r="O1020" i="2"/>
  <c r="Q1019" i="2"/>
  <c r="P1019" i="2"/>
  <c r="O1019" i="2"/>
  <c r="Q1018" i="2"/>
  <c r="P1018" i="2"/>
  <c r="O1018" i="2"/>
  <c r="Q1017" i="2"/>
  <c r="P1017" i="2"/>
  <c r="O1017" i="2"/>
  <c r="Q1016" i="2"/>
  <c r="P1016" i="2"/>
  <c r="O1016" i="2"/>
  <c r="Q1015" i="2"/>
  <c r="P1015" i="2"/>
  <c r="O1015" i="2"/>
  <c r="Q1014" i="2"/>
  <c r="P1014" i="2"/>
  <c r="O1014" i="2"/>
  <c r="Q1013" i="2"/>
  <c r="P1013" i="2"/>
  <c r="O1013" i="2"/>
  <c r="Q1012" i="2"/>
  <c r="P1012" i="2"/>
  <c r="O1012" i="2"/>
  <c r="Q1011" i="2"/>
  <c r="P1011" i="2"/>
  <c r="O1011" i="2"/>
  <c r="Q1010" i="2"/>
  <c r="P1010" i="2"/>
  <c r="O1010" i="2"/>
  <c r="Q1009" i="2"/>
  <c r="P1009" i="2"/>
  <c r="O1009" i="2"/>
  <c r="Q1008" i="2"/>
  <c r="P1008" i="2"/>
  <c r="O1008" i="2"/>
  <c r="Q1007" i="2"/>
  <c r="P1007" i="2"/>
  <c r="O1007" i="2"/>
  <c r="Q1006" i="2"/>
  <c r="P1006" i="2"/>
  <c r="O1006" i="2"/>
  <c r="Q1005" i="2"/>
  <c r="P1005" i="2"/>
  <c r="O1005" i="2"/>
  <c r="Q1004" i="2"/>
  <c r="P1004" i="2"/>
  <c r="O1004" i="2"/>
  <c r="Q1003" i="2"/>
  <c r="P1003" i="2"/>
  <c r="O1003" i="2"/>
  <c r="Q1002" i="2"/>
  <c r="P1002" i="2"/>
  <c r="O1002" i="2"/>
  <c r="Q1001" i="2"/>
  <c r="P1001" i="2"/>
  <c r="O1001" i="2"/>
  <c r="Q1000" i="2"/>
  <c r="P1000" i="2"/>
  <c r="O1000" i="2"/>
  <c r="Q999" i="2"/>
  <c r="P999" i="2"/>
  <c r="O999" i="2"/>
  <c r="Q998" i="2"/>
  <c r="P998" i="2"/>
  <c r="O998" i="2"/>
  <c r="Q997" i="2"/>
  <c r="P997" i="2"/>
  <c r="O997" i="2"/>
  <c r="Q996" i="2"/>
  <c r="P996" i="2"/>
  <c r="O996" i="2"/>
  <c r="Q995" i="2"/>
  <c r="P995" i="2"/>
  <c r="O995" i="2"/>
  <c r="Q994" i="2"/>
  <c r="P994" i="2"/>
  <c r="O994" i="2"/>
  <c r="Q993" i="2"/>
  <c r="P993" i="2"/>
  <c r="O993" i="2"/>
  <c r="Q992" i="2"/>
  <c r="P992" i="2"/>
  <c r="O992" i="2"/>
  <c r="Q991" i="2"/>
  <c r="P991" i="2"/>
  <c r="O991" i="2"/>
  <c r="Q990" i="2"/>
  <c r="P990" i="2"/>
  <c r="O990" i="2"/>
  <c r="Q989" i="2"/>
  <c r="P989" i="2"/>
  <c r="O989" i="2"/>
  <c r="Q988" i="2"/>
  <c r="P988" i="2"/>
  <c r="O988" i="2"/>
  <c r="Q987" i="2"/>
  <c r="P987" i="2"/>
  <c r="O987" i="2"/>
  <c r="Q986" i="2"/>
  <c r="P986" i="2"/>
  <c r="O986" i="2"/>
  <c r="Q985" i="2"/>
  <c r="P985" i="2"/>
  <c r="O985" i="2"/>
  <c r="Q984" i="2"/>
  <c r="P984" i="2"/>
  <c r="O984" i="2"/>
  <c r="Q983" i="2"/>
  <c r="P983" i="2"/>
  <c r="O983" i="2"/>
  <c r="Q982" i="2"/>
  <c r="P982" i="2"/>
  <c r="O982" i="2"/>
  <c r="Q981" i="2"/>
  <c r="P981" i="2"/>
  <c r="O981" i="2"/>
  <c r="Q980" i="2"/>
  <c r="P980" i="2"/>
  <c r="O980" i="2"/>
  <c r="Q979" i="2"/>
  <c r="P979" i="2"/>
  <c r="O979" i="2"/>
  <c r="Q978" i="2"/>
  <c r="P978" i="2"/>
  <c r="O978" i="2"/>
  <c r="Q977" i="2"/>
  <c r="P977" i="2"/>
  <c r="O977" i="2"/>
  <c r="Q976" i="2"/>
  <c r="P976" i="2"/>
  <c r="O976" i="2"/>
  <c r="Q975" i="2"/>
  <c r="P975" i="2"/>
  <c r="O975" i="2"/>
  <c r="Q974" i="2"/>
  <c r="P974" i="2"/>
  <c r="O974" i="2"/>
  <c r="Q973" i="2"/>
  <c r="P973" i="2"/>
  <c r="O973" i="2"/>
  <c r="Q972" i="2"/>
  <c r="P972" i="2"/>
  <c r="O972" i="2"/>
  <c r="Q971" i="2"/>
  <c r="P971" i="2"/>
  <c r="O971" i="2"/>
  <c r="Q970" i="2"/>
  <c r="P970" i="2"/>
  <c r="O970" i="2"/>
  <c r="Q969" i="2"/>
  <c r="P969" i="2"/>
  <c r="O969" i="2"/>
  <c r="Q968" i="2"/>
  <c r="P968" i="2"/>
  <c r="O968" i="2"/>
  <c r="Q967" i="2"/>
  <c r="P967" i="2"/>
  <c r="O967" i="2"/>
  <c r="Q966" i="2"/>
  <c r="P966" i="2"/>
  <c r="O966" i="2"/>
  <c r="Q965" i="2"/>
  <c r="P965" i="2"/>
  <c r="O965" i="2"/>
  <c r="Q964" i="2"/>
  <c r="P964" i="2"/>
  <c r="O964" i="2"/>
  <c r="Q963" i="2"/>
  <c r="P963" i="2"/>
  <c r="O963" i="2"/>
  <c r="Q962" i="2"/>
  <c r="P962" i="2"/>
  <c r="O962" i="2"/>
  <c r="Q961" i="2"/>
  <c r="P961" i="2"/>
  <c r="O961" i="2"/>
  <c r="Q960" i="2"/>
  <c r="P960" i="2"/>
  <c r="O960" i="2"/>
  <c r="Q959" i="2"/>
  <c r="P959" i="2"/>
  <c r="O959" i="2"/>
  <c r="Q958" i="2"/>
  <c r="P958" i="2"/>
  <c r="O958" i="2"/>
  <c r="Q957" i="2"/>
  <c r="P957" i="2"/>
  <c r="O957" i="2"/>
  <c r="Q956" i="2"/>
  <c r="P956" i="2"/>
  <c r="O956" i="2"/>
  <c r="Q955" i="2"/>
  <c r="P955" i="2"/>
  <c r="O955" i="2"/>
  <c r="Q954" i="2"/>
  <c r="P954" i="2"/>
  <c r="O954" i="2"/>
  <c r="Q953" i="2"/>
  <c r="P953" i="2"/>
  <c r="O953" i="2"/>
  <c r="Q952" i="2"/>
  <c r="P952" i="2"/>
  <c r="O952" i="2"/>
  <c r="Q951" i="2"/>
  <c r="P951" i="2"/>
  <c r="O951" i="2"/>
  <c r="Q950" i="2"/>
  <c r="P950" i="2"/>
  <c r="O950" i="2"/>
  <c r="Q949" i="2"/>
  <c r="P949" i="2"/>
  <c r="O949" i="2"/>
  <c r="Q948" i="2"/>
  <c r="P948" i="2"/>
  <c r="O948" i="2"/>
  <c r="Q947" i="2"/>
  <c r="P947" i="2"/>
  <c r="O947" i="2"/>
  <c r="Q946" i="2"/>
  <c r="P946" i="2"/>
  <c r="O946" i="2"/>
  <c r="Q945" i="2"/>
  <c r="P945" i="2"/>
  <c r="O945" i="2"/>
  <c r="Q944" i="2"/>
  <c r="P944" i="2"/>
  <c r="O944" i="2"/>
  <c r="Q943" i="2"/>
  <c r="P943" i="2"/>
  <c r="O943" i="2"/>
  <c r="Q942" i="2"/>
  <c r="P942" i="2"/>
  <c r="O942" i="2"/>
  <c r="Q941" i="2"/>
  <c r="P941" i="2"/>
  <c r="O941" i="2"/>
  <c r="Q940" i="2"/>
  <c r="P940" i="2"/>
  <c r="O940" i="2"/>
  <c r="Q939" i="2"/>
  <c r="P939" i="2"/>
  <c r="O939" i="2"/>
  <c r="Q938" i="2"/>
  <c r="P938" i="2"/>
  <c r="O938" i="2"/>
  <c r="Q937" i="2"/>
  <c r="P937" i="2"/>
  <c r="O937" i="2"/>
  <c r="Q936" i="2"/>
  <c r="P936" i="2"/>
  <c r="O936" i="2"/>
  <c r="Q935" i="2"/>
  <c r="P935" i="2"/>
  <c r="O935" i="2"/>
  <c r="Q934" i="2"/>
  <c r="P934" i="2"/>
  <c r="O934" i="2"/>
  <c r="Q933" i="2"/>
  <c r="P933" i="2"/>
  <c r="O933" i="2"/>
  <c r="Q932" i="2"/>
  <c r="P932" i="2"/>
  <c r="O932" i="2"/>
  <c r="Q931" i="2"/>
  <c r="P931" i="2"/>
  <c r="O931" i="2"/>
  <c r="Q930" i="2"/>
  <c r="P930" i="2"/>
  <c r="O930" i="2"/>
  <c r="Q929" i="2"/>
  <c r="P929" i="2"/>
  <c r="O929" i="2"/>
  <c r="Q928" i="2"/>
  <c r="P928" i="2"/>
  <c r="O928" i="2"/>
  <c r="Q927" i="2"/>
  <c r="P927" i="2"/>
  <c r="O927" i="2"/>
  <c r="Q926" i="2"/>
  <c r="P926" i="2"/>
  <c r="O926" i="2"/>
  <c r="Q925" i="2"/>
  <c r="P925" i="2"/>
  <c r="O925" i="2"/>
  <c r="Q924" i="2"/>
  <c r="P924" i="2"/>
  <c r="O924" i="2"/>
  <c r="Q923" i="2"/>
  <c r="P923" i="2"/>
  <c r="O923" i="2"/>
  <c r="Q922" i="2"/>
  <c r="P922" i="2"/>
  <c r="O922" i="2"/>
  <c r="Q921" i="2"/>
  <c r="P921" i="2"/>
  <c r="O921" i="2"/>
  <c r="Q920" i="2"/>
  <c r="P920" i="2"/>
  <c r="O920" i="2"/>
  <c r="Q919" i="2"/>
  <c r="P919" i="2"/>
  <c r="O919" i="2"/>
  <c r="Q918" i="2"/>
  <c r="P918" i="2"/>
  <c r="O918" i="2"/>
  <c r="Q917" i="2"/>
  <c r="P917" i="2"/>
  <c r="O917" i="2"/>
  <c r="Q916" i="2"/>
  <c r="P916" i="2"/>
  <c r="O916" i="2"/>
  <c r="Q915" i="2"/>
  <c r="P915" i="2"/>
  <c r="O915" i="2"/>
  <c r="Q914" i="2"/>
  <c r="P914" i="2"/>
  <c r="O914" i="2"/>
  <c r="Q913" i="2"/>
  <c r="P913" i="2"/>
  <c r="O913" i="2"/>
  <c r="Q912" i="2"/>
  <c r="P912" i="2"/>
  <c r="O912" i="2"/>
  <c r="Q911" i="2"/>
  <c r="P911" i="2"/>
  <c r="O911" i="2"/>
  <c r="Q910" i="2"/>
  <c r="P910" i="2"/>
  <c r="O910" i="2"/>
  <c r="Q909" i="2"/>
  <c r="P909" i="2"/>
  <c r="O909" i="2"/>
  <c r="Q908" i="2"/>
  <c r="P908" i="2"/>
  <c r="O908" i="2"/>
  <c r="Q907" i="2"/>
  <c r="P907" i="2"/>
  <c r="O907" i="2"/>
  <c r="Q906" i="2"/>
  <c r="P906" i="2"/>
  <c r="O906" i="2"/>
  <c r="Q905" i="2"/>
  <c r="P905" i="2"/>
  <c r="O905" i="2"/>
  <c r="Q904" i="2"/>
  <c r="P904" i="2"/>
  <c r="O904" i="2"/>
  <c r="Q903" i="2"/>
  <c r="P903" i="2"/>
  <c r="O903" i="2"/>
  <c r="Q902" i="2"/>
  <c r="P902" i="2"/>
  <c r="O902" i="2"/>
  <c r="Q901" i="2"/>
  <c r="P901" i="2"/>
  <c r="O901" i="2"/>
  <c r="Q900" i="2"/>
  <c r="P900" i="2"/>
  <c r="O900" i="2"/>
  <c r="Q899" i="2"/>
  <c r="P899" i="2"/>
  <c r="O899" i="2"/>
  <c r="Q898" i="2"/>
  <c r="P898" i="2"/>
  <c r="O898" i="2"/>
  <c r="Q897" i="2"/>
  <c r="P897" i="2"/>
  <c r="O897" i="2"/>
  <c r="Q896" i="2"/>
  <c r="P896" i="2"/>
  <c r="O896" i="2"/>
  <c r="Q895" i="2"/>
  <c r="P895" i="2"/>
  <c r="O895" i="2"/>
  <c r="Q894" i="2"/>
  <c r="P894" i="2"/>
  <c r="O894" i="2"/>
  <c r="Q893" i="2"/>
  <c r="P893" i="2"/>
  <c r="O893" i="2"/>
  <c r="Q892" i="2"/>
  <c r="P892" i="2"/>
  <c r="O892" i="2"/>
  <c r="Q891" i="2"/>
  <c r="P891" i="2"/>
  <c r="O891" i="2"/>
  <c r="Q890" i="2"/>
  <c r="P890" i="2"/>
  <c r="O890" i="2"/>
  <c r="Q889" i="2"/>
  <c r="P889" i="2"/>
  <c r="O889" i="2"/>
  <c r="Q888" i="2"/>
  <c r="P888" i="2"/>
  <c r="O888" i="2"/>
  <c r="Q887" i="2"/>
  <c r="P887" i="2"/>
  <c r="O887" i="2"/>
  <c r="Q886" i="2"/>
  <c r="P886" i="2"/>
  <c r="O886" i="2"/>
  <c r="Q885" i="2"/>
  <c r="P885" i="2"/>
  <c r="O885" i="2"/>
  <c r="Q884" i="2"/>
  <c r="P884" i="2"/>
  <c r="O884" i="2"/>
  <c r="Q883" i="2"/>
  <c r="P883" i="2"/>
  <c r="O883" i="2"/>
  <c r="Q882" i="2"/>
  <c r="P882" i="2"/>
  <c r="O882" i="2"/>
  <c r="Q881" i="2"/>
  <c r="P881" i="2"/>
  <c r="O881" i="2"/>
  <c r="Q880" i="2"/>
  <c r="P880" i="2"/>
  <c r="O880" i="2"/>
  <c r="Q879" i="2"/>
  <c r="P879" i="2"/>
  <c r="O879" i="2"/>
  <c r="Q878" i="2"/>
  <c r="P878" i="2"/>
  <c r="O878" i="2"/>
  <c r="Q877" i="2"/>
  <c r="P877" i="2"/>
  <c r="O877" i="2"/>
  <c r="Q876" i="2"/>
  <c r="P876" i="2"/>
  <c r="O876" i="2"/>
  <c r="Q875" i="2"/>
  <c r="P875" i="2"/>
  <c r="O875" i="2"/>
  <c r="Q874" i="2"/>
  <c r="P874" i="2"/>
  <c r="O874" i="2"/>
  <c r="Q873" i="2"/>
  <c r="P873" i="2"/>
  <c r="O873" i="2"/>
  <c r="Q872" i="2"/>
  <c r="P872" i="2"/>
  <c r="O872" i="2"/>
  <c r="Q871" i="2"/>
  <c r="P871" i="2"/>
  <c r="O871" i="2"/>
  <c r="Q870" i="2"/>
  <c r="P870" i="2"/>
  <c r="O870" i="2"/>
  <c r="Q869" i="2"/>
  <c r="P869" i="2"/>
  <c r="O869" i="2"/>
  <c r="Q868" i="2"/>
  <c r="P868" i="2"/>
  <c r="O868" i="2"/>
  <c r="Q867" i="2"/>
  <c r="P867" i="2"/>
  <c r="O867" i="2"/>
  <c r="Q866" i="2"/>
  <c r="P866" i="2"/>
  <c r="O866" i="2"/>
  <c r="Q865" i="2"/>
  <c r="P865" i="2"/>
  <c r="O865" i="2"/>
  <c r="Q864" i="2"/>
  <c r="P864" i="2"/>
  <c r="O864" i="2"/>
  <c r="Q863" i="2"/>
  <c r="P863" i="2"/>
  <c r="O863" i="2"/>
  <c r="Q862" i="2"/>
  <c r="P862" i="2"/>
  <c r="O862" i="2"/>
  <c r="Q861" i="2"/>
  <c r="P861" i="2"/>
  <c r="O861" i="2"/>
  <c r="Q860" i="2"/>
  <c r="P860" i="2"/>
  <c r="O860" i="2"/>
  <c r="Q859" i="2"/>
  <c r="P859" i="2"/>
  <c r="O859" i="2"/>
  <c r="Q858" i="2"/>
  <c r="P858" i="2"/>
  <c r="O858" i="2"/>
  <c r="Q857" i="2"/>
  <c r="P857" i="2"/>
  <c r="O857" i="2"/>
  <c r="Q856" i="2"/>
  <c r="P856" i="2"/>
  <c r="O856" i="2"/>
  <c r="Q855" i="2"/>
  <c r="P855" i="2"/>
  <c r="O855" i="2"/>
  <c r="Q854" i="2"/>
  <c r="P854" i="2"/>
  <c r="O854" i="2"/>
  <c r="Q853" i="2"/>
  <c r="P853" i="2"/>
  <c r="O853" i="2"/>
  <c r="Q852" i="2"/>
  <c r="P852" i="2"/>
  <c r="O852" i="2"/>
  <c r="Q851" i="2"/>
  <c r="P851" i="2"/>
  <c r="O851" i="2"/>
  <c r="Q850" i="2"/>
  <c r="P850" i="2"/>
  <c r="O850" i="2"/>
  <c r="Q849" i="2"/>
  <c r="P849" i="2"/>
  <c r="O849" i="2"/>
  <c r="Q848" i="2"/>
  <c r="P848" i="2"/>
  <c r="O848" i="2"/>
  <c r="Q847" i="2"/>
  <c r="P847" i="2"/>
  <c r="O847" i="2"/>
  <c r="Q846" i="2"/>
  <c r="P846" i="2"/>
  <c r="O846" i="2"/>
  <c r="Q845" i="2"/>
  <c r="P845" i="2"/>
  <c r="O845" i="2"/>
  <c r="Q844" i="2"/>
  <c r="P844" i="2"/>
  <c r="O844" i="2"/>
  <c r="Q843" i="2"/>
  <c r="P843" i="2"/>
  <c r="O843" i="2"/>
  <c r="Q842" i="2"/>
  <c r="P842" i="2"/>
  <c r="O842" i="2"/>
  <c r="Q841" i="2"/>
  <c r="P841" i="2"/>
  <c r="O841" i="2"/>
  <c r="Q840" i="2"/>
  <c r="P840" i="2"/>
  <c r="O840" i="2"/>
  <c r="Q839" i="2"/>
  <c r="P839" i="2"/>
  <c r="O839" i="2"/>
  <c r="Q838" i="2"/>
  <c r="P838" i="2"/>
  <c r="O838" i="2"/>
  <c r="Q837" i="2"/>
  <c r="P837" i="2"/>
  <c r="O837" i="2"/>
  <c r="Q836" i="2"/>
  <c r="P836" i="2"/>
  <c r="O836" i="2"/>
  <c r="Q835" i="2"/>
  <c r="P835" i="2"/>
  <c r="O835" i="2"/>
  <c r="Q834" i="2"/>
  <c r="P834" i="2"/>
  <c r="O834" i="2"/>
  <c r="Q833" i="2"/>
  <c r="P833" i="2"/>
  <c r="O833" i="2"/>
  <c r="Q832" i="2"/>
  <c r="P832" i="2"/>
  <c r="O832" i="2"/>
  <c r="Q831" i="2"/>
  <c r="P831" i="2"/>
  <c r="O831" i="2"/>
  <c r="Q830" i="2"/>
  <c r="P830" i="2"/>
  <c r="O830" i="2"/>
  <c r="Q829" i="2"/>
  <c r="P829" i="2"/>
  <c r="O829" i="2"/>
  <c r="Q828" i="2"/>
  <c r="P828" i="2"/>
  <c r="O828" i="2"/>
  <c r="Q827" i="2"/>
  <c r="P827" i="2"/>
  <c r="O827" i="2"/>
  <c r="Q826" i="2"/>
  <c r="P826" i="2"/>
  <c r="O826" i="2"/>
  <c r="Q825" i="2"/>
  <c r="P825" i="2"/>
  <c r="O825" i="2"/>
  <c r="Q824" i="2"/>
  <c r="P824" i="2"/>
  <c r="O824" i="2"/>
  <c r="Q823" i="2"/>
  <c r="P823" i="2"/>
  <c r="O823" i="2"/>
  <c r="Q822" i="2"/>
  <c r="P822" i="2"/>
  <c r="O822" i="2"/>
  <c r="Q821" i="2"/>
  <c r="P821" i="2"/>
  <c r="O821" i="2"/>
  <c r="Q820" i="2"/>
  <c r="P820" i="2"/>
  <c r="O820" i="2"/>
  <c r="Q819" i="2"/>
  <c r="P819" i="2"/>
  <c r="O819" i="2"/>
  <c r="Q818" i="2"/>
  <c r="P818" i="2"/>
  <c r="O818" i="2"/>
  <c r="Q817" i="2"/>
  <c r="P817" i="2"/>
  <c r="O817" i="2"/>
  <c r="Q816" i="2"/>
  <c r="P816" i="2"/>
  <c r="O816" i="2"/>
  <c r="Q815" i="2"/>
  <c r="P815" i="2"/>
  <c r="O815" i="2"/>
  <c r="Q814" i="2"/>
  <c r="P814" i="2"/>
  <c r="O814" i="2"/>
  <c r="Q813" i="2"/>
  <c r="P813" i="2"/>
  <c r="O813" i="2"/>
  <c r="Q812" i="2"/>
  <c r="P812" i="2"/>
  <c r="O812" i="2"/>
  <c r="Q811" i="2"/>
  <c r="P811" i="2"/>
  <c r="O811" i="2"/>
  <c r="Q810" i="2"/>
  <c r="P810" i="2"/>
  <c r="O810" i="2"/>
  <c r="Q809" i="2"/>
  <c r="P809" i="2"/>
  <c r="O809" i="2"/>
  <c r="Q808" i="2"/>
  <c r="P808" i="2"/>
  <c r="O808" i="2"/>
  <c r="Q807" i="2"/>
  <c r="P807" i="2"/>
  <c r="O807" i="2"/>
  <c r="Q806" i="2"/>
  <c r="P806" i="2"/>
  <c r="O806" i="2"/>
  <c r="Q805" i="2"/>
  <c r="P805" i="2"/>
  <c r="O805" i="2"/>
  <c r="Q804" i="2"/>
  <c r="P804" i="2"/>
  <c r="O804" i="2"/>
  <c r="Q803" i="2"/>
  <c r="P803" i="2"/>
  <c r="O803" i="2"/>
  <c r="Q802" i="2"/>
  <c r="P802" i="2"/>
  <c r="O802" i="2"/>
  <c r="Q801" i="2"/>
  <c r="P801" i="2"/>
  <c r="O801" i="2"/>
  <c r="Q800" i="2"/>
  <c r="P800" i="2"/>
  <c r="O800" i="2"/>
  <c r="Q799" i="2"/>
  <c r="P799" i="2"/>
  <c r="O799" i="2"/>
  <c r="Q798" i="2"/>
  <c r="P798" i="2"/>
  <c r="O798" i="2"/>
  <c r="Q797" i="2"/>
  <c r="P797" i="2"/>
  <c r="O797" i="2"/>
  <c r="Q796" i="2"/>
  <c r="P796" i="2"/>
  <c r="O796" i="2"/>
  <c r="Q795" i="2"/>
  <c r="P795" i="2"/>
  <c r="O795" i="2"/>
  <c r="Q794" i="2"/>
  <c r="P794" i="2"/>
  <c r="O794" i="2"/>
  <c r="Q793" i="2"/>
  <c r="P793" i="2"/>
  <c r="O793" i="2"/>
  <c r="Q792" i="2"/>
  <c r="P792" i="2"/>
  <c r="O792" i="2"/>
  <c r="Q791" i="2"/>
  <c r="P791" i="2"/>
  <c r="O791" i="2"/>
  <c r="Q790" i="2"/>
  <c r="P790" i="2"/>
  <c r="O790" i="2"/>
  <c r="Q789" i="2"/>
  <c r="P789" i="2"/>
  <c r="O789" i="2"/>
  <c r="Q788" i="2"/>
  <c r="P788" i="2"/>
  <c r="O788" i="2"/>
  <c r="Q787" i="2"/>
  <c r="P787" i="2"/>
  <c r="O787" i="2"/>
  <c r="Q786" i="2"/>
  <c r="P786" i="2"/>
  <c r="O786" i="2"/>
  <c r="Q785" i="2"/>
  <c r="P785" i="2"/>
  <c r="O785" i="2"/>
  <c r="Q784" i="2"/>
  <c r="P784" i="2"/>
  <c r="O784" i="2"/>
  <c r="Q783" i="2"/>
  <c r="P783" i="2"/>
  <c r="O783" i="2"/>
  <c r="Q782" i="2"/>
  <c r="P782" i="2"/>
  <c r="O782" i="2"/>
  <c r="Q781" i="2"/>
  <c r="P781" i="2"/>
  <c r="O781" i="2"/>
  <c r="Q780" i="2"/>
  <c r="P780" i="2"/>
  <c r="O780" i="2"/>
  <c r="Q779" i="2"/>
  <c r="P779" i="2"/>
  <c r="O779" i="2"/>
  <c r="Q778" i="2"/>
  <c r="P778" i="2"/>
  <c r="O778" i="2"/>
  <c r="Q777" i="2"/>
  <c r="P777" i="2"/>
  <c r="O777" i="2"/>
  <c r="Q776" i="2"/>
  <c r="P776" i="2"/>
  <c r="O776" i="2"/>
  <c r="Q775" i="2"/>
  <c r="P775" i="2"/>
  <c r="O775" i="2"/>
  <c r="Q774" i="2"/>
  <c r="P774" i="2"/>
  <c r="O774" i="2"/>
  <c r="Q773" i="2"/>
  <c r="P773" i="2"/>
  <c r="O773" i="2"/>
  <c r="Q772" i="2"/>
  <c r="P772" i="2"/>
  <c r="O772" i="2"/>
  <c r="Q771" i="2"/>
  <c r="P771" i="2"/>
  <c r="O771" i="2"/>
  <c r="Q770" i="2"/>
  <c r="P770" i="2"/>
  <c r="O770" i="2"/>
  <c r="Q769" i="2"/>
  <c r="P769" i="2"/>
  <c r="O769" i="2"/>
  <c r="Q768" i="2"/>
  <c r="P768" i="2"/>
  <c r="O768" i="2"/>
  <c r="Q767" i="2"/>
  <c r="P767" i="2"/>
  <c r="O767" i="2"/>
  <c r="Q766" i="2"/>
  <c r="P766" i="2"/>
  <c r="O766" i="2"/>
  <c r="Q765" i="2"/>
  <c r="P765" i="2"/>
  <c r="O765" i="2"/>
  <c r="Q764" i="2"/>
  <c r="P764" i="2"/>
  <c r="O764" i="2"/>
  <c r="Q763" i="2"/>
  <c r="P763" i="2"/>
  <c r="O763" i="2"/>
  <c r="Q762" i="2"/>
  <c r="P762" i="2"/>
  <c r="O762" i="2"/>
  <c r="Q761" i="2"/>
  <c r="P761" i="2"/>
  <c r="O761" i="2"/>
  <c r="Q760" i="2"/>
  <c r="P760" i="2"/>
  <c r="O760" i="2"/>
  <c r="Q759" i="2"/>
  <c r="P759" i="2"/>
  <c r="O759" i="2"/>
  <c r="Q758" i="2"/>
  <c r="P758" i="2"/>
  <c r="O758" i="2"/>
  <c r="Q757" i="2"/>
  <c r="P757" i="2"/>
  <c r="O757" i="2"/>
  <c r="Q756" i="2"/>
  <c r="P756" i="2"/>
  <c r="O756" i="2"/>
  <c r="Q755" i="2"/>
  <c r="P755" i="2"/>
  <c r="O755" i="2"/>
  <c r="Q754" i="2"/>
  <c r="P754" i="2"/>
  <c r="O754" i="2"/>
  <c r="Q753" i="2"/>
  <c r="P753" i="2"/>
  <c r="O753" i="2"/>
  <c r="Q752" i="2"/>
  <c r="P752" i="2"/>
  <c r="O752" i="2"/>
  <c r="Q751" i="2"/>
  <c r="P751" i="2"/>
  <c r="O751" i="2"/>
  <c r="Q750" i="2"/>
  <c r="P750" i="2"/>
  <c r="O750" i="2"/>
  <c r="Q749" i="2"/>
  <c r="P749" i="2"/>
  <c r="O749" i="2"/>
  <c r="Q748" i="2"/>
  <c r="P748" i="2"/>
  <c r="O748" i="2"/>
  <c r="Q747" i="2"/>
  <c r="P747" i="2"/>
  <c r="O747" i="2"/>
  <c r="Q746" i="2"/>
  <c r="P746" i="2"/>
  <c r="O746" i="2"/>
  <c r="Q745" i="2"/>
  <c r="P745" i="2"/>
  <c r="O745" i="2"/>
  <c r="Q744" i="2"/>
  <c r="P744" i="2"/>
  <c r="O744" i="2"/>
  <c r="Q743" i="2"/>
  <c r="P743" i="2"/>
  <c r="O743" i="2"/>
  <c r="Q742" i="2"/>
  <c r="P742" i="2"/>
  <c r="O742" i="2"/>
  <c r="Q741" i="2"/>
  <c r="P741" i="2"/>
  <c r="O741" i="2"/>
  <c r="Q740" i="2"/>
  <c r="P740" i="2"/>
  <c r="O740" i="2"/>
  <c r="Q739" i="2"/>
  <c r="P739" i="2"/>
  <c r="O739" i="2"/>
  <c r="Q738" i="2"/>
  <c r="P738" i="2"/>
  <c r="O738" i="2"/>
  <c r="Q737" i="2"/>
  <c r="P737" i="2"/>
  <c r="O737" i="2"/>
  <c r="Q736" i="2"/>
  <c r="P736" i="2"/>
  <c r="O736" i="2"/>
  <c r="Q735" i="2"/>
  <c r="P735" i="2"/>
  <c r="O735" i="2"/>
  <c r="Q734" i="2"/>
  <c r="P734" i="2"/>
  <c r="O734" i="2"/>
  <c r="Q733" i="2"/>
  <c r="P733" i="2"/>
  <c r="O733" i="2"/>
  <c r="Q732" i="2"/>
  <c r="P732" i="2"/>
  <c r="O732" i="2"/>
  <c r="Q731" i="2"/>
  <c r="P731" i="2"/>
  <c r="O731" i="2"/>
  <c r="Q730" i="2"/>
  <c r="P730" i="2"/>
  <c r="O730" i="2"/>
  <c r="Q729" i="2"/>
  <c r="P729" i="2"/>
  <c r="O729" i="2"/>
  <c r="Q728" i="2"/>
  <c r="P728" i="2"/>
  <c r="O728" i="2"/>
  <c r="Q727" i="2"/>
  <c r="P727" i="2"/>
  <c r="O727" i="2"/>
  <c r="Q726" i="2"/>
  <c r="P726" i="2"/>
  <c r="O726" i="2"/>
  <c r="Q725" i="2"/>
  <c r="P725" i="2"/>
  <c r="O725" i="2"/>
  <c r="Q724" i="2"/>
  <c r="P724" i="2"/>
  <c r="O724" i="2"/>
  <c r="Q723" i="2"/>
  <c r="P723" i="2"/>
  <c r="O723" i="2"/>
  <c r="Q722" i="2"/>
  <c r="P722" i="2"/>
  <c r="O722" i="2"/>
  <c r="Q721" i="2"/>
  <c r="P721" i="2"/>
  <c r="O721" i="2"/>
  <c r="Q720" i="2"/>
  <c r="P720" i="2"/>
  <c r="O720" i="2"/>
  <c r="Q719" i="2"/>
  <c r="P719" i="2"/>
  <c r="O719" i="2"/>
  <c r="Q718" i="2"/>
  <c r="P718" i="2"/>
  <c r="O718" i="2"/>
  <c r="Q717" i="2"/>
  <c r="P717" i="2"/>
  <c r="O717" i="2"/>
  <c r="Q716" i="2"/>
  <c r="P716" i="2"/>
  <c r="O716" i="2"/>
  <c r="Q715" i="2"/>
  <c r="P715" i="2"/>
  <c r="O715" i="2"/>
  <c r="Q714" i="2"/>
  <c r="P714" i="2"/>
  <c r="O714" i="2"/>
  <c r="Q713" i="2"/>
  <c r="P713" i="2"/>
  <c r="O713" i="2"/>
  <c r="Q712" i="2"/>
  <c r="P712" i="2"/>
  <c r="O712" i="2"/>
  <c r="Q711" i="2"/>
  <c r="P711" i="2"/>
  <c r="O711" i="2"/>
  <c r="Q710" i="2"/>
  <c r="P710" i="2"/>
  <c r="O710" i="2"/>
  <c r="Q709" i="2"/>
  <c r="P709" i="2"/>
  <c r="O709" i="2"/>
  <c r="Q708" i="2"/>
  <c r="P708" i="2"/>
  <c r="O708" i="2"/>
  <c r="Q707" i="2"/>
  <c r="P707" i="2"/>
  <c r="O707" i="2"/>
  <c r="Q706" i="2"/>
  <c r="P706" i="2"/>
  <c r="O706" i="2"/>
  <c r="Q705" i="2"/>
  <c r="P705" i="2"/>
  <c r="O705" i="2"/>
  <c r="Q704" i="2"/>
  <c r="P704" i="2"/>
  <c r="O704" i="2"/>
  <c r="Q703" i="2"/>
  <c r="P703" i="2"/>
  <c r="O703" i="2"/>
  <c r="Q702" i="2"/>
  <c r="P702" i="2"/>
  <c r="O702" i="2"/>
  <c r="Q701" i="2"/>
  <c r="P701" i="2"/>
  <c r="O701" i="2"/>
  <c r="Q700" i="2"/>
  <c r="P700" i="2"/>
  <c r="O700" i="2"/>
  <c r="Q699" i="2"/>
  <c r="P699" i="2"/>
  <c r="O699" i="2"/>
  <c r="Q698" i="2"/>
  <c r="P698" i="2"/>
  <c r="O698" i="2"/>
  <c r="Q697" i="2"/>
  <c r="P697" i="2"/>
  <c r="O697" i="2"/>
  <c r="Q696" i="2"/>
  <c r="P696" i="2"/>
  <c r="O696" i="2"/>
  <c r="Q695" i="2"/>
  <c r="P695" i="2"/>
  <c r="O695" i="2"/>
  <c r="Q694" i="2"/>
  <c r="P694" i="2"/>
  <c r="O694" i="2"/>
  <c r="Q693" i="2"/>
  <c r="P693" i="2"/>
  <c r="O693" i="2"/>
  <c r="Q692" i="2"/>
  <c r="P692" i="2"/>
  <c r="O692" i="2"/>
  <c r="Q691" i="2"/>
  <c r="P691" i="2"/>
  <c r="O691" i="2"/>
  <c r="Q690" i="2"/>
  <c r="P690" i="2"/>
  <c r="O690" i="2"/>
  <c r="Q689" i="2"/>
  <c r="P689" i="2"/>
  <c r="O689" i="2"/>
  <c r="Q688" i="2"/>
  <c r="P688" i="2"/>
  <c r="O688" i="2"/>
  <c r="Q687" i="2"/>
  <c r="P687" i="2"/>
  <c r="O687" i="2"/>
  <c r="Q686" i="2"/>
  <c r="P686" i="2"/>
  <c r="O686" i="2"/>
  <c r="Q685" i="2"/>
  <c r="P685" i="2"/>
  <c r="O685" i="2"/>
  <c r="Q684" i="2"/>
  <c r="P684" i="2"/>
  <c r="O684" i="2"/>
  <c r="Q683" i="2"/>
  <c r="P683" i="2"/>
  <c r="O683" i="2"/>
  <c r="Q682" i="2"/>
  <c r="P682" i="2"/>
  <c r="O682" i="2"/>
  <c r="Q681" i="2"/>
  <c r="P681" i="2"/>
  <c r="O681" i="2"/>
  <c r="Q680" i="2"/>
  <c r="P680" i="2"/>
  <c r="O680" i="2"/>
  <c r="Q679" i="2"/>
  <c r="P679" i="2"/>
  <c r="O679" i="2"/>
  <c r="Q678" i="2"/>
  <c r="P678" i="2"/>
  <c r="O678" i="2"/>
  <c r="Q677" i="2"/>
  <c r="P677" i="2"/>
  <c r="O677" i="2"/>
  <c r="Q676" i="2"/>
  <c r="P676" i="2"/>
  <c r="O676" i="2"/>
  <c r="Q675" i="2"/>
  <c r="P675" i="2"/>
  <c r="O675" i="2"/>
  <c r="Q674" i="2"/>
  <c r="P674" i="2"/>
  <c r="O674" i="2"/>
  <c r="Q673" i="2"/>
  <c r="P673" i="2"/>
  <c r="O673" i="2"/>
  <c r="Q672" i="2"/>
  <c r="P672" i="2"/>
  <c r="O672" i="2"/>
  <c r="Q671" i="2"/>
  <c r="P671" i="2"/>
  <c r="O671" i="2"/>
  <c r="Q670" i="2"/>
  <c r="P670" i="2"/>
  <c r="O670" i="2"/>
  <c r="Q669" i="2"/>
  <c r="P669" i="2"/>
  <c r="O669" i="2"/>
  <c r="Q668" i="2"/>
  <c r="P668" i="2"/>
  <c r="O668" i="2"/>
  <c r="Q667" i="2"/>
  <c r="P667" i="2"/>
  <c r="O667" i="2"/>
  <c r="Q666" i="2"/>
  <c r="P666" i="2"/>
  <c r="O666" i="2"/>
  <c r="Q665" i="2"/>
  <c r="P665" i="2"/>
  <c r="O665" i="2"/>
  <c r="Q664" i="2"/>
  <c r="P664" i="2"/>
  <c r="O664" i="2"/>
  <c r="Q663" i="2"/>
  <c r="P663" i="2"/>
  <c r="O663" i="2"/>
  <c r="Q662" i="2"/>
  <c r="P662" i="2"/>
  <c r="O662" i="2"/>
  <c r="Q661" i="2"/>
  <c r="P661" i="2"/>
  <c r="O661" i="2"/>
  <c r="Q660" i="2"/>
  <c r="P660" i="2"/>
  <c r="O660" i="2"/>
  <c r="Q659" i="2"/>
  <c r="P659" i="2"/>
  <c r="O659" i="2"/>
  <c r="Q658" i="2"/>
  <c r="P658" i="2"/>
  <c r="O658" i="2"/>
  <c r="Q657" i="2"/>
  <c r="P657" i="2"/>
  <c r="O657" i="2"/>
  <c r="Q656" i="2"/>
  <c r="P656" i="2"/>
  <c r="O656" i="2"/>
  <c r="Q655" i="2"/>
  <c r="P655" i="2"/>
  <c r="O655" i="2"/>
  <c r="Q654" i="2"/>
  <c r="P654" i="2"/>
  <c r="O654" i="2"/>
  <c r="Q653" i="2"/>
  <c r="P653" i="2"/>
  <c r="O653" i="2"/>
  <c r="Q652" i="2"/>
  <c r="P652" i="2"/>
  <c r="O652" i="2"/>
  <c r="Q651" i="2"/>
  <c r="P651" i="2"/>
  <c r="O651" i="2"/>
  <c r="Q650" i="2"/>
  <c r="P650" i="2"/>
  <c r="O650" i="2"/>
  <c r="Q649" i="2"/>
  <c r="P649" i="2"/>
  <c r="O649" i="2"/>
  <c r="Q648" i="2"/>
  <c r="P648" i="2"/>
  <c r="O648" i="2"/>
  <c r="Q647" i="2"/>
  <c r="P647" i="2"/>
  <c r="O647" i="2"/>
  <c r="Q646" i="2"/>
  <c r="P646" i="2"/>
  <c r="O646" i="2"/>
  <c r="Q645" i="2"/>
  <c r="P645" i="2"/>
  <c r="O645" i="2"/>
  <c r="Q644" i="2"/>
  <c r="P644" i="2"/>
  <c r="O644" i="2"/>
  <c r="Q643" i="2"/>
  <c r="P643" i="2"/>
  <c r="O643" i="2"/>
  <c r="Q642" i="2"/>
  <c r="P642" i="2"/>
  <c r="O642" i="2"/>
  <c r="Q641" i="2"/>
  <c r="P641" i="2"/>
  <c r="O641" i="2"/>
  <c r="Q640" i="2"/>
  <c r="P640" i="2"/>
  <c r="O640" i="2"/>
  <c r="Q639" i="2"/>
  <c r="P639" i="2"/>
  <c r="O639" i="2"/>
  <c r="Q637" i="2"/>
  <c r="P637" i="2"/>
  <c r="O637" i="2"/>
  <c r="Q636" i="2"/>
  <c r="P636" i="2"/>
  <c r="O636" i="2"/>
  <c r="Q635" i="2"/>
  <c r="P635" i="2"/>
  <c r="O635" i="2"/>
  <c r="Q634" i="2"/>
  <c r="P634" i="2"/>
  <c r="O634" i="2"/>
  <c r="Q633" i="2"/>
  <c r="P633" i="2"/>
  <c r="O633" i="2"/>
  <c r="Q632" i="2"/>
  <c r="P632" i="2"/>
  <c r="O632" i="2"/>
  <c r="Q631" i="2"/>
  <c r="P631" i="2"/>
  <c r="O631" i="2"/>
  <c r="Q630" i="2"/>
  <c r="P630" i="2"/>
  <c r="O630" i="2"/>
  <c r="Q629" i="2"/>
  <c r="P629" i="2"/>
  <c r="O629" i="2"/>
  <c r="Q628" i="2"/>
  <c r="P628" i="2"/>
  <c r="O628" i="2"/>
  <c r="Q627" i="2"/>
  <c r="P627" i="2"/>
  <c r="O627" i="2"/>
  <c r="Q626" i="2"/>
  <c r="P626" i="2"/>
  <c r="O626" i="2"/>
  <c r="Q625" i="2"/>
  <c r="P625" i="2"/>
  <c r="O625" i="2"/>
  <c r="Q624" i="2"/>
  <c r="P624" i="2"/>
  <c r="O624" i="2"/>
  <c r="Q623" i="2"/>
  <c r="P623" i="2"/>
  <c r="O623" i="2"/>
  <c r="Q622" i="2"/>
  <c r="P622" i="2"/>
  <c r="O622" i="2"/>
  <c r="Q621" i="2"/>
  <c r="P621" i="2"/>
  <c r="O621" i="2"/>
  <c r="Q620" i="2"/>
  <c r="P620" i="2"/>
  <c r="O620" i="2"/>
  <c r="Q619" i="2"/>
  <c r="P619" i="2"/>
  <c r="O619" i="2"/>
  <c r="Q618" i="2"/>
  <c r="P618" i="2"/>
  <c r="O618" i="2"/>
  <c r="Q617" i="2"/>
  <c r="P617" i="2"/>
  <c r="O617" i="2"/>
  <c r="Q616" i="2"/>
  <c r="P616" i="2"/>
  <c r="O616" i="2"/>
  <c r="Q615" i="2"/>
  <c r="P615" i="2"/>
  <c r="O615" i="2"/>
  <c r="Q614" i="2"/>
  <c r="P614" i="2"/>
  <c r="O614" i="2"/>
  <c r="Q613" i="2"/>
  <c r="P613" i="2"/>
  <c r="O613" i="2"/>
  <c r="Q612" i="2"/>
  <c r="P612" i="2"/>
  <c r="O612" i="2"/>
  <c r="Q611" i="2"/>
  <c r="P611" i="2"/>
  <c r="O611" i="2"/>
  <c r="Q610" i="2"/>
  <c r="P610" i="2"/>
  <c r="O610" i="2"/>
  <c r="Q609" i="2"/>
  <c r="P609" i="2"/>
  <c r="O609" i="2"/>
  <c r="Q608" i="2"/>
  <c r="P608" i="2"/>
  <c r="O608" i="2"/>
  <c r="Q607" i="2"/>
  <c r="P607" i="2"/>
  <c r="O607" i="2"/>
  <c r="Q606" i="2"/>
  <c r="P606" i="2"/>
  <c r="O606" i="2"/>
  <c r="Q605" i="2"/>
  <c r="P605" i="2"/>
  <c r="O605" i="2"/>
  <c r="Q604" i="2"/>
  <c r="P604" i="2"/>
  <c r="O604" i="2"/>
  <c r="Q603" i="2"/>
  <c r="P603" i="2"/>
  <c r="O603" i="2"/>
  <c r="Q602" i="2"/>
  <c r="P602" i="2"/>
  <c r="O602" i="2"/>
  <c r="Q601" i="2"/>
  <c r="P601" i="2"/>
  <c r="O601" i="2"/>
  <c r="Q600" i="2"/>
  <c r="P600" i="2"/>
  <c r="O600" i="2"/>
  <c r="Q599" i="2"/>
  <c r="P599" i="2"/>
  <c r="O599" i="2"/>
  <c r="Q598" i="2"/>
  <c r="P598" i="2"/>
  <c r="O598" i="2"/>
  <c r="Q597" i="2"/>
  <c r="P597" i="2"/>
  <c r="O597" i="2"/>
  <c r="Q596" i="2"/>
  <c r="P596" i="2"/>
  <c r="O596" i="2"/>
  <c r="Q595" i="2"/>
  <c r="P595" i="2"/>
  <c r="O595" i="2"/>
  <c r="Q594" i="2"/>
  <c r="P594" i="2"/>
  <c r="O594" i="2"/>
  <c r="Q593" i="2"/>
  <c r="P593" i="2"/>
  <c r="O593" i="2"/>
  <c r="Q592" i="2"/>
  <c r="P592" i="2"/>
  <c r="O592" i="2"/>
  <c r="Q591" i="2"/>
  <c r="P591" i="2"/>
  <c r="O591" i="2"/>
  <c r="Q590" i="2"/>
  <c r="P590" i="2"/>
  <c r="O590" i="2"/>
  <c r="Q589" i="2"/>
  <c r="P589" i="2"/>
  <c r="O589" i="2"/>
  <c r="Q588" i="2"/>
  <c r="P588" i="2"/>
  <c r="O588" i="2"/>
  <c r="Q587" i="2"/>
  <c r="P587" i="2"/>
  <c r="O587" i="2"/>
  <c r="Q586" i="2"/>
  <c r="P586" i="2"/>
  <c r="O586" i="2"/>
  <c r="Q585" i="2"/>
  <c r="P585" i="2"/>
  <c r="O585" i="2"/>
  <c r="Q584" i="2"/>
  <c r="P584" i="2"/>
  <c r="O584" i="2"/>
  <c r="Q583" i="2"/>
  <c r="P583" i="2"/>
  <c r="O583" i="2"/>
  <c r="Q582" i="2"/>
  <c r="P582" i="2"/>
  <c r="O582" i="2"/>
  <c r="Q581" i="2"/>
  <c r="P581" i="2"/>
  <c r="O581" i="2"/>
  <c r="Q580" i="2"/>
  <c r="P580" i="2"/>
  <c r="O580" i="2"/>
  <c r="Q579" i="2"/>
  <c r="P579" i="2"/>
  <c r="O579" i="2"/>
  <c r="Q578" i="2"/>
  <c r="P578" i="2"/>
  <c r="O578" i="2"/>
  <c r="Q577" i="2"/>
  <c r="P577" i="2"/>
  <c r="O577" i="2"/>
  <c r="Q576" i="2"/>
  <c r="P576" i="2"/>
  <c r="O576" i="2"/>
  <c r="Q575" i="2"/>
  <c r="P575" i="2"/>
  <c r="O575" i="2"/>
  <c r="Q574" i="2"/>
  <c r="P574" i="2"/>
  <c r="O574" i="2"/>
  <c r="Q573" i="2"/>
  <c r="P573" i="2"/>
  <c r="O573" i="2"/>
  <c r="Q572" i="2"/>
  <c r="P572" i="2"/>
  <c r="O572" i="2"/>
  <c r="Q571" i="2"/>
  <c r="P571" i="2"/>
  <c r="O571" i="2"/>
  <c r="Q570" i="2"/>
  <c r="P570" i="2"/>
  <c r="O570" i="2"/>
  <c r="Q569" i="2"/>
  <c r="P569" i="2"/>
  <c r="O569" i="2"/>
  <c r="Q568" i="2"/>
  <c r="P568" i="2"/>
  <c r="O568" i="2"/>
  <c r="Q567" i="2"/>
  <c r="P567" i="2"/>
  <c r="O567" i="2"/>
  <c r="Q566" i="2"/>
  <c r="P566" i="2"/>
  <c r="O566" i="2"/>
  <c r="Q565" i="2"/>
  <c r="P565" i="2"/>
  <c r="O565" i="2"/>
  <c r="Q564" i="2"/>
  <c r="P564" i="2"/>
  <c r="O564" i="2"/>
  <c r="Q563" i="2"/>
  <c r="P563" i="2"/>
  <c r="O563" i="2"/>
  <c r="Q562" i="2"/>
  <c r="P562" i="2"/>
  <c r="O562" i="2"/>
  <c r="Q561" i="2"/>
  <c r="P561" i="2"/>
  <c r="O561" i="2"/>
  <c r="Q560" i="2"/>
  <c r="P560" i="2"/>
  <c r="O560" i="2"/>
  <c r="Q559" i="2"/>
  <c r="P559" i="2"/>
  <c r="O559" i="2"/>
  <c r="Q558" i="2"/>
  <c r="P558" i="2"/>
  <c r="O558" i="2"/>
  <c r="Q557" i="2"/>
  <c r="P557" i="2"/>
  <c r="O557" i="2"/>
  <c r="Q556" i="2"/>
  <c r="P556" i="2"/>
  <c r="O556" i="2"/>
  <c r="Q555" i="2"/>
  <c r="P555" i="2"/>
  <c r="O555" i="2"/>
  <c r="Q554" i="2"/>
  <c r="P554" i="2"/>
  <c r="O554" i="2"/>
  <c r="Q553" i="2"/>
  <c r="P553" i="2"/>
  <c r="O553" i="2"/>
  <c r="Q552" i="2"/>
  <c r="P552" i="2"/>
  <c r="O552" i="2"/>
  <c r="Q551" i="2"/>
  <c r="P551" i="2"/>
  <c r="O551" i="2"/>
  <c r="Q550" i="2"/>
  <c r="P550" i="2"/>
  <c r="O550" i="2"/>
  <c r="Q549" i="2"/>
  <c r="P549" i="2"/>
  <c r="O549" i="2"/>
  <c r="Q548" i="2"/>
  <c r="P548" i="2"/>
  <c r="O548" i="2"/>
  <c r="Q547" i="2"/>
  <c r="P547" i="2"/>
  <c r="O547" i="2"/>
  <c r="Q546" i="2"/>
  <c r="P546" i="2"/>
  <c r="O546" i="2"/>
  <c r="Q545" i="2"/>
  <c r="P545" i="2"/>
  <c r="O545" i="2"/>
  <c r="Q544" i="2"/>
  <c r="P544" i="2"/>
  <c r="O544" i="2"/>
  <c r="Q543" i="2"/>
  <c r="P543" i="2"/>
  <c r="O543" i="2"/>
  <c r="Q542" i="2"/>
  <c r="P542" i="2"/>
  <c r="O542" i="2"/>
  <c r="Q541" i="2"/>
  <c r="P541" i="2"/>
  <c r="O541" i="2"/>
  <c r="Q540" i="2"/>
  <c r="P540" i="2"/>
  <c r="O540" i="2"/>
  <c r="Q539" i="2"/>
  <c r="P539" i="2"/>
  <c r="O539" i="2"/>
  <c r="Q538" i="2"/>
  <c r="P538" i="2"/>
  <c r="O538" i="2"/>
  <c r="Q537" i="2"/>
  <c r="P537" i="2"/>
  <c r="O537" i="2"/>
  <c r="Q536" i="2"/>
  <c r="P536" i="2"/>
  <c r="O536" i="2"/>
  <c r="Q535" i="2"/>
  <c r="P535" i="2"/>
  <c r="O535" i="2"/>
  <c r="Q534" i="2"/>
  <c r="P534" i="2"/>
  <c r="O534" i="2"/>
  <c r="Q533" i="2"/>
  <c r="P533" i="2"/>
  <c r="O533" i="2"/>
  <c r="Q532" i="2"/>
  <c r="P532" i="2"/>
  <c r="O532" i="2"/>
  <c r="Q531" i="2"/>
  <c r="P531" i="2"/>
  <c r="O531" i="2"/>
  <c r="Q530" i="2"/>
  <c r="P530" i="2"/>
  <c r="O530" i="2"/>
  <c r="Q529" i="2"/>
  <c r="P529" i="2"/>
  <c r="O529" i="2"/>
  <c r="Q528" i="2"/>
  <c r="P528" i="2"/>
  <c r="O528" i="2"/>
  <c r="Q527" i="2"/>
  <c r="P527" i="2"/>
  <c r="O527" i="2"/>
  <c r="Q526" i="2"/>
  <c r="P526" i="2"/>
  <c r="O526" i="2"/>
  <c r="Q525" i="2"/>
  <c r="P525" i="2"/>
  <c r="O525" i="2"/>
  <c r="Q524" i="2"/>
  <c r="P524" i="2"/>
  <c r="O524" i="2"/>
  <c r="Q523" i="2"/>
  <c r="P523" i="2"/>
  <c r="O523" i="2"/>
  <c r="Q522" i="2"/>
  <c r="P522" i="2"/>
  <c r="O522" i="2"/>
  <c r="Q521" i="2"/>
  <c r="P521" i="2"/>
  <c r="O521" i="2"/>
  <c r="Q520" i="2"/>
  <c r="P520" i="2"/>
  <c r="O520" i="2"/>
  <c r="Q519" i="2"/>
  <c r="P519" i="2"/>
  <c r="O519" i="2"/>
  <c r="Q518" i="2"/>
  <c r="P518" i="2"/>
  <c r="O518" i="2"/>
  <c r="Q517" i="2"/>
  <c r="P517" i="2"/>
  <c r="O517" i="2"/>
  <c r="Q516" i="2"/>
  <c r="P516" i="2"/>
  <c r="O516" i="2"/>
  <c r="Q515" i="2"/>
  <c r="P515" i="2"/>
  <c r="O515" i="2"/>
  <c r="Q514" i="2"/>
  <c r="P514" i="2"/>
  <c r="O514" i="2"/>
  <c r="Q513" i="2"/>
  <c r="P513" i="2"/>
  <c r="O513" i="2"/>
  <c r="Q512" i="2"/>
  <c r="P512" i="2"/>
  <c r="O512" i="2"/>
  <c r="Q511" i="2"/>
  <c r="P511" i="2"/>
  <c r="O511" i="2"/>
  <c r="Q510" i="2"/>
  <c r="P510" i="2"/>
  <c r="O510" i="2"/>
  <c r="Q509" i="2"/>
  <c r="P509" i="2"/>
  <c r="O509" i="2"/>
  <c r="Q508" i="2"/>
  <c r="P508" i="2"/>
  <c r="O508" i="2"/>
  <c r="Q507" i="2"/>
  <c r="P507" i="2"/>
  <c r="O507" i="2"/>
  <c r="Q506" i="2"/>
  <c r="P506" i="2"/>
  <c r="O506" i="2"/>
  <c r="Q505" i="2"/>
  <c r="P505" i="2"/>
  <c r="O505" i="2"/>
  <c r="Q504" i="2"/>
  <c r="P504" i="2"/>
  <c r="O504" i="2"/>
  <c r="Q503" i="2"/>
  <c r="P503" i="2"/>
  <c r="O503" i="2"/>
  <c r="Q502" i="2"/>
  <c r="P502" i="2"/>
  <c r="O502" i="2"/>
  <c r="Q501" i="2"/>
  <c r="P501" i="2"/>
  <c r="O501" i="2"/>
  <c r="Q500" i="2"/>
  <c r="P500" i="2"/>
  <c r="O500" i="2"/>
  <c r="Q499" i="2"/>
  <c r="P499" i="2"/>
  <c r="O499" i="2"/>
  <c r="Q498" i="2"/>
  <c r="P498" i="2"/>
  <c r="O498" i="2"/>
  <c r="Q497" i="2"/>
  <c r="P497" i="2"/>
  <c r="O497" i="2"/>
  <c r="Q496" i="2"/>
  <c r="P496" i="2"/>
  <c r="O496" i="2"/>
  <c r="Q495" i="2"/>
  <c r="P495" i="2"/>
  <c r="O495" i="2"/>
  <c r="Q494" i="2"/>
  <c r="P494" i="2"/>
  <c r="O494" i="2"/>
  <c r="Q493" i="2"/>
  <c r="P493" i="2"/>
  <c r="O493" i="2"/>
  <c r="Q492" i="2"/>
  <c r="P492" i="2"/>
  <c r="O492" i="2"/>
  <c r="Q491" i="2"/>
  <c r="P491" i="2"/>
  <c r="O491" i="2"/>
  <c r="Q490" i="2"/>
  <c r="P490" i="2"/>
  <c r="O490" i="2"/>
  <c r="Q489" i="2"/>
  <c r="P489" i="2"/>
  <c r="O489" i="2"/>
  <c r="Q488" i="2"/>
  <c r="P488" i="2"/>
  <c r="O488" i="2"/>
  <c r="Q487" i="2"/>
  <c r="P487" i="2"/>
  <c r="O487" i="2"/>
  <c r="Q486" i="2"/>
  <c r="P486" i="2"/>
  <c r="O486" i="2"/>
  <c r="Q485" i="2"/>
  <c r="P485" i="2"/>
  <c r="O485" i="2"/>
  <c r="Q484" i="2"/>
  <c r="P484" i="2"/>
  <c r="O484" i="2"/>
  <c r="Q483" i="2"/>
  <c r="P483" i="2"/>
  <c r="O483" i="2"/>
  <c r="Q482" i="2"/>
  <c r="P482" i="2"/>
  <c r="O482" i="2"/>
  <c r="Q481" i="2"/>
  <c r="P481" i="2"/>
  <c r="O481" i="2"/>
  <c r="Q480" i="2"/>
  <c r="P480" i="2"/>
  <c r="O480" i="2"/>
  <c r="Q479" i="2"/>
  <c r="P479" i="2"/>
  <c r="O479" i="2"/>
  <c r="Q478" i="2"/>
  <c r="P478" i="2"/>
  <c r="O478" i="2"/>
  <c r="Q477" i="2"/>
  <c r="P477" i="2"/>
  <c r="O477" i="2"/>
  <c r="Q476" i="2"/>
  <c r="P476" i="2"/>
  <c r="O476" i="2"/>
  <c r="Q475" i="2"/>
  <c r="P475" i="2"/>
  <c r="O475" i="2"/>
  <c r="Q474" i="2"/>
  <c r="P474" i="2"/>
  <c r="O474" i="2"/>
  <c r="Q473" i="2"/>
  <c r="P473" i="2"/>
  <c r="O473" i="2"/>
  <c r="Q472" i="2"/>
  <c r="P472" i="2"/>
  <c r="O472" i="2"/>
  <c r="Q471" i="2"/>
  <c r="P471" i="2"/>
  <c r="O471" i="2"/>
  <c r="Q470" i="2"/>
  <c r="P470" i="2"/>
  <c r="O470" i="2"/>
  <c r="Q469" i="2"/>
  <c r="P469" i="2"/>
  <c r="O469" i="2"/>
  <c r="Q468" i="2"/>
  <c r="P468" i="2"/>
  <c r="O468" i="2"/>
  <c r="Q467" i="2"/>
  <c r="P467" i="2"/>
  <c r="O467" i="2"/>
  <c r="Q466" i="2"/>
  <c r="P466" i="2"/>
  <c r="O466" i="2"/>
  <c r="Q465" i="2"/>
  <c r="P465" i="2"/>
  <c r="O465" i="2"/>
  <c r="Q464" i="2"/>
  <c r="P464" i="2"/>
  <c r="O464" i="2"/>
  <c r="Q463" i="2"/>
  <c r="P463" i="2"/>
  <c r="O463" i="2"/>
  <c r="Q462" i="2"/>
  <c r="P462" i="2"/>
  <c r="O462" i="2"/>
  <c r="Q461" i="2"/>
  <c r="P461" i="2"/>
  <c r="O461" i="2"/>
  <c r="Q460" i="2"/>
  <c r="P460" i="2"/>
  <c r="O460" i="2"/>
  <c r="Q459" i="2"/>
  <c r="P459" i="2"/>
  <c r="O459" i="2"/>
  <c r="Q458" i="2"/>
  <c r="P458" i="2"/>
  <c r="O458" i="2"/>
  <c r="Q457" i="2"/>
  <c r="P457" i="2"/>
  <c r="O457" i="2"/>
  <c r="Q456" i="2"/>
  <c r="P456" i="2"/>
  <c r="O456" i="2"/>
  <c r="Q455" i="2"/>
  <c r="P455" i="2"/>
  <c r="O455" i="2"/>
  <c r="Q454" i="2"/>
  <c r="P454" i="2"/>
  <c r="O454" i="2"/>
  <c r="Q453" i="2"/>
  <c r="P453" i="2"/>
  <c r="O453" i="2"/>
  <c r="Q452" i="2"/>
  <c r="P452" i="2"/>
  <c r="O452" i="2"/>
  <c r="Q451" i="2"/>
  <c r="P451" i="2"/>
  <c r="O451" i="2"/>
  <c r="Q450" i="2"/>
  <c r="P450" i="2"/>
  <c r="O450" i="2"/>
  <c r="Q449" i="2"/>
  <c r="P449" i="2"/>
  <c r="O449" i="2"/>
  <c r="Q448" i="2"/>
  <c r="P448" i="2"/>
  <c r="O448" i="2"/>
  <c r="Q447" i="2"/>
  <c r="P447" i="2"/>
  <c r="O447" i="2"/>
  <c r="Q446" i="2"/>
  <c r="P446" i="2"/>
  <c r="O446" i="2"/>
  <c r="Q445" i="2"/>
  <c r="P445" i="2"/>
  <c r="O445" i="2"/>
  <c r="Q444" i="2"/>
  <c r="P444" i="2"/>
  <c r="O444" i="2"/>
  <c r="Q443" i="2"/>
  <c r="P443" i="2"/>
  <c r="O443" i="2"/>
  <c r="Q442" i="2"/>
  <c r="P442" i="2"/>
  <c r="O442" i="2"/>
  <c r="Q441" i="2"/>
  <c r="P441" i="2"/>
  <c r="O441" i="2"/>
  <c r="Q440" i="2"/>
  <c r="P440" i="2"/>
  <c r="O440" i="2"/>
  <c r="Q439" i="2"/>
  <c r="P439" i="2"/>
  <c r="O439" i="2"/>
  <c r="Q438" i="2"/>
  <c r="P438" i="2"/>
  <c r="O438" i="2"/>
  <c r="Q437" i="2"/>
  <c r="P437" i="2"/>
  <c r="O437" i="2"/>
  <c r="Q436" i="2"/>
  <c r="P436" i="2"/>
  <c r="O436" i="2"/>
  <c r="Q435" i="2"/>
  <c r="P435" i="2"/>
  <c r="O435" i="2"/>
  <c r="Q434" i="2"/>
  <c r="P434" i="2"/>
  <c r="O434" i="2"/>
  <c r="Q433" i="2"/>
  <c r="P433" i="2"/>
  <c r="O433" i="2"/>
  <c r="Q432" i="2"/>
  <c r="P432" i="2"/>
  <c r="O432" i="2"/>
  <c r="Q431" i="2"/>
  <c r="P431" i="2"/>
  <c r="O431" i="2"/>
  <c r="Q430" i="2"/>
  <c r="P430" i="2"/>
  <c r="O430" i="2"/>
  <c r="Q429" i="2"/>
  <c r="P429" i="2"/>
  <c r="O429" i="2"/>
  <c r="Q428" i="2"/>
  <c r="P428" i="2"/>
  <c r="O428" i="2"/>
  <c r="Q427" i="2"/>
  <c r="P427" i="2"/>
  <c r="O427" i="2"/>
  <c r="Q426" i="2"/>
  <c r="P426" i="2"/>
  <c r="O426" i="2"/>
  <c r="Q425" i="2"/>
  <c r="P425" i="2"/>
  <c r="O425" i="2"/>
  <c r="Q424" i="2"/>
  <c r="P424" i="2"/>
  <c r="O424" i="2"/>
  <c r="Q423" i="2"/>
  <c r="P423" i="2"/>
  <c r="O423" i="2"/>
  <c r="Q422" i="2"/>
  <c r="P422" i="2"/>
  <c r="O422" i="2"/>
  <c r="Q421" i="2"/>
  <c r="P421" i="2"/>
  <c r="O421" i="2"/>
  <c r="Q420" i="2"/>
  <c r="P420" i="2"/>
  <c r="O420" i="2"/>
  <c r="Q419" i="2"/>
  <c r="P419" i="2"/>
  <c r="O419" i="2"/>
  <c r="Q418" i="2"/>
  <c r="P418" i="2"/>
  <c r="O418" i="2"/>
  <c r="Q417" i="2"/>
  <c r="P417" i="2"/>
  <c r="O417" i="2"/>
  <c r="Q416" i="2"/>
  <c r="P416" i="2"/>
  <c r="O416" i="2"/>
  <c r="Q415" i="2"/>
  <c r="P415" i="2"/>
  <c r="O415" i="2"/>
  <c r="Q414" i="2"/>
  <c r="P414" i="2"/>
  <c r="O414" i="2"/>
  <c r="Q413" i="2"/>
  <c r="P413" i="2"/>
  <c r="O413" i="2"/>
  <c r="Q412" i="2"/>
  <c r="P412" i="2"/>
  <c r="O412" i="2"/>
  <c r="Q411" i="2"/>
  <c r="P411" i="2"/>
  <c r="O411" i="2"/>
  <c r="Q410" i="2"/>
  <c r="P410" i="2"/>
  <c r="O410" i="2"/>
  <c r="Q409" i="2"/>
  <c r="P409" i="2"/>
  <c r="O409" i="2"/>
  <c r="Q408" i="2"/>
  <c r="P408" i="2"/>
  <c r="O408" i="2"/>
  <c r="Q407" i="2"/>
  <c r="P407" i="2"/>
  <c r="O407" i="2"/>
  <c r="Q406" i="2"/>
  <c r="P406" i="2"/>
  <c r="O406" i="2"/>
  <c r="Q405" i="2"/>
  <c r="P405" i="2"/>
  <c r="O405" i="2"/>
  <c r="Q404" i="2"/>
  <c r="P404" i="2"/>
  <c r="O404" i="2"/>
  <c r="Q403" i="2"/>
  <c r="P403" i="2"/>
  <c r="O403" i="2"/>
  <c r="Q402" i="2"/>
  <c r="P402" i="2"/>
  <c r="O402" i="2"/>
  <c r="Q401" i="2"/>
  <c r="P401" i="2"/>
  <c r="O401" i="2"/>
  <c r="Q400" i="2"/>
  <c r="P400" i="2"/>
  <c r="O400" i="2"/>
  <c r="Q399" i="2"/>
  <c r="P399" i="2"/>
  <c r="O399" i="2"/>
  <c r="Q398" i="2"/>
  <c r="P398" i="2"/>
  <c r="O398" i="2"/>
  <c r="Q397" i="2"/>
  <c r="P397" i="2"/>
  <c r="O397" i="2"/>
  <c r="Q396" i="2"/>
  <c r="P396" i="2"/>
  <c r="O396" i="2"/>
  <c r="Q395" i="2"/>
  <c r="P395" i="2"/>
  <c r="O395" i="2"/>
  <c r="Q394" i="2"/>
  <c r="P394" i="2"/>
  <c r="O394" i="2"/>
  <c r="Q393" i="2"/>
  <c r="P393" i="2"/>
  <c r="O393" i="2"/>
  <c r="Q392" i="2"/>
  <c r="P392" i="2"/>
  <c r="O392" i="2"/>
  <c r="Q391" i="2"/>
  <c r="P391" i="2"/>
  <c r="O391" i="2"/>
  <c r="Q390" i="2"/>
  <c r="P390" i="2"/>
  <c r="O390" i="2"/>
  <c r="Q389" i="2"/>
  <c r="P389" i="2"/>
  <c r="O389" i="2"/>
  <c r="Q388" i="2"/>
  <c r="P388" i="2"/>
  <c r="O388" i="2"/>
  <c r="Q387" i="2"/>
  <c r="P387" i="2"/>
  <c r="O387" i="2"/>
  <c r="Q386" i="2"/>
  <c r="P386" i="2"/>
  <c r="O386" i="2"/>
  <c r="Q385" i="2"/>
  <c r="P385" i="2"/>
  <c r="O385" i="2"/>
  <c r="Q384" i="2"/>
  <c r="P384" i="2"/>
  <c r="O384" i="2"/>
  <c r="Q383" i="2"/>
  <c r="P383" i="2"/>
  <c r="O383" i="2"/>
  <c r="Q382" i="2"/>
  <c r="P382" i="2"/>
  <c r="O382" i="2"/>
  <c r="Q381" i="2"/>
  <c r="P381" i="2"/>
  <c r="O381" i="2"/>
  <c r="Q380" i="2"/>
  <c r="P380" i="2"/>
  <c r="O380" i="2"/>
  <c r="Q379" i="2"/>
  <c r="P379" i="2"/>
  <c r="O379" i="2"/>
  <c r="Q378" i="2"/>
  <c r="P378" i="2"/>
  <c r="O378" i="2"/>
  <c r="Q377" i="2"/>
  <c r="P377" i="2"/>
  <c r="O377" i="2"/>
  <c r="Q376" i="2"/>
  <c r="P376" i="2"/>
  <c r="O376" i="2"/>
  <c r="Q375" i="2"/>
  <c r="P375" i="2"/>
  <c r="O375" i="2"/>
  <c r="Q374" i="2"/>
  <c r="P374" i="2"/>
  <c r="O374" i="2"/>
  <c r="Q373" i="2"/>
  <c r="P373" i="2"/>
  <c r="O373" i="2"/>
  <c r="Q372" i="2"/>
  <c r="P372" i="2"/>
  <c r="O372" i="2"/>
  <c r="Q371" i="2"/>
  <c r="P371" i="2"/>
  <c r="O371" i="2"/>
  <c r="Q370" i="2"/>
  <c r="P370" i="2"/>
  <c r="O370" i="2"/>
  <c r="Q369" i="2"/>
  <c r="P369" i="2"/>
  <c r="O369" i="2"/>
  <c r="Q368" i="2"/>
  <c r="P368" i="2"/>
  <c r="O368" i="2"/>
  <c r="Q367" i="2"/>
  <c r="P367" i="2"/>
  <c r="O367" i="2"/>
  <c r="Q366" i="2"/>
  <c r="P366" i="2"/>
  <c r="O366" i="2"/>
  <c r="Q365" i="2"/>
  <c r="P365" i="2"/>
  <c r="O365" i="2"/>
  <c r="Q364" i="2"/>
  <c r="P364" i="2"/>
  <c r="O364" i="2"/>
  <c r="Q363" i="2"/>
  <c r="P363" i="2"/>
  <c r="O363" i="2"/>
  <c r="Q362" i="2"/>
  <c r="P362" i="2"/>
  <c r="O362" i="2"/>
  <c r="Q361" i="2"/>
  <c r="P361" i="2"/>
  <c r="O361" i="2"/>
  <c r="Q360" i="2"/>
  <c r="P360" i="2"/>
  <c r="O360" i="2"/>
  <c r="Q359" i="2"/>
  <c r="P359" i="2"/>
  <c r="O359" i="2"/>
  <c r="Q358" i="2"/>
  <c r="P358" i="2"/>
  <c r="O358" i="2"/>
  <c r="Q357" i="2"/>
  <c r="P357" i="2"/>
  <c r="O357" i="2"/>
  <c r="Q356" i="2"/>
  <c r="P356" i="2"/>
  <c r="O356" i="2"/>
  <c r="Q355" i="2"/>
  <c r="P355" i="2"/>
  <c r="O355" i="2"/>
  <c r="Q354" i="2"/>
  <c r="P354" i="2"/>
  <c r="O354" i="2"/>
  <c r="Q353" i="2"/>
  <c r="P353" i="2"/>
  <c r="O353" i="2"/>
  <c r="Q352" i="2"/>
  <c r="P352" i="2"/>
  <c r="O352" i="2"/>
  <c r="Q351" i="2"/>
  <c r="P351" i="2"/>
  <c r="O351" i="2"/>
  <c r="Q350" i="2"/>
  <c r="P350" i="2"/>
  <c r="O350" i="2"/>
  <c r="Q349" i="2"/>
  <c r="P349" i="2"/>
  <c r="O349" i="2"/>
  <c r="Q348" i="2"/>
  <c r="P348" i="2"/>
  <c r="O348" i="2"/>
  <c r="Q347" i="2"/>
  <c r="P347" i="2"/>
  <c r="O347" i="2"/>
  <c r="Q346" i="2"/>
  <c r="P346" i="2"/>
  <c r="O346" i="2"/>
  <c r="Q345" i="2"/>
  <c r="P345" i="2"/>
  <c r="O345" i="2"/>
  <c r="Q344" i="2"/>
  <c r="P344" i="2"/>
  <c r="O344" i="2"/>
  <c r="Q343" i="2"/>
  <c r="P343" i="2"/>
  <c r="O343" i="2"/>
  <c r="Q342" i="2"/>
  <c r="P342" i="2"/>
  <c r="O342" i="2"/>
  <c r="Q341" i="2"/>
  <c r="P341" i="2"/>
  <c r="O341" i="2"/>
  <c r="Q340" i="2"/>
  <c r="P340" i="2"/>
  <c r="O340" i="2"/>
  <c r="Q339" i="2"/>
  <c r="P339" i="2"/>
  <c r="O339" i="2"/>
  <c r="Q338" i="2"/>
  <c r="P338" i="2"/>
  <c r="O338" i="2"/>
  <c r="Q337" i="2"/>
  <c r="P337" i="2"/>
  <c r="O337" i="2"/>
  <c r="Q336" i="2"/>
  <c r="P336" i="2"/>
  <c r="O336" i="2"/>
  <c r="Q335" i="2"/>
  <c r="P335" i="2"/>
  <c r="O335" i="2"/>
  <c r="Q334" i="2"/>
  <c r="P334" i="2"/>
  <c r="O334" i="2"/>
  <c r="Q333" i="2"/>
  <c r="P333" i="2"/>
  <c r="O333" i="2"/>
  <c r="Q332" i="2"/>
  <c r="P332" i="2"/>
  <c r="O332" i="2"/>
  <c r="Q331" i="2"/>
  <c r="P331" i="2"/>
  <c r="O331" i="2"/>
  <c r="Q330" i="2"/>
  <c r="P330" i="2"/>
  <c r="O330" i="2"/>
  <c r="Q329" i="2"/>
  <c r="P329" i="2"/>
  <c r="O329" i="2"/>
  <c r="Q328" i="2"/>
  <c r="P328" i="2"/>
  <c r="O328" i="2"/>
  <c r="Q327" i="2"/>
  <c r="P327" i="2"/>
  <c r="O327" i="2"/>
  <c r="Q326" i="2"/>
  <c r="P326" i="2"/>
  <c r="O326" i="2"/>
  <c r="Q325" i="2"/>
  <c r="P325" i="2"/>
  <c r="O325" i="2"/>
  <c r="Q324" i="2"/>
  <c r="P324" i="2"/>
  <c r="O324" i="2"/>
  <c r="Q323" i="2"/>
  <c r="P323" i="2"/>
  <c r="O323" i="2"/>
  <c r="Q322" i="2"/>
  <c r="P322" i="2"/>
  <c r="O322" i="2"/>
  <c r="Q321" i="2"/>
  <c r="P321" i="2"/>
  <c r="O321" i="2"/>
  <c r="Q320" i="2"/>
  <c r="P320" i="2"/>
  <c r="O320" i="2"/>
  <c r="Q319" i="2"/>
  <c r="P319" i="2"/>
  <c r="O319" i="2"/>
  <c r="Q318" i="2"/>
  <c r="P318" i="2"/>
  <c r="O318" i="2"/>
  <c r="Q317" i="2"/>
  <c r="P317" i="2"/>
  <c r="O317" i="2"/>
  <c r="Q316" i="2"/>
  <c r="P316" i="2"/>
  <c r="O316" i="2"/>
  <c r="Q315" i="2"/>
  <c r="P315" i="2"/>
  <c r="O315" i="2"/>
  <c r="Q314" i="2"/>
  <c r="P314" i="2"/>
  <c r="O314" i="2"/>
  <c r="Q313" i="2"/>
  <c r="P313" i="2"/>
  <c r="O313" i="2"/>
  <c r="Q312" i="2"/>
  <c r="P312" i="2"/>
  <c r="O312" i="2"/>
  <c r="Q311" i="2"/>
  <c r="P311" i="2"/>
  <c r="O311" i="2"/>
  <c r="Q310" i="2"/>
  <c r="P310" i="2"/>
  <c r="O310" i="2"/>
  <c r="Q309" i="2"/>
  <c r="P309" i="2"/>
  <c r="O309" i="2"/>
  <c r="Q308" i="2"/>
  <c r="P308" i="2"/>
  <c r="O308" i="2"/>
  <c r="Q307" i="2"/>
  <c r="P307" i="2"/>
  <c r="O307" i="2"/>
  <c r="Q306" i="2"/>
  <c r="P306" i="2"/>
  <c r="O306" i="2"/>
  <c r="Q305" i="2"/>
  <c r="P305" i="2"/>
  <c r="O305" i="2"/>
  <c r="Q304" i="2"/>
  <c r="P304" i="2"/>
  <c r="O304" i="2"/>
  <c r="Q303" i="2"/>
  <c r="P303" i="2"/>
  <c r="O303" i="2"/>
  <c r="Q302" i="2"/>
  <c r="P302" i="2"/>
  <c r="O302" i="2"/>
  <c r="Q301" i="2"/>
  <c r="P301" i="2"/>
  <c r="O301" i="2"/>
  <c r="Q300" i="2"/>
  <c r="P300" i="2"/>
  <c r="O300" i="2"/>
  <c r="Q299" i="2"/>
  <c r="P299" i="2"/>
  <c r="O299" i="2"/>
  <c r="Q298" i="2"/>
  <c r="P298" i="2"/>
  <c r="O298" i="2"/>
  <c r="Q297" i="2"/>
  <c r="P297" i="2"/>
  <c r="O297" i="2"/>
  <c r="Q296" i="2"/>
  <c r="P296" i="2"/>
  <c r="O296" i="2"/>
  <c r="Q295" i="2"/>
  <c r="P295" i="2"/>
  <c r="O295" i="2"/>
  <c r="Q294" i="2"/>
  <c r="P294" i="2"/>
  <c r="O294" i="2"/>
  <c r="Q293" i="2"/>
  <c r="P293" i="2"/>
  <c r="O293" i="2"/>
  <c r="Q292" i="2"/>
  <c r="P292" i="2"/>
  <c r="O292" i="2"/>
  <c r="Q291" i="2"/>
  <c r="P291" i="2"/>
  <c r="O291" i="2"/>
  <c r="Q290" i="2"/>
  <c r="P290" i="2"/>
  <c r="O290" i="2"/>
  <c r="Q289" i="2"/>
  <c r="P289" i="2"/>
  <c r="O289" i="2"/>
  <c r="Q288" i="2"/>
  <c r="P288" i="2"/>
  <c r="O288" i="2"/>
  <c r="Q287" i="2"/>
  <c r="P287" i="2"/>
  <c r="O287" i="2"/>
  <c r="Q286" i="2"/>
  <c r="P286" i="2"/>
  <c r="O286" i="2"/>
  <c r="Q285" i="2"/>
  <c r="P285" i="2"/>
  <c r="O285" i="2"/>
  <c r="Q284" i="2"/>
  <c r="P284" i="2"/>
  <c r="O284" i="2"/>
  <c r="Q283" i="2"/>
  <c r="P283" i="2"/>
  <c r="O283" i="2"/>
  <c r="Q282" i="2"/>
  <c r="P282" i="2"/>
  <c r="O282" i="2"/>
  <c r="Q281" i="2"/>
  <c r="P281" i="2"/>
  <c r="O281" i="2"/>
  <c r="Q280" i="2"/>
  <c r="P280" i="2"/>
  <c r="O280" i="2"/>
  <c r="Q279" i="2"/>
  <c r="P279" i="2"/>
  <c r="O279" i="2"/>
  <c r="Q278" i="2"/>
  <c r="P278" i="2"/>
  <c r="O278" i="2"/>
  <c r="Q277" i="2"/>
  <c r="P277" i="2"/>
  <c r="O277" i="2"/>
  <c r="Q276" i="2"/>
  <c r="P276" i="2"/>
  <c r="O276" i="2"/>
  <c r="Q275" i="2"/>
  <c r="P275" i="2"/>
  <c r="O275" i="2"/>
  <c r="Q274" i="2"/>
  <c r="P274" i="2"/>
  <c r="O274" i="2"/>
  <c r="Q273" i="2"/>
  <c r="P273" i="2"/>
  <c r="O273" i="2"/>
  <c r="Q272" i="2"/>
  <c r="P272" i="2"/>
  <c r="O272" i="2"/>
  <c r="Q271" i="2"/>
  <c r="P271" i="2"/>
  <c r="O271" i="2"/>
  <c r="Q270" i="2"/>
  <c r="P270" i="2"/>
  <c r="O270" i="2"/>
  <c r="Q269" i="2"/>
  <c r="P269" i="2"/>
  <c r="O269" i="2"/>
  <c r="Q268" i="2"/>
  <c r="P268" i="2"/>
  <c r="O268" i="2"/>
  <c r="Q267" i="2"/>
  <c r="P267" i="2"/>
  <c r="O267" i="2"/>
  <c r="Q266" i="2"/>
  <c r="P266" i="2"/>
  <c r="O266" i="2"/>
  <c r="Q265" i="2"/>
  <c r="P265" i="2"/>
  <c r="O265" i="2"/>
  <c r="Q264" i="2"/>
  <c r="P264" i="2"/>
  <c r="O264" i="2"/>
  <c r="Q263" i="2"/>
  <c r="P263" i="2"/>
  <c r="O263" i="2"/>
  <c r="Q262" i="2"/>
  <c r="P262" i="2"/>
  <c r="O262" i="2"/>
  <c r="Q261" i="2"/>
  <c r="P261" i="2"/>
  <c r="O261" i="2"/>
  <c r="Q260" i="2"/>
  <c r="P260" i="2"/>
  <c r="O260" i="2"/>
  <c r="Q259" i="2"/>
  <c r="P259" i="2"/>
  <c r="O259" i="2"/>
  <c r="Q258" i="2"/>
  <c r="P258" i="2"/>
  <c r="O258" i="2"/>
  <c r="Q257" i="2"/>
  <c r="P257" i="2"/>
  <c r="O257" i="2"/>
  <c r="Q256" i="2"/>
  <c r="P256" i="2"/>
  <c r="O256" i="2"/>
  <c r="Q255" i="2"/>
  <c r="P255" i="2"/>
  <c r="O255" i="2"/>
  <c r="Q254" i="2"/>
  <c r="P254" i="2"/>
  <c r="O254" i="2"/>
  <c r="Q253" i="2"/>
  <c r="P253" i="2"/>
  <c r="O253" i="2"/>
  <c r="Q252" i="2"/>
  <c r="P252" i="2"/>
  <c r="O252" i="2"/>
  <c r="Q251" i="2"/>
  <c r="P251" i="2"/>
  <c r="O251" i="2"/>
  <c r="Q250" i="2"/>
  <c r="P250" i="2"/>
  <c r="O250" i="2"/>
  <c r="Q249" i="2"/>
  <c r="P249" i="2"/>
  <c r="O249" i="2"/>
  <c r="Q248" i="2"/>
  <c r="P248" i="2"/>
  <c r="O248" i="2"/>
  <c r="Q247" i="2"/>
  <c r="P247" i="2"/>
  <c r="O247" i="2"/>
  <c r="Q246" i="2"/>
  <c r="P246" i="2"/>
  <c r="O246" i="2"/>
  <c r="Q245" i="2"/>
  <c r="P245" i="2"/>
  <c r="O245" i="2"/>
  <c r="Q244" i="2"/>
  <c r="P244" i="2"/>
  <c r="O244" i="2"/>
  <c r="Q243" i="2"/>
  <c r="P243" i="2"/>
  <c r="O243" i="2"/>
  <c r="Q242" i="2"/>
  <c r="P242" i="2"/>
  <c r="O242" i="2"/>
  <c r="Q241" i="2"/>
  <c r="P241" i="2"/>
  <c r="O241" i="2"/>
  <c r="Q240" i="2"/>
  <c r="P240" i="2"/>
  <c r="O240" i="2"/>
  <c r="Q239" i="2"/>
  <c r="P239" i="2"/>
  <c r="O239" i="2"/>
  <c r="Q238" i="2"/>
  <c r="P238" i="2"/>
  <c r="O238" i="2"/>
  <c r="Q237" i="2"/>
  <c r="P237" i="2"/>
  <c r="O237" i="2"/>
  <c r="Q236" i="2"/>
  <c r="P236" i="2"/>
  <c r="O236" i="2"/>
  <c r="Q235" i="2"/>
  <c r="P235" i="2"/>
  <c r="O235" i="2"/>
  <c r="Q234" i="2"/>
  <c r="P234" i="2"/>
  <c r="O234" i="2"/>
  <c r="Q233" i="2"/>
  <c r="P233" i="2"/>
  <c r="O233" i="2"/>
  <c r="Q232" i="2"/>
  <c r="P232" i="2"/>
  <c r="O232" i="2"/>
  <c r="Q231" i="2"/>
  <c r="P231" i="2"/>
  <c r="O231" i="2"/>
  <c r="Q230" i="2"/>
  <c r="P230" i="2"/>
  <c r="O230" i="2"/>
  <c r="Q229" i="2"/>
  <c r="P229" i="2"/>
  <c r="O229" i="2"/>
  <c r="Q228" i="2"/>
  <c r="P228" i="2"/>
  <c r="O228" i="2"/>
  <c r="Q227" i="2"/>
  <c r="P227" i="2"/>
  <c r="O227" i="2"/>
  <c r="Q226" i="2"/>
  <c r="P226" i="2"/>
  <c r="O226" i="2"/>
  <c r="Q225" i="2"/>
  <c r="P225" i="2"/>
  <c r="O225" i="2"/>
  <c r="Q224" i="2"/>
  <c r="P224" i="2"/>
  <c r="O224" i="2"/>
  <c r="Q223" i="2"/>
  <c r="P223" i="2"/>
  <c r="O223" i="2"/>
  <c r="Q222" i="2"/>
  <c r="P222" i="2"/>
  <c r="O222" i="2"/>
  <c r="Q221" i="2"/>
  <c r="P221" i="2"/>
  <c r="O221" i="2"/>
  <c r="Q220" i="2"/>
  <c r="P220" i="2"/>
  <c r="O220" i="2"/>
  <c r="Q219" i="2"/>
  <c r="P219" i="2"/>
  <c r="O219" i="2"/>
  <c r="Q218" i="2"/>
  <c r="P218" i="2"/>
  <c r="O218" i="2"/>
  <c r="Q217" i="2"/>
  <c r="P217" i="2"/>
  <c r="O217" i="2"/>
  <c r="Q216" i="2"/>
  <c r="P216" i="2"/>
  <c r="O216" i="2"/>
  <c r="Q215" i="2"/>
  <c r="P215" i="2"/>
  <c r="O215" i="2"/>
  <c r="Q214" i="2"/>
  <c r="P214" i="2"/>
  <c r="O214" i="2"/>
  <c r="Q213" i="2"/>
  <c r="P213" i="2"/>
  <c r="O213" i="2"/>
  <c r="Q212" i="2"/>
  <c r="P212" i="2"/>
  <c r="O212" i="2"/>
  <c r="Q211" i="2"/>
  <c r="P211" i="2"/>
  <c r="O211" i="2"/>
  <c r="Q210" i="2"/>
  <c r="P210" i="2"/>
  <c r="O210" i="2"/>
  <c r="Q209" i="2"/>
  <c r="P209" i="2"/>
  <c r="O209" i="2"/>
  <c r="Q208" i="2"/>
  <c r="P208" i="2"/>
  <c r="O208" i="2"/>
  <c r="Q207" i="2"/>
  <c r="P207" i="2"/>
  <c r="O207" i="2"/>
  <c r="Q206" i="2"/>
  <c r="P206" i="2"/>
  <c r="O206" i="2"/>
  <c r="Q205" i="2"/>
  <c r="P205" i="2"/>
  <c r="O205" i="2"/>
  <c r="Q204" i="2"/>
  <c r="P204" i="2"/>
  <c r="O204" i="2"/>
  <c r="Q203" i="2"/>
  <c r="P203" i="2"/>
  <c r="O203" i="2"/>
  <c r="Q202" i="2"/>
  <c r="P202" i="2"/>
  <c r="O202" i="2"/>
  <c r="Q201" i="2"/>
  <c r="P201" i="2"/>
  <c r="O201" i="2"/>
  <c r="Q200" i="2"/>
  <c r="P200" i="2"/>
  <c r="O200" i="2"/>
  <c r="Q199" i="2"/>
  <c r="P199" i="2"/>
  <c r="O199" i="2"/>
  <c r="Q198" i="2"/>
  <c r="P198" i="2"/>
  <c r="O198" i="2"/>
  <c r="Q197" i="2"/>
  <c r="P197" i="2"/>
  <c r="O197" i="2"/>
  <c r="Q196" i="2"/>
  <c r="P196" i="2"/>
  <c r="O196" i="2"/>
  <c r="Q195" i="2"/>
  <c r="P195" i="2"/>
  <c r="O195" i="2"/>
  <c r="Q194" i="2"/>
  <c r="P194" i="2"/>
  <c r="O194" i="2"/>
  <c r="Q193" i="2"/>
  <c r="P193" i="2"/>
  <c r="O193" i="2"/>
  <c r="Q192" i="2"/>
  <c r="P192" i="2"/>
  <c r="O192" i="2"/>
  <c r="Q191" i="2"/>
  <c r="P191" i="2"/>
  <c r="O191" i="2"/>
  <c r="Q190" i="2"/>
  <c r="P190" i="2"/>
  <c r="O190" i="2"/>
  <c r="Q189" i="2"/>
  <c r="P189" i="2"/>
  <c r="O189" i="2"/>
  <c r="Q188" i="2"/>
  <c r="P188" i="2"/>
  <c r="O188" i="2"/>
  <c r="Q187" i="2"/>
  <c r="P187" i="2"/>
  <c r="O187" i="2"/>
  <c r="Q186" i="2"/>
  <c r="P186" i="2"/>
  <c r="O186" i="2"/>
  <c r="Q185" i="2"/>
  <c r="P185" i="2"/>
  <c r="O185" i="2"/>
  <c r="Q184" i="2"/>
  <c r="P184" i="2"/>
  <c r="O184" i="2"/>
  <c r="Q183" i="2"/>
  <c r="P183" i="2"/>
  <c r="O183" i="2"/>
  <c r="Q182" i="2"/>
  <c r="P182" i="2"/>
  <c r="O182" i="2"/>
  <c r="Q181" i="2"/>
  <c r="P181" i="2"/>
  <c r="O181" i="2"/>
  <c r="Q180" i="2"/>
  <c r="P180" i="2"/>
  <c r="O180" i="2"/>
  <c r="Q179" i="2"/>
  <c r="P179" i="2"/>
  <c r="O179" i="2"/>
  <c r="Q178" i="2"/>
  <c r="P178" i="2"/>
  <c r="O178" i="2"/>
  <c r="Q177" i="2"/>
  <c r="P177" i="2"/>
  <c r="O177" i="2"/>
  <c r="Q176" i="2"/>
  <c r="P176" i="2"/>
  <c r="O176" i="2"/>
  <c r="Q175" i="2"/>
  <c r="P175" i="2"/>
  <c r="O175" i="2"/>
  <c r="Q174" i="2"/>
  <c r="P174" i="2"/>
  <c r="O174" i="2"/>
  <c r="Q173" i="2"/>
  <c r="P173" i="2"/>
  <c r="O173" i="2"/>
  <c r="Q172" i="2"/>
  <c r="P172" i="2"/>
  <c r="O172" i="2"/>
  <c r="Q171" i="2"/>
  <c r="P171" i="2"/>
  <c r="O171" i="2"/>
  <c r="Q170" i="2"/>
  <c r="P170" i="2"/>
  <c r="O170" i="2"/>
  <c r="Q169" i="2"/>
  <c r="P169" i="2"/>
  <c r="O169" i="2"/>
  <c r="Q168" i="2"/>
  <c r="P168" i="2"/>
  <c r="O168" i="2"/>
  <c r="Q167" i="2"/>
  <c r="P167" i="2"/>
  <c r="O167" i="2"/>
  <c r="Q166" i="2"/>
  <c r="P166" i="2"/>
  <c r="O166" i="2"/>
  <c r="Q165" i="2"/>
  <c r="P165" i="2"/>
  <c r="O165" i="2"/>
  <c r="Q164" i="2"/>
  <c r="P164" i="2"/>
  <c r="O164" i="2"/>
  <c r="Q163" i="2"/>
  <c r="P163" i="2"/>
  <c r="O163" i="2"/>
  <c r="Q162" i="2"/>
  <c r="P162" i="2"/>
  <c r="O162" i="2"/>
  <c r="Q161" i="2"/>
  <c r="P161" i="2"/>
  <c r="O161" i="2"/>
  <c r="Q160" i="2"/>
  <c r="P160" i="2"/>
  <c r="O160" i="2"/>
  <c r="Q159" i="2"/>
  <c r="P159" i="2"/>
  <c r="O159" i="2"/>
  <c r="Q158" i="2"/>
  <c r="P158" i="2"/>
  <c r="O158" i="2"/>
  <c r="Q157" i="2"/>
  <c r="P157" i="2"/>
  <c r="O157" i="2"/>
  <c r="Q156" i="2"/>
  <c r="P156" i="2"/>
  <c r="O156" i="2"/>
  <c r="Q155" i="2"/>
  <c r="P155" i="2"/>
  <c r="O155" i="2"/>
  <c r="Q154" i="2"/>
  <c r="P154" i="2"/>
  <c r="O154" i="2"/>
  <c r="Q153" i="2"/>
  <c r="P153" i="2"/>
  <c r="O153" i="2"/>
  <c r="Q152" i="2"/>
  <c r="P152" i="2"/>
  <c r="O152" i="2"/>
  <c r="Q151" i="2"/>
  <c r="P151" i="2"/>
  <c r="O151" i="2"/>
  <c r="Q150" i="2"/>
  <c r="P150" i="2"/>
  <c r="O150" i="2"/>
  <c r="Q149" i="2"/>
  <c r="P149" i="2"/>
  <c r="O149" i="2"/>
  <c r="Q148" i="2"/>
  <c r="P148" i="2"/>
  <c r="O148" i="2"/>
  <c r="Q147" i="2"/>
  <c r="P147" i="2"/>
  <c r="O147" i="2"/>
  <c r="Q146" i="2"/>
  <c r="P146" i="2"/>
  <c r="O146" i="2"/>
  <c r="Q145" i="2"/>
  <c r="P145" i="2"/>
  <c r="O145" i="2"/>
  <c r="Q144" i="2"/>
  <c r="P144" i="2"/>
  <c r="O144" i="2"/>
  <c r="Q143" i="2"/>
  <c r="P143" i="2"/>
  <c r="O143" i="2"/>
  <c r="Q142" i="2"/>
  <c r="P142" i="2"/>
  <c r="O142" i="2"/>
  <c r="Q141" i="2"/>
  <c r="P141" i="2"/>
  <c r="O141" i="2"/>
  <c r="Q140" i="2"/>
  <c r="P140" i="2"/>
  <c r="O140" i="2"/>
  <c r="Q139" i="2"/>
  <c r="P139" i="2"/>
  <c r="O139" i="2"/>
  <c r="Q138" i="2"/>
  <c r="P138" i="2"/>
  <c r="O138" i="2"/>
  <c r="Q137" i="2"/>
  <c r="P137" i="2"/>
  <c r="O137" i="2"/>
  <c r="Q136" i="2"/>
  <c r="P136" i="2"/>
  <c r="O136" i="2"/>
  <c r="Q135" i="2"/>
  <c r="P135" i="2"/>
  <c r="O135" i="2"/>
  <c r="Q134" i="2"/>
  <c r="P134" i="2"/>
  <c r="O134" i="2"/>
  <c r="Q133" i="2"/>
  <c r="P133" i="2"/>
  <c r="O133" i="2"/>
  <c r="Q132" i="2"/>
  <c r="P132" i="2"/>
  <c r="O132" i="2"/>
  <c r="Q131" i="2"/>
  <c r="P131" i="2"/>
  <c r="O131" i="2"/>
  <c r="Q130" i="2"/>
  <c r="P130" i="2"/>
  <c r="O130" i="2"/>
  <c r="Q129" i="2"/>
  <c r="P129" i="2"/>
  <c r="O129" i="2"/>
  <c r="Q128" i="2"/>
  <c r="P128" i="2"/>
  <c r="O128" i="2"/>
  <c r="Q127" i="2"/>
  <c r="P127" i="2"/>
  <c r="O127" i="2"/>
  <c r="Q126" i="2"/>
  <c r="P126" i="2"/>
  <c r="O126" i="2"/>
  <c r="Q125" i="2"/>
  <c r="P125" i="2"/>
  <c r="O125" i="2"/>
  <c r="Q124" i="2"/>
  <c r="P124" i="2"/>
  <c r="O124" i="2"/>
  <c r="Q123" i="2"/>
  <c r="P123" i="2"/>
  <c r="O123" i="2"/>
  <c r="Q122" i="2"/>
  <c r="P122" i="2"/>
  <c r="O122" i="2"/>
  <c r="Q121" i="2"/>
  <c r="P121" i="2"/>
  <c r="O121" i="2"/>
  <c r="Q120" i="2"/>
  <c r="P120" i="2"/>
  <c r="O120" i="2"/>
  <c r="Q119" i="2"/>
  <c r="P119" i="2"/>
  <c r="O119" i="2"/>
  <c r="Q118" i="2"/>
  <c r="P118" i="2"/>
  <c r="O118" i="2"/>
  <c r="Q117" i="2"/>
  <c r="P117" i="2"/>
  <c r="O117" i="2"/>
  <c r="Q116" i="2"/>
  <c r="P116" i="2"/>
  <c r="O116" i="2"/>
  <c r="Q115" i="2"/>
  <c r="P115" i="2"/>
  <c r="O115" i="2"/>
  <c r="Q114" i="2"/>
  <c r="P114" i="2"/>
  <c r="O114" i="2"/>
  <c r="Q113" i="2"/>
  <c r="P113" i="2"/>
  <c r="O113" i="2"/>
  <c r="Q112" i="2"/>
  <c r="P112" i="2"/>
  <c r="O112" i="2"/>
  <c r="Q111" i="2"/>
  <c r="P111" i="2"/>
  <c r="O111" i="2"/>
  <c r="Q110" i="2"/>
  <c r="P110" i="2"/>
  <c r="O110" i="2"/>
  <c r="Q109" i="2"/>
  <c r="P109" i="2"/>
  <c r="O109" i="2"/>
  <c r="Q108" i="2"/>
  <c r="P108" i="2"/>
  <c r="O108" i="2"/>
  <c r="Q107" i="2"/>
  <c r="P107" i="2"/>
  <c r="O107" i="2"/>
  <c r="Q106" i="2"/>
  <c r="P106" i="2"/>
  <c r="O106" i="2"/>
  <c r="Q105" i="2"/>
  <c r="P105" i="2"/>
  <c r="O105" i="2"/>
  <c r="Q104" i="2"/>
  <c r="P104" i="2"/>
  <c r="O104" i="2"/>
  <c r="Q103" i="2"/>
  <c r="P103" i="2"/>
  <c r="O103" i="2"/>
  <c r="Q102" i="2"/>
  <c r="P102" i="2"/>
  <c r="O102" i="2"/>
  <c r="Q101" i="2"/>
  <c r="P101" i="2"/>
  <c r="O101" i="2"/>
  <c r="Q100" i="2"/>
  <c r="P100" i="2"/>
  <c r="O100" i="2"/>
  <c r="Q99" i="2"/>
  <c r="P99" i="2"/>
  <c r="O99" i="2"/>
  <c r="Q98" i="2"/>
  <c r="P98" i="2"/>
  <c r="O98" i="2"/>
  <c r="Q97" i="2"/>
  <c r="P97" i="2"/>
  <c r="O97" i="2"/>
  <c r="Q96" i="2"/>
  <c r="P96" i="2"/>
  <c r="O96" i="2"/>
  <c r="Q95" i="2"/>
  <c r="P95" i="2"/>
  <c r="O95" i="2"/>
  <c r="Q94" i="2"/>
  <c r="P94" i="2"/>
  <c r="O94" i="2"/>
  <c r="Q93" i="2"/>
  <c r="P93" i="2"/>
  <c r="O93" i="2"/>
  <c r="Q92" i="2"/>
  <c r="P92" i="2"/>
  <c r="O92" i="2"/>
  <c r="Q91" i="2"/>
  <c r="P91" i="2"/>
  <c r="O91" i="2"/>
  <c r="Q90" i="2"/>
  <c r="P90" i="2"/>
  <c r="O90" i="2"/>
  <c r="Q89" i="2"/>
  <c r="P89" i="2"/>
  <c r="O89" i="2"/>
  <c r="Q88" i="2"/>
  <c r="P88" i="2"/>
  <c r="O88" i="2"/>
  <c r="Q87" i="2"/>
  <c r="P87" i="2"/>
  <c r="O87" i="2"/>
  <c r="Q86" i="2"/>
  <c r="P86" i="2"/>
  <c r="O86" i="2"/>
  <c r="Q85" i="2"/>
  <c r="P85" i="2"/>
  <c r="O85" i="2"/>
  <c r="Q84" i="2"/>
  <c r="P84" i="2"/>
  <c r="O84" i="2"/>
  <c r="Q83" i="2"/>
  <c r="P83" i="2"/>
  <c r="O83" i="2"/>
  <c r="Q82" i="2"/>
  <c r="P82" i="2"/>
  <c r="O82" i="2"/>
  <c r="Q81" i="2"/>
  <c r="P81" i="2"/>
  <c r="O81" i="2"/>
  <c r="Q80" i="2"/>
  <c r="P80" i="2"/>
  <c r="O80" i="2"/>
  <c r="Q79" i="2"/>
  <c r="P79" i="2"/>
  <c r="O79" i="2"/>
  <c r="Q78" i="2"/>
  <c r="P78" i="2"/>
  <c r="O78" i="2"/>
  <c r="Q77" i="2"/>
  <c r="P77" i="2"/>
  <c r="O77" i="2"/>
  <c r="Q76" i="2"/>
  <c r="P76" i="2"/>
  <c r="O76" i="2"/>
  <c r="Q75" i="2"/>
  <c r="P75" i="2"/>
  <c r="O75" i="2"/>
  <c r="Q74" i="2"/>
  <c r="P74" i="2"/>
  <c r="O74" i="2"/>
  <c r="Q73" i="2"/>
  <c r="P73" i="2"/>
  <c r="O73" i="2"/>
  <c r="Q72" i="2"/>
  <c r="P72" i="2"/>
  <c r="O72" i="2"/>
  <c r="Q71" i="2"/>
  <c r="P71" i="2"/>
  <c r="O71" i="2"/>
  <c r="Q70" i="2"/>
  <c r="P70" i="2"/>
  <c r="O70" i="2"/>
  <c r="Q69" i="2"/>
  <c r="P69" i="2"/>
  <c r="O69" i="2"/>
  <c r="Q68" i="2"/>
  <c r="P68" i="2"/>
  <c r="O68" i="2"/>
  <c r="Q67" i="2"/>
  <c r="P67" i="2"/>
  <c r="O67" i="2"/>
  <c r="Q66" i="2"/>
  <c r="P66" i="2"/>
  <c r="O66" i="2"/>
  <c r="Q65" i="2"/>
  <c r="P65" i="2"/>
  <c r="O65" i="2"/>
  <c r="Q64" i="2"/>
  <c r="P64" i="2"/>
  <c r="O64" i="2"/>
  <c r="Q63" i="2"/>
  <c r="P63" i="2"/>
  <c r="O63" i="2"/>
  <c r="Q62" i="2"/>
  <c r="P62" i="2"/>
  <c r="O62" i="2"/>
  <c r="Q61" i="2"/>
  <c r="P61" i="2"/>
  <c r="O61" i="2"/>
  <c r="Q60" i="2"/>
  <c r="P60" i="2"/>
  <c r="O60" i="2"/>
  <c r="Q59" i="2"/>
  <c r="P59" i="2"/>
  <c r="O59" i="2"/>
  <c r="Q58" i="2"/>
  <c r="P58" i="2"/>
  <c r="O58" i="2"/>
  <c r="Q57" i="2"/>
  <c r="P57" i="2"/>
  <c r="O57" i="2"/>
  <c r="Q56" i="2"/>
  <c r="P56" i="2"/>
  <c r="O56" i="2"/>
  <c r="Q55" i="2"/>
  <c r="P55" i="2"/>
  <c r="O55" i="2"/>
  <c r="Q54" i="2"/>
  <c r="P54" i="2"/>
  <c r="O54" i="2"/>
  <c r="Q53" i="2"/>
  <c r="P53" i="2"/>
  <c r="O53" i="2"/>
  <c r="Q52" i="2"/>
  <c r="P52" i="2"/>
  <c r="O52" i="2"/>
  <c r="Q51" i="2"/>
  <c r="P51" i="2"/>
  <c r="O51" i="2"/>
  <c r="Q50" i="2"/>
  <c r="P50" i="2"/>
  <c r="O50" i="2"/>
  <c r="Q49" i="2"/>
  <c r="P49" i="2"/>
  <c r="O49" i="2"/>
  <c r="Q48" i="2"/>
  <c r="P48" i="2"/>
  <c r="O48" i="2"/>
  <c r="Q47" i="2"/>
  <c r="P47" i="2"/>
  <c r="O47" i="2"/>
  <c r="Q46" i="2"/>
  <c r="P46" i="2"/>
  <c r="O46" i="2"/>
  <c r="Q45" i="2"/>
  <c r="P45" i="2"/>
  <c r="O45" i="2"/>
  <c r="Q44" i="2"/>
  <c r="P44" i="2"/>
  <c r="O44" i="2"/>
  <c r="Q43" i="2"/>
  <c r="P43" i="2"/>
  <c r="O43" i="2"/>
  <c r="Q42" i="2"/>
  <c r="P42" i="2"/>
  <c r="O42" i="2"/>
  <c r="Q41" i="2"/>
  <c r="P41" i="2"/>
  <c r="O41" i="2"/>
  <c r="Q40" i="2"/>
  <c r="P40" i="2"/>
  <c r="O40" i="2"/>
  <c r="Q39" i="2"/>
  <c r="P39" i="2"/>
  <c r="O39" i="2"/>
  <c r="Q38" i="2"/>
  <c r="P38" i="2"/>
  <c r="O38" i="2"/>
  <c r="Q37" i="2"/>
  <c r="P37" i="2"/>
  <c r="O37" i="2"/>
  <c r="Q36" i="2"/>
  <c r="P36" i="2"/>
  <c r="O36" i="2"/>
  <c r="Q35" i="2"/>
  <c r="P35" i="2"/>
  <c r="O35" i="2"/>
  <c r="Q34" i="2"/>
  <c r="P34" i="2"/>
  <c r="O34" i="2"/>
  <c r="Q33" i="2"/>
  <c r="P33" i="2"/>
  <c r="O33" i="2"/>
  <c r="Q32" i="2"/>
  <c r="P32" i="2"/>
  <c r="O32" i="2"/>
  <c r="Q31" i="2"/>
  <c r="P31" i="2"/>
  <c r="O31" i="2"/>
  <c r="Q30" i="2"/>
  <c r="P30" i="2"/>
  <c r="O30" i="2"/>
  <c r="Q29" i="2"/>
  <c r="P29" i="2"/>
  <c r="O29" i="2"/>
  <c r="Q28" i="2"/>
  <c r="P28" i="2"/>
  <c r="O28" i="2"/>
  <c r="Q27" i="2"/>
  <c r="P27" i="2"/>
  <c r="O27" i="2"/>
  <c r="Q26" i="2"/>
  <c r="P26" i="2"/>
  <c r="O26" i="2"/>
  <c r="Q25" i="2"/>
  <c r="P25" i="2"/>
  <c r="O25" i="2"/>
  <c r="Q24" i="2"/>
  <c r="P24" i="2"/>
  <c r="O24" i="2"/>
  <c r="Q23" i="2"/>
  <c r="P23" i="2"/>
  <c r="O23" i="2"/>
  <c r="Q22" i="2"/>
  <c r="P22" i="2"/>
  <c r="O22" i="2"/>
  <c r="Q21" i="2"/>
  <c r="P21" i="2"/>
  <c r="O21" i="2"/>
  <c r="Q20" i="2"/>
  <c r="P20" i="2"/>
  <c r="O20" i="2"/>
  <c r="Q19" i="2"/>
  <c r="P19" i="2"/>
  <c r="O19" i="2"/>
  <c r="Q18" i="2"/>
  <c r="P18" i="2"/>
  <c r="O18" i="2"/>
  <c r="Q17" i="2"/>
  <c r="P17" i="2"/>
  <c r="O17" i="2"/>
  <c r="Q16" i="2"/>
  <c r="P16" i="2"/>
  <c r="O16" i="2"/>
  <c r="Q15" i="2"/>
  <c r="P15" i="2"/>
  <c r="O15" i="2"/>
  <c r="Q14" i="2"/>
  <c r="P14" i="2"/>
  <c r="O14" i="2"/>
  <c r="Q13" i="2"/>
  <c r="P13" i="2"/>
  <c r="O13" i="2"/>
  <c r="Q12" i="2"/>
  <c r="P12" i="2"/>
  <c r="O12" i="2"/>
  <c r="Q11" i="2"/>
  <c r="P11" i="2"/>
  <c r="O11" i="2"/>
  <c r="Q10" i="2"/>
  <c r="P10" i="2"/>
  <c r="O10" i="2"/>
  <c r="Q9" i="2"/>
  <c r="P9" i="2"/>
  <c r="O9" i="2"/>
  <c r="Q8" i="2"/>
  <c r="P8" i="2"/>
  <c r="O8" i="2"/>
  <c r="Q7" i="2"/>
  <c r="P7" i="2"/>
  <c r="O7" i="2"/>
  <c r="Q6" i="2"/>
  <c r="P6" i="2"/>
  <c r="O6" i="2"/>
  <c r="Q5" i="2"/>
  <c r="P5" i="2"/>
  <c r="O5" i="2"/>
  <c r="Q4" i="2"/>
  <c r="P4" i="2"/>
  <c r="O4" i="2"/>
  <c r="Q3" i="2"/>
  <c r="P3" i="2"/>
  <c r="O3" i="2"/>
  <c r="Q2" i="2"/>
  <c r="P2" i="2"/>
  <c r="O2" i="2"/>
  <c r="R2000" i="1"/>
  <c r="Q2000" i="1"/>
  <c r="P2000" i="1"/>
  <c r="O2000" i="1"/>
  <c r="M2000" i="1"/>
  <c r="R1999" i="1"/>
  <c r="Q1999" i="1"/>
  <c r="P1999" i="1"/>
  <c r="O1999" i="1"/>
  <c r="M1999" i="1"/>
  <c r="R1998" i="1"/>
  <c r="Q1998" i="1"/>
  <c r="P1998" i="1"/>
  <c r="O1998" i="1"/>
  <c r="M1998" i="1"/>
  <c r="R1997" i="1"/>
  <c r="Q1997" i="1"/>
  <c r="P1997" i="1"/>
  <c r="O1997" i="1"/>
  <c r="M1997" i="1"/>
  <c r="R1996" i="1"/>
  <c r="Q1996" i="1"/>
  <c r="P1996" i="1"/>
  <c r="O1996" i="1"/>
  <c r="M1996" i="1"/>
  <c r="R1995" i="1"/>
  <c r="Q1995" i="1"/>
  <c r="P1995" i="1"/>
  <c r="O1995" i="1"/>
  <c r="M1995" i="1"/>
  <c r="R1994" i="1"/>
  <c r="Q1994" i="1"/>
  <c r="P1994" i="1"/>
  <c r="O1994" i="1"/>
  <c r="M1994" i="1"/>
  <c r="R1993" i="1"/>
  <c r="Q1993" i="1"/>
  <c r="P1993" i="1"/>
  <c r="O1993" i="1"/>
  <c r="M1993" i="1"/>
  <c r="R1992" i="1"/>
  <c r="Q1992" i="1"/>
  <c r="P1992" i="1"/>
  <c r="O1992" i="1"/>
  <c r="M1992" i="1"/>
  <c r="R1991" i="1"/>
  <c r="Q1991" i="1"/>
  <c r="P1991" i="1"/>
  <c r="O1991" i="1"/>
  <c r="M1991" i="1"/>
  <c r="R1990" i="1"/>
  <c r="Q1990" i="1"/>
  <c r="P1990" i="1"/>
  <c r="O1990" i="1"/>
  <c r="M1990" i="1"/>
  <c r="R1989" i="1"/>
  <c r="Q1989" i="1"/>
  <c r="P1989" i="1"/>
  <c r="O1989" i="1"/>
  <c r="M1989" i="1"/>
  <c r="R1988" i="1"/>
  <c r="Q1988" i="1"/>
  <c r="P1988" i="1"/>
  <c r="O1988" i="1"/>
  <c r="M1988" i="1"/>
  <c r="R1987" i="1"/>
  <c r="Q1987" i="1"/>
  <c r="P1987" i="1"/>
  <c r="O1987" i="1"/>
  <c r="M1987" i="1"/>
  <c r="R1986" i="1"/>
  <c r="Q1986" i="1"/>
  <c r="P1986" i="1"/>
  <c r="O1986" i="1"/>
  <c r="M1986" i="1"/>
  <c r="R1985" i="1"/>
  <c r="Q1985" i="1"/>
  <c r="P1985" i="1"/>
  <c r="O1985" i="1"/>
  <c r="M1985" i="1"/>
  <c r="R1984" i="1"/>
  <c r="Q1984" i="1"/>
  <c r="P1984" i="1"/>
  <c r="O1984" i="1"/>
  <c r="M1984" i="1"/>
  <c r="R1983" i="1"/>
  <c r="Q1983" i="1"/>
  <c r="P1983" i="1"/>
  <c r="O1983" i="1"/>
  <c r="M1983" i="1"/>
  <c r="R1982" i="1"/>
  <c r="Q1982" i="1"/>
  <c r="P1982" i="1"/>
  <c r="O1982" i="1"/>
  <c r="M1982" i="1"/>
  <c r="R1981" i="1"/>
  <c r="Q1981" i="1"/>
  <c r="P1981" i="1"/>
  <c r="O1981" i="1"/>
  <c r="M1981" i="1"/>
  <c r="R1980" i="1"/>
  <c r="Q1980" i="1"/>
  <c r="P1980" i="1"/>
  <c r="O1980" i="1"/>
  <c r="M1980" i="1"/>
  <c r="R1979" i="1"/>
  <c r="Q1979" i="1"/>
  <c r="P1979" i="1"/>
  <c r="O1979" i="1"/>
  <c r="M1979" i="1"/>
  <c r="R1978" i="1"/>
  <c r="Q1978" i="1"/>
  <c r="P1978" i="1"/>
  <c r="O1978" i="1"/>
  <c r="M1978" i="1"/>
  <c r="R1977" i="1"/>
  <c r="Q1977" i="1"/>
  <c r="P1977" i="1"/>
  <c r="O1977" i="1"/>
  <c r="M1977" i="1"/>
  <c r="R1976" i="1"/>
  <c r="Q1976" i="1"/>
  <c r="P1976" i="1"/>
  <c r="O1976" i="1"/>
  <c r="M1976" i="1"/>
  <c r="R1975" i="1"/>
  <c r="Q1975" i="1"/>
  <c r="P1975" i="1"/>
  <c r="O1975" i="1"/>
  <c r="M1975" i="1"/>
  <c r="R1974" i="1"/>
  <c r="Q1974" i="1"/>
  <c r="P1974" i="1"/>
  <c r="O1974" i="1"/>
  <c r="M1974" i="1"/>
  <c r="R1973" i="1"/>
  <c r="Q1973" i="1"/>
  <c r="P1973" i="1"/>
  <c r="O1973" i="1"/>
  <c r="M1973" i="1"/>
  <c r="R1972" i="1"/>
  <c r="Q1972" i="1"/>
  <c r="P1972" i="1"/>
  <c r="O1972" i="1"/>
  <c r="M1972" i="1"/>
  <c r="R1971" i="1"/>
  <c r="Q1971" i="1"/>
  <c r="P1971" i="1"/>
  <c r="O1971" i="1"/>
  <c r="M1971" i="1"/>
  <c r="R1970" i="1"/>
  <c r="Q1970" i="1"/>
  <c r="P1970" i="1"/>
  <c r="O1970" i="1"/>
  <c r="M1970" i="1"/>
  <c r="R1969" i="1"/>
  <c r="Q1969" i="1"/>
  <c r="P1969" i="1"/>
  <c r="O1969" i="1"/>
  <c r="M1969" i="1"/>
  <c r="R1968" i="1"/>
  <c r="Q1968" i="1"/>
  <c r="P1968" i="1"/>
  <c r="O1968" i="1"/>
  <c r="M1968" i="1"/>
  <c r="R1967" i="1"/>
  <c r="Q1967" i="1"/>
  <c r="P1967" i="1"/>
  <c r="O1967" i="1"/>
  <c r="M1967" i="1"/>
  <c r="R1966" i="1"/>
  <c r="Q1966" i="1"/>
  <c r="P1966" i="1"/>
  <c r="O1966" i="1"/>
  <c r="M1966" i="1"/>
  <c r="R1965" i="1"/>
  <c r="Q1965" i="1"/>
  <c r="P1965" i="1"/>
  <c r="O1965" i="1"/>
  <c r="M1965" i="1"/>
  <c r="R1964" i="1"/>
  <c r="Q1964" i="1"/>
  <c r="P1964" i="1"/>
  <c r="O1964" i="1"/>
  <c r="M1964" i="1"/>
  <c r="R1963" i="1"/>
  <c r="Q1963" i="1"/>
  <c r="P1963" i="1"/>
  <c r="O1963" i="1"/>
  <c r="M1963" i="1"/>
  <c r="R1962" i="1"/>
  <c r="Q1962" i="1"/>
  <c r="P1962" i="1"/>
  <c r="O1962" i="1"/>
  <c r="M1962" i="1"/>
  <c r="R1961" i="1"/>
  <c r="Q1961" i="1"/>
  <c r="P1961" i="1"/>
  <c r="O1961" i="1"/>
  <c r="M1961" i="1"/>
  <c r="R1960" i="1"/>
  <c r="Q1960" i="1"/>
  <c r="P1960" i="1"/>
  <c r="O1960" i="1"/>
  <c r="M1960" i="1"/>
  <c r="R1959" i="1"/>
  <c r="Q1959" i="1"/>
  <c r="P1959" i="1"/>
  <c r="O1959" i="1"/>
  <c r="M1959" i="1"/>
  <c r="R1958" i="1"/>
  <c r="Q1958" i="1"/>
  <c r="P1958" i="1"/>
  <c r="O1958" i="1"/>
  <c r="M1958" i="1"/>
  <c r="R1957" i="1"/>
  <c r="Q1957" i="1"/>
  <c r="P1957" i="1"/>
  <c r="O1957" i="1"/>
  <c r="M1957" i="1"/>
  <c r="R1956" i="1"/>
  <c r="Q1956" i="1"/>
  <c r="P1956" i="1"/>
  <c r="O1956" i="1"/>
  <c r="M1956" i="1"/>
  <c r="R1955" i="1"/>
  <c r="Q1955" i="1"/>
  <c r="P1955" i="1"/>
  <c r="O1955" i="1"/>
  <c r="M1955" i="1"/>
  <c r="R1954" i="1"/>
  <c r="Q1954" i="1"/>
  <c r="P1954" i="1"/>
  <c r="O1954" i="1"/>
  <c r="M1954" i="1"/>
  <c r="R1953" i="1"/>
  <c r="Q1953" i="1"/>
  <c r="P1953" i="1"/>
  <c r="O1953" i="1"/>
  <c r="M1953" i="1"/>
  <c r="R1952" i="1"/>
  <c r="Q1952" i="1"/>
  <c r="P1952" i="1"/>
  <c r="O1952" i="1"/>
  <c r="M1952" i="1"/>
  <c r="R1951" i="1"/>
  <c r="Q1951" i="1"/>
  <c r="P1951" i="1"/>
  <c r="O1951" i="1"/>
  <c r="M1951" i="1"/>
  <c r="R1950" i="1"/>
  <c r="Q1950" i="1"/>
  <c r="P1950" i="1"/>
  <c r="O1950" i="1"/>
  <c r="M1950" i="1"/>
  <c r="R1949" i="1"/>
  <c r="Q1949" i="1"/>
  <c r="P1949" i="1"/>
  <c r="O1949" i="1"/>
  <c r="M1949" i="1"/>
  <c r="R1948" i="1"/>
  <c r="Q1948" i="1"/>
  <c r="P1948" i="1"/>
  <c r="O1948" i="1"/>
  <c r="M1948" i="1"/>
  <c r="R1947" i="1"/>
  <c r="Q1947" i="1"/>
  <c r="P1947" i="1"/>
  <c r="O1947" i="1"/>
  <c r="M1947" i="1"/>
  <c r="R1946" i="1"/>
  <c r="Q1946" i="1"/>
  <c r="P1946" i="1"/>
  <c r="O1946" i="1"/>
  <c r="M1946" i="1"/>
  <c r="R1945" i="1"/>
  <c r="Q1945" i="1"/>
  <c r="P1945" i="1"/>
  <c r="O1945" i="1"/>
  <c r="M1945" i="1"/>
  <c r="R1944" i="1"/>
  <c r="Q1944" i="1"/>
  <c r="P1944" i="1"/>
  <c r="O1944" i="1"/>
  <c r="M1944" i="1"/>
  <c r="R1943" i="1"/>
  <c r="Q1943" i="1"/>
  <c r="P1943" i="1"/>
  <c r="O1943" i="1"/>
  <c r="M1943" i="1"/>
  <c r="R1942" i="1"/>
  <c r="Q1942" i="1"/>
  <c r="P1942" i="1"/>
  <c r="O1942" i="1"/>
  <c r="M1942" i="1"/>
  <c r="R1941" i="1"/>
  <c r="Q1941" i="1"/>
  <c r="P1941" i="1"/>
  <c r="O1941" i="1"/>
  <c r="M1941" i="1"/>
  <c r="R1940" i="1"/>
  <c r="Q1940" i="1"/>
  <c r="P1940" i="1"/>
  <c r="O1940" i="1"/>
  <c r="M1940" i="1"/>
  <c r="R1939" i="1"/>
  <c r="Q1939" i="1"/>
  <c r="P1939" i="1"/>
  <c r="O1939" i="1"/>
  <c r="M1939" i="1"/>
  <c r="R1938" i="1"/>
  <c r="Q1938" i="1"/>
  <c r="P1938" i="1"/>
  <c r="O1938" i="1"/>
  <c r="M1938" i="1"/>
  <c r="R1937" i="1"/>
  <c r="Q1937" i="1"/>
  <c r="P1937" i="1"/>
  <c r="O1937" i="1"/>
  <c r="M1937" i="1"/>
  <c r="R1936" i="1"/>
  <c r="Q1936" i="1"/>
  <c r="P1936" i="1"/>
  <c r="O1936" i="1"/>
  <c r="M1936" i="1"/>
  <c r="R1935" i="1"/>
  <c r="Q1935" i="1"/>
  <c r="P1935" i="1"/>
  <c r="O1935" i="1"/>
  <c r="M1935" i="1"/>
  <c r="R1934" i="1"/>
  <c r="Q1934" i="1"/>
  <c r="P1934" i="1"/>
  <c r="O1934" i="1"/>
  <c r="M1934" i="1"/>
  <c r="R1933" i="1"/>
  <c r="Q1933" i="1"/>
  <c r="P1933" i="1"/>
  <c r="O1933" i="1"/>
  <c r="M1933" i="1"/>
  <c r="R1932" i="1"/>
  <c r="Q1932" i="1"/>
  <c r="P1932" i="1"/>
  <c r="O1932" i="1"/>
  <c r="M1932" i="1"/>
  <c r="R1931" i="1"/>
  <c r="Q1931" i="1"/>
  <c r="P1931" i="1"/>
  <c r="O1931" i="1"/>
  <c r="M1931" i="1"/>
  <c r="R1930" i="1"/>
  <c r="Q1930" i="1"/>
  <c r="P1930" i="1"/>
  <c r="O1930" i="1"/>
  <c r="M1930" i="1"/>
  <c r="R1929" i="1"/>
  <c r="Q1929" i="1"/>
  <c r="P1929" i="1"/>
  <c r="O1929" i="1"/>
  <c r="M1929" i="1"/>
  <c r="R1928" i="1"/>
  <c r="Q1928" i="1"/>
  <c r="P1928" i="1"/>
  <c r="O1928" i="1"/>
  <c r="M1928" i="1"/>
  <c r="R1927" i="1"/>
  <c r="Q1927" i="1"/>
  <c r="P1927" i="1"/>
  <c r="O1927" i="1"/>
  <c r="M1927" i="1"/>
  <c r="R1926" i="1"/>
  <c r="Q1926" i="1"/>
  <c r="P1926" i="1"/>
  <c r="O1926" i="1"/>
  <c r="M1926" i="1"/>
  <c r="R1925" i="1"/>
  <c r="Q1925" i="1"/>
  <c r="P1925" i="1"/>
  <c r="O1925" i="1"/>
  <c r="M1925" i="1"/>
  <c r="R1924" i="1"/>
  <c r="Q1924" i="1"/>
  <c r="P1924" i="1"/>
  <c r="O1924" i="1"/>
  <c r="M1924" i="1"/>
  <c r="R1923" i="1"/>
  <c r="Q1923" i="1"/>
  <c r="P1923" i="1"/>
  <c r="O1923" i="1"/>
  <c r="M1923" i="1"/>
  <c r="R1922" i="1"/>
  <c r="Q1922" i="1"/>
  <c r="P1922" i="1"/>
  <c r="O1922" i="1"/>
  <c r="M1922" i="1"/>
  <c r="R1921" i="1"/>
  <c r="Q1921" i="1"/>
  <c r="P1921" i="1"/>
  <c r="O1921" i="1"/>
  <c r="M1921" i="1"/>
  <c r="R1920" i="1"/>
  <c r="Q1920" i="1"/>
  <c r="P1920" i="1"/>
  <c r="O1920" i="1"/>
  <c r="M1920" i="1"/>
  <c r="R1919" i="1"/>
  <c r="Q1919" i="1"/>
  <c r="P1919" i="1"/>
  <c r="O1919" i="1"/>
  <c r="M1919" i="1"/>
  <c r="R1918" i="1"/>
  <c r="Q1918" i="1"/>
  <c r="P1918" i="1"/>
  <c r="O1918" i="1"/>
  <c r="M1918" i="1"/>
  <c r="R1917" i="1"/>
  <c r="Q1917" i="1"/>
  <c r="P1917" i="1"/>
  <c r="O1917" i="1"/>
  <c r="M1917" i="1"/>
  <c r="R1916" i="1"/>
  <c r="Q1916" i="1"/>
  <c r="P1916" i="1"/>
  <c r="O1916" i="1"/>
  <c r="M1916" i="1"/>
  <c r="R1915" i="1"/>
  <c r="Q1915" i="1"/>
  <c r="P1915" i="1"/>
  <c r="O1915" i="1"/>
  <c r="M1915" i="1"/>
  <c r="R1914" i="1"/>
  <c r="Q1914" i="1"/>
  <c r="P1914" i="1"/>
  <c r="O1914" i="1"/>
  <c r="M1914" i="1"/>
  <c r="R1913" i="1"/>
  <c r="Q1913" i="1"/>
  <c r="P1913" i="1"/>
  <c r="O1913" i="1"/>
  <c r="M1913" i="1"/>
  <c r="R1912" i="1"/>
  <c r="Q1912" i="1"/>
  <c r="P1912" i="1"/>
  <c r="O1912" i="1"/>
  <c r="M1912" i="1"/>
  <c r="R1911" i="1"/>
  <c r="Q1911" i="1"/>
  <c r="P1911" i="1"/>
  <c r="O1911" i="1"/>
  <c r="M1911" i="1"/>
  <c r="R1910" i="1"/>
  <c r="Q1910" i="1"/>
  <c r="P1910" i="1"/>
  <c r="O1910" i="1"/>
  <c r="M1910" i="1"/>
  <c r="R1909" i="1"/>
  <c r="Q1909" i="1"/>
  <c r="P1909" i="1"/>
  <c r="O1909" i="1"/>
  <c r="M1909" i="1"/>
  <c r="R1908" i="1"/>
  <c r="Q1908" i="1"/>
  <c r="P1908" i="1"/>
  <c r="O1908" i="1"/>
  <c r="M1908" i="1"/>
  <c r="R1907" i="1"/>
  <c r="Q1907" i="1"/>
  <c r="P1907" i="1"/>
  <c r="O1907" i="1"/>
  <c r="M1907" i="1"/>
  <c r="R1906" i="1"/>
  <c r="Q1906" i="1"/>
  <c r="P1906" i="1"/>
  <c r="O1906" i="1"/>
  <c r="M1906" i="1"/>
  <c r="R1905" i="1"/>
  <c r="Q1905" i="1"/>
  <c r="P1905" i="1"/>
  <c r="O1905" i="1"/>
  <c r="M1905" i="1"/>
  <c r="R1904" i="1"/>
  <c r="Q1904" i="1"/>
  <c r="P1904" i="1"/>
  <c r="O1904" i="1"/>
  <c r="M1904" i="1"/>
  <c r="R1903" i="1"/>
  <c r="Q1903" i="1"/>
  <c r="P1903" i="1"/>
  <c r="O1903" i="1"/>
  <c r="M1903" i="1"/>
  <c r="R1902" i="1"/>
  <c r="Q1902" i="1"/>
  <c r="P1902" i="1"/>
  <c r="O1902" i="1"/>
  <c r="M1902" i="1"/>
  <c r="R1901" i="1"/>
  <c r="Q1901" i="1"/>
  <c r="P1901" i="1"/>
  <c r="O1901" i="1"/>
  <c r="M1901" i="1"/>
  <c r="R1900" i="1"/>
  <c r="Q1900" i="1"/>
  <c r="P1900" i="1"/>
  <c r="O1900" i="1"/>
  <c r="M1900" i="1"/>
  <c r="R1899" i="1"/>
  <c r="Q1899" i="1"/>
  <c r="P1899" i="1"/>
  <c r="O1899" i="1"/>
  <c r="M1899" i="1"/>
  <c r="R1898" i="1"/>
  <c r="Q1898" i="1"/>
  <c r="P1898" i="1"/>
  <c r="O1898" i="1"/>
  <c r="M1898" i="1"/>
  <c r="R1897" i="1"/>
  <c r="Q1897" i="1"/>
  <c r="P1897" i="1"/>
  <c r="O1897" i="1"/>
  <c r="M1897" i="1"/>
  <c r="R1896" i="1"/>
  <c r="Q1896" i="1"/>
  <c r="P1896" i="1"/>
  <c r="O1896" i="1"/>
  <c r="M1896" i="1"/>
  <c r="R1895" i="1"/>
  <c r="Q1895" i="1"/>
  <c r="P1895" i="1"/>
  <c r="O1895" i="1"/>
  <c r="M1895" i="1"/>
  <c r="R1894" i="1"/>
  <c r="Q1894" i="1"/>
  <c r="P1894" i="1"/>
  <c r="O1894" i="1"/>
  <c r="M1894" i="1"/>
  <c r="R1893" i="1"/>
  <c r="Q1893" i="1"/>
  <c r="P1893" i="1"/>
  <c r="O1893" i="1"/>
  <c r="M1893" i="1"/>
  <c r="R1892" i="1"/>
  <c r="Q1892" i="1"/>
  <c r="P1892" i="1"/>
  <c r="O1892" i="1"/>
  <c r="M1892" i="1"/>
  <c r="R1891" i="1"/>
  <c r="Q1891" i="1"/>
  <c r="P1891" i="1"/>
  <c r="O1891" i="1"/>
  <c r="M1891" i="1"/>
  <c r="R1890" i="1"/>
  <c r="Q1890" i="1"/>
  <c r="P1890" i="1"/>
  <c r="O1890" i="1"/>
  <c r="M1890" i="1"/>
  <c r="R1889" i="1"/>
  <c r="Q1889" i="1"/>
  <c r="P1889" i="1"/>
  <c r="O1889" i="1"/>
  <c r="M1889" i="1"/>
  <c r="R1888" i="1"/>
  <c r="Q1888" i="1"/>
  <c r="P1888" i="1"/>
  <c r="O1888" i="1"/>
  <c r="M1888" i="1"/>
  <c r="R1887" i="1"/>
  <c r="Q1887" i="1"/>
  <c r="P1887" i="1"/>
  <c r="O1887" i="1"/>
  <c r="M1887" i="1"/>
  <c r="R1886" i="1"/>
  <c r="Q1886" i="1"/>
  <c r="P1886" i="1"/>
  <c r="O1886" i="1"/>
  <c r="M1886" i="1"/>
  <c r="R1885" i="1"/>
  <c r="Q1885" i="1"/>
  <c r="P1885" i="1"/>
  <c r="O1885" i="1"/>
  <c r="M1885" i="1"/>
  <c r="R1884" i="1"/>
  <c r="Q1884" i="1"/>
  <c r="P1884" i="1"/>
  <c r="O1884" i="1"/>
  <c r="M1884" i="1"/>
  <c r="R1883" i="1"/>
  <c r="Q1883" i="1"/>
  <c r="P1883" i="1"/>
  <c r="O1883" i="1"/>
  <c r="M1883" i="1"/>
  <c r="R1882" i="1"/>
  <c r="Q1882" i="1"/>
  <c r="P1882" i="1"/>
  <c r="O1882" i="1"/>
  <c r="M1882" i="1"/>
  <c r="R1881" i="1"/>
  <c r="Q1881" i="1"/>
  <c r="P1881" i="1"/>
  <c r="O1881" i="1"/>
  <c r="M1881" i="1"/>
  <c r="R1880" i="1"/>
  <c r="Q1880" i="1"/>
  <c r="P1880" i="1"/>
  <c r="O1880" i="1"/>
  <c r="M1880" i="1"/>
  <c r="R1879" i="1"/>
  <c r="Q1879" i="1"/>
  <c r="P1879" i="1"/>
  <c r="O1879" i="1"/>
  <c r="M1879" i="1"/>
  <c r="R1878" i="1"/>
  <c r="Q1878" i="1"/>
  <c r="P1878" i="1"/>
  <c r="O1878" i="1"/>
  <c r="M1878" i="1"/>
  <c r="R1877" i="1"/>
  <c r="Q1877" i="1"/>
  <c r="P1877" i="1"/>
  <c r="O1877" i="1"/>
  <c r="M1877" i="1"/>
  <c r="R1876" i="1"/>
  <c r="Q1876" i="1"/>
  <c r="P1876" i="1"/>
  <c r="O1876" i="1"/>
  <c r="M1876" i="1"/>
  <c r="R1875" i="1"/>
  <c r="Q1875" i="1"/>
  <c r="P1875" i="1"/>
  <c r="O1875" i="1"/>
  <c r="M1875" i="1"/>
  <c r="R1874" i="1"/>
  <c r="Q1874" i="1"/>
  <c r="P1874" i="1"/>
  <c r="O1874" i="1"/>
  <c r="M1874" i="1"/>
  <c r="R1873" i="1"/>
  <c r="Q1873" i="1"/>
  <c r="P1873" i="1"/>
  <c r="O1873" i="1"/>
  <c r="M1873" i="1"/>
  <c r="R1872" i="1"/>
  <c r="Q1872" i="1"/>
  <c r="P1872" i="1"/>
  <c r="O1872" i="1"/>
  <c r="M1872" i="1"/>
  <c r="R1871" i="1"/>
  <c r="Q1871" i="1"/>
  <c r="P1871" i="1"/>
  <c r="O1871" i="1"/>
  <c r="M1871" i="1"/>
  <c r="R1870" i="1"/>
  <c r="Q1870" i="1"/>
  <c r="P1870" i="1"/>
  <c r="O1870" i="1"/>
  <c r="M1870" i="1"/>
  <c r="R1869" i="1"/>
  <c r="Q1869" i="1"/>
  <c r="P1869" i="1"/>
  <c r="O1869" i="1"/>
  <c r="M1869" i="1"/>
  <c r="R1868" i="1"/>
  <c r="Q1868" i="1"/>
  <c r="P1868" i="1"/>
  <c r="O1868" i="1"/>
  <c r="M1868" i="1"/>
  <c r="R1867" i="1"/>
  <c r="Q1867" i="1"/>
  <c r="P1867" i="1"/>
  <c r="O1867" i="1"/>
  <c r="M1867" i="1"/>
  <c r="R1866" i="1"/>
  <c r="Q1866" i="1"/>
  <c r="P1866" i="1"/>
  <c r="O1866" i="1"/>
  <c r="M1866" i="1"/>
  <c r="R1865" i="1"/>
  <c r="Q1865" i="1"/>
  <c r="P1865" i="1"/>
  <c r="O1865" i="1"/>
  <c r="M1865" i="1"/>
  <c r="R1864" i="1"/>
  <c r="Q1864" i="1"/>
  <c r="P1864" i="1"/>
  <c r="O1864" i="1"/>
  <c r="M1864" i="1"/>
  <c r="R1863" i="1"/>
  <c r="Q1863" i="1"/>
  <c r="P1863" i="1"/>
  <c r="O1863" i="1"/>
  <c r="M1863" i="1"/>
  <c r="R1862" i="1"/>
  <c r="Q1862" i="1"/>
  <c r="P1862" i="1"/>
  <c r="O1862" i="1"/>
  <c r="M1862" i="1"/>
  <c r="R1861" i="1"/>
  <c r="Q1861" i="1"/>
  <c r="P1861" i="1"/>
  <c r="O1861" i="1"/>
  <c r="M1861" i="1"/>
  <c r="R1860" i="1"/>
  <c r="Q1860" i="1"/>
  <c r="P1860" i="1"/>
  <c r="O1860" i="1"/>
  <c r="M1860" i="1"/>
  <c r="R1859" i="1"/>
  <c r="Q1859" i="1"/>
  <c r="P1859" i="1"/>
  <c r="O1859" i="1"/>
  <c r="M1859" i="1"/>
  <c r="R1858" i="1"/>
  <c r="Q1858" i="1"/>
  <c r="P1858" i="1"/>
  <c r="O1858" i="1"/>
  <c r="M1858" i="1"/>
  <c r="R1857" i="1"/>
  <c r="Q1857" i="1"/>
  <c r="P1857" i="1"/>
  <c r="O1857" i="1"/>
  <c r="M1857" i="1"/>
  <c r="R1856" i="1"/>
  <c r="Q1856" i="1"/>
  <c r="P1856" i="1"/>
  <c r="O1856" i="1"/>
  <c r="M1856" i="1"/>
  <c r="R1855" i="1"/>
  <c r="Q1855" i="1"/>
  <c r="P1855" i="1"/>
  <c r="O1855" i="1"/>
  <c r="M1855" i="1"/>
  <c r="R1854" i="1"/>
  <c r="Q1854" i="1"/>
  <c r="P1854" i="1"/>
  <c r="O1854" i="1"/>
  <c r="M1854" i="1"/>
  <c r="R1853" i="1"/>
  <c r="Q1853" i="1"/>
  <c r="P1853" i="1"/>
  <c r="O1853" i="1"/>
  <c r="M1853" i="1"/>
  <c r="R1852" i="1"/>
  <c r="Q1852" i="1"/>
  <c r="P1852" i="1"/>
  <c r="O1852" i="1"/>
  <c r="M1852" i="1"/>
  <c r="R1851" i="1"/>
  <c r="Q1851" i="1"/>
  <c r="P1851" i="1"/>
  <c r="O1851" i="1"/>
  <c r="M1851" i="1"/>
  <c r="R1850" i="1"/>
  <c r="Q1850" i="1"/>
  <c r="P1850" i="1"/>
  <c r="O1850" i="1"/>
  <c r="M1850" i="1"/>
  <c r="R1849" i="1"/>
  <c r="Q1849" i="1"/>
  <c r="P1849" i="1"/>
  <c r="O1849" i="1"/>
  <c r="M1849" i="1"/>
  <c r="R1848" i="1"/>
  <c r="Q1848" i="1"/>
  <c r="P1848" i="1"/>
  <c r="O1848" i="1"/>
  <c r="M1848" i="1"/>
  <c r="R1847" i="1"/>
  <c r="Q1847" i="1"/>
  <c r="P1847" i="1"/>
  <c r="O1847" i="1"/>
  <c r="M1847" i="1"/>
  <c r="R1846" i="1"/>
  <c r="Q1846" i="1"/>
  <c r="P1846" i="1"/>
  <c r="O1846" i="1"/>
  <c r="M1846" i="1"/>
  <c r="R1845" i="1"/>
  <c r="Q1845" i="1"/>
  <c r="P1845" i="1"/>
  <c r="O1845" i="1"/>
  <c r="M1845" i="1"/>
  <c r="R1844" i="1"/>
  <c r="Q1844" i="1"/>
  <c r="P1844" i="1"/>
  <c r="O1844" i="1"/>
  <c r="M1844" i="1"/>
  <c r="R1843" i="1"/>
  <c r="Q1843" i="1"/>
  <c r="P1843" i="1"/>
  <c r="O1843" i="1"/>
  <c r="M1843" i="1"/>
  <c r="R1842" i="1"/>
  <c r="Q1842" i="1"/>
  <c r="P1842" i="1"/>
  <c r="O1842" i="1"/>
  <c r="M1842" i="1"/>
  <c r="R1841" i="1"/>
  <c r="Q1841" i="1"/>
  <c r="P1841" i="1"/>
  <c r="O1841" i="1"/>
  <c r="M1841" i="1"/>
  <c r="R1840" i="1"/>
  <c r="Q1840" i="1"/>
  <c r="P1840" i="1"/>
  <c r="O1840" i="1"/>
  <c r="M1840" i="1"/>
  <c r="R1839" i="1"/>
  <c r="Q1839" i="1"/>
  <c r="P1839" i="1"/>
  <c r="O1839" i="1"/>
  <c r="M1839" i="1"/>
  <c r="R1838" i="1"/>
  <c r="Q1838" i="1"/>
  <c r="P1838" i="1"/>
  <c r="O1838" i="1"/>
  <c r="M1838" i="1"/>
  <c r="R1837" i="1"/>
  <c r="Q1837" i="1"/>
  <c r="P1837" i="1"/>
  <c r="O1837" i="1"/>
  <c r="M1837" i="1"/>
  <c r="R1836" i="1"/>
  <c r="Q1836" i="1"/>
  <c r="P1836" i="1"/>
  <c r="O1836" i="1"/>
  <c r="M1836" i="1"/>
  <c r="R1835" i="1"/>
  <c r="Q1835" i="1"/>
  <c r="P1835" i="1"/>
  <c r="O1835" i="1"/>
  <c r="M1835" i="1"/>
  <c r="R1834" i="1"/>
  <c r="Q1834" i="1"/>
  <c r="P1834" i="1"/>
  <c r="O1834" i="1"/>
  <c r="M1834" i="1"/>
  <c r="R1833" i="1"/>
  <c r="Q1833" i="1"/>
  <c r="P1833" i="1"/>
  <c r="O1833" i="1"/>
  <c r="M1833" i="1"/>
  <c r="R1832" i="1"/>
  <c r="Q1832" i="1"/>
  <c r="P1832" i="1"/>
  <c r="O1832" i="1"/>
  <c r="M1832" i="1"/>
  <c r="R1831" i="1"/>
  <c r="Q1831" i="1"/>
  <c r="P1831" i="1"/>
  <c r="O1831" i="1"/>
  <c r="M1831" i="1"/>
  <c r="R1830" i="1"/>
  <c r="Q1830" i="1"/>
  <c r="P1830" i="1"/>
  <c r="O1830" i="1"/>
  <c r="M1830" i="1"/>
  <c r="R1829" i="1"/>
  <c r="Q1829" i="1"/>
  <c r="P1829" i="1"/>
  <c r="O1829" i="1"/>
  <c r="M1829" i="1"/>
  <c r="R1828" i="1"/>
  <c r="Q1828" i="1"/>
  <c r="P1828" i="1"/>
  <c r="O1828" i="1"/>
  <c r="M1828" i="1"/>
  <c r="R1827" i="1"/>
  <c r="Q1827" i="1"/>
  <c r="P1827" i="1"/>
  <c r="O1827" i="1"/>
  <c r="M1827" i="1"/>
  <c r="R1826" i="1"/>
  <c r="Q1826" i="1"/>
  <c r="P1826" i="1"/>
  <c r="O1826" i="1"/>
  <c r="M1826" i="1"/>
  <c r="R1825" i="1"/>
  <c r="Q1825" i="1"/>
  <c r="P1825" i="1"/>
  <c r="O1825" i="1"/>
  <c r="M1825" i="1"/>
  <c r="R1824" i="1"/>
  <c r="Q1824" i="1"/>
  <c r="P1824" i="1"/>
  <c r="O1824" i="1"/>
  <c r="M1824" i="1"/>
  <c r="R1823" i="1"/>
  <c r="Q1823" i="1"/>
  <c r="P1823" i="1"/>
  <c r="O1823" i="1"/>
  <c r="M1823" i="1"/>
  <c r="R1822" i="1"/>
  <c r="Q1822" i="1"/>
  <c r="P1822" i="1"/>
  <c r="O1822" i="1"/>
  <c r="M1822" i="1"/>
  <c r="R1821" i="1"/>
  <c r="Q1821" i="1"/>
  <c r="P1821" i="1"/>
  <c r="O1821" i="1"/>
  <c r="M1821" i="1"/>
  <c r="R1820" i="1"/>
  <c r="Q1820" i="1"/>
  <c r="P1820" i="1"/>
  <c r="O1820" i="1"/>
  <c r="M1820" i="1"/>
  <c r="R1819" i="1"/>
  <c r="Q1819" i="1"/>
  <c r="P1819" i="1"/>
  <c r="O1819" i="1"/>
  <c r="M1819" i="1"/>
  <c r="R1818" i="1"/>
  <c r="Q1818" i="1"/>
  <c r="P1818" i="1"/>
  <c r="O1818" i="1"/>
  <c r="M1818" i="1"/>
  <c r="R1817" i="1"/>
  <c r="Q1817" i="1"/>
  <c r="P1817" i="1"/>
  <c r="O1817" i="1"/>
  <c r="M1817" i="1"/>
  <c r="R1816" i="1"/>
  <c r="Q1816" i="1"/>
  <c r="P1816" i="1"/>
  <c r="O1816" i="1"/>
  <c r="M1816" i="1"/>
  <c r="R1815" i="1"/>
  <c r="Q1815" i="1"/>
  <c r="P1815" i="1"/>
  <c r="O1815" i="1"/>
  <c r="M1815" i="1"/>
  <c r="R1814" i="1"/>
  <c r="Q1814" i="1"/>
  <c r="P1814" i="1"/>
  <c r="O1814" i="1"/>
  <c r="M1814" i="1"/>
  <c r="R1813" i="1"/>
  <c r="Q1813" i="1"/>
  <c r="P1813" i="1"/>
  <c r="O1813" i="1"/>
  <c r="M1813" i="1"/>
  <c r="R1812" i="1"/>
  <c r="Q1812" i="1"/>
  <c r="P1812" i="1"/>
  <c r="O1812" i="1"/>
  <c r="M1812" i="1"/>
  <c r="R1811" i="1"/>
  <c r="Q1811" i="1"/>
  <c r="P1811" i="1"/>
  <c r="O1811" i="1"/>
  <c r="M1811" i="1"/>
  <c r="R1810" i="1"/>
  <c r="Q1810" i="1"/>
  <c r="P1810" i="1"/>
  <c r="O1810" i="1"/>
  <c r="M1810" i="1"/>
  <c r="R1809" i="1"/>
  <c r="Q1809" i="1"/>
  <c r="P1809" i="1"/>
  <c r="O1809" i="1"/>
  <c r="M1809" i="1"/>
  <c r="R1808" i="1"/>
  <c r="Q1808" i="1"/>
  <c r="P1808" i="1"/>
  <c r="O1808" i="1"/>
  <c r="M1808" i="1"/>
  <c r="R1807" i="1"/>
  <c r="Q1807" i="1"/>
  <c r="P1807" i="1"/>
  <c r="O1807" i="1"/>
  <c r="M1807" i="1"/>
  <c r="R1806" i="1"/>
  <c r="Q1806" i="1"/>
  <c r="P1806" i="1"/>
  <c r="O1806" i="1"/>
  <c r="M1806" i="1"/>
  <c r="R1805" i="1"/>
  <c r="Q1805" i="1"/>
  <c r="P1805" i="1"/>
  <c r="O1805" i="1"/>
  <c r="M1805" i="1"/>
  <c r="R1804" i="1"/>
  <c r="Q1804" i="1"/>
  <c r="P1804" i="1"/>
  <c r="O1804" i="1"/>
  <c r="M1804" i="1"/>
  <c r="R1803" i="1"/>
  <c r="Q1803" i="1"/>
  <c r="P1803" i="1"/>
  <c r="O1803" i="1"/>
  <c r="M1803" i="1"/>
  <c r="R1802" i="1"/>
  <c r="Q1802" i="1"/>
  <c r="P1802" i="1"/>
  <c r="O1802" i="1"/>
  <c r="M1802" i="1"/>
  <c r="R1801" i="1"/>
  <c r="Q1801" i="1"/>
  <c r="P1801" i="1"/>
  <c r="O1801" i="1"/>
  <c r="M1801" i="1"/>
  <c r="R1800" i="1"/>
  <c r="Q1800" i="1"/>
  <c r="P1800" i="1"/>
  <c r="O1800" i="1"/>
  <c r="M1800" i="1"/>
  <c r="R1799" i="1"/>
  <c r="Q1799" i="1"/>
  <c r="P1799" i="1"/>
  <c r="O1799" i="1"/>
  <c r="M1799" i="1"/>
  <c r="R1798" i="1"/>
  <c r="Q1798" i="1"/>
  <c r="P1798" i="1"/>
  <c r="O1798" i="1"/>
  <c r="M1798" i="1"/>
  <c r="R1797" i="1"/>
  <c r="Q1797" i="1"/>
  <c r="P1797" i="1"/>
  <c r="O1797" i="1"/>
  <c r="M1797" i="1"/>
  <c r="R1796" i="1"/>
  <c r="Q1796" i="1"/>
  <c r="P1796" i="1"/>
  <c r="O1796" i="1"/>
  <c r="M1796" i="1"/>
  <c r="R1795" i="1"/>
  <c r="Q1795" i="1"/>
  <c r="P1795" i="1"/>
  <c r="O1795" i="1"/>
  <c r="M1795" i="1"/>
  <c r="R1794" i="1"/>
  <c r="Q1794" i="1"/>
  <c r="P1794" i="1"/>
  <c r="O1794" i="1"/>
  <c r="M1794" i="1"/>
  <c r="R1793" i="1"/>
  <c r="Q1793" i="1"/>
  <c r="P1793" i="1"/>
  <c r="O1793" i="1"/>
  <c r="M1793" i="1"/>
  <c r="R1792" i="1"/>
  <c r="Q1792" i="1"/>
  <c r="P1792" i="1"/>
  <c r="O1792" i="1"/>
  <c r="M1792" i="1"/>
  <c r="R1791" i="1"/>
  <c r="Q1791" i="1"/>
  <c r="P1791" i="1"/>
  <c r="O1791" i="1"/>
  <c r="M1791" i="1"/>
  <c r="R1790" i="1"/>
  <c r="Q1790" i="1"/>
  <c r="P1790" i="1"/>
  <c r="O1790" i="1"/>
  <c r="M1790" i="1"/>
  <c r="R1789" i="1"/>
  <c r="Q1789" i="1"/>
  <c r="P1789" i="1"/>
  <c r="O1789" i="1"/>
  <c r="M1789" i="1"/>
  <c r="R1788" i="1"/>
  <c r="Q1788" i="1"/>
  <c r="P1788" i="1"/>
  <c r="O1788" i="1"/>
  <c r="M1788" i="1"/>
  <c r="R1787" i="1"/>
  <c r="Q1787" i="1"/>
  <c r="P1787" i="1"/>
  <c r="O1787" i="1"/>
  <c r="M1787" i="1"/>
  <c r="R1786" i="1"/>
  <c r="Q1786" i="1"/>
  <c r="P1786" i="1"/>
  <c r="O1786" i="1"/>
  <c r="M1786" i="1"/>
  <c r="R1785" i="1"/>
  <c r="Q1785" i="1"/>
  <c r="P1785" i="1"/>
  <c r="O1785" i="1"/>
  <c r="M1785" i="1"/>
  <c r="R1784" i="1"/>
  <c r="Q1784" i="1"/>
  <c r="P1784" i="1"/>
  <c r="O1784" i="1"/>
  <c r="M1784" i="1"/>
  <c r="R1783" i="1"/>
  <c r="Q1783" i="1"/>
  <c r="P1783" i="1"/>
  <c r="O1783" i="1"/>
  <c r="M1783" i="1"/>
  <c r="R1782" i="1"/>
  <c r="Q1782" i="1"/>
  <c r="P1782" i="1"/>
  <c r="O1782" i="1"/>
  <c r="M1782" i="1"/>
  <c r="R1781" i="1"/>
  <c r="Q1781" i="1"/>
  <c r="P1781" i="1"/>
  <c r="O1781" i="1"/>
  <c r="M1781" i="1"/>
  <c r="R1780" i="1"/>
  <c r="Q1780" i="1"/>
  <c r="P1780" i="1"/>
  <c r="O1780" i="1"/>
  <c r="M1780" i="1"/>
  <c r="R1779" i="1"/>
  <c r="Q1779" i="1"/>
  <c r="P1779" i="1"/>
  <c r="O1779" i="1"/>
  <c r="M1779" i="1"/>
  <c r="R1778" i="1"/>
  <c r="Q1778" i="1"/>
  <c r="P1778" i="1"/>
  <c r="O1778" i="1"/>
  <c r="M1778" i="1"/>
  <c r="R1777" i="1"/>
  <c r="Q1777" i="1"/>
  <c r="P1777" i="1"/>
  <c r="O1777" i="1"/>
  <c r="M1777" i="1"/>
  <c r="R1776" i="1"/>
  <c r="Q1776" i="1"/>
  <c r="P1776" i="1"/>
  <c r="O1776" i="1"/>
  <c r="M1776" i="1"/>
  <c r="R1775" i="1"/>
  <c r="Q1775" i="1"/>
  <c r="P1775" i="1"/>
  <c r="O1775" i="1"/>
  <c r="M1775" i="1"/>
  <c r="R1774" i="1"/>
  <c r="Q1774" i="1"/>
  <c r="P1774" i="1"/>
  <c r="O1774" i="1"/>
  <c r="M1774" i="1"/>
  <c r="R1773" i="1"/>
  <c r="Q1773" i="1"/>
  <c r="P1773" i="1"/>
  <c r="O1773" i="1"/>
  <c r="M1773" i="1"/>
  <c r="R1772" i="1"/>
  <c r="Q1772" i="1"/>
  <c r="P1772" i="1"/>
  <c r="O1772" i="1"/>
  <c r="M1772" i="1"/>
  <c r="R1771" i="1"/>
  <c r="Q1771" i="1"/>
  <c r="P1771" i="1"/>
  <c r="O1771" i="1"/>
  <c r="M1771" i="1"/>
  <c r="R1770" i="1"/>
  <c r="Q1770" i="1"/>
  <c r="P1770" i="1"/>
  <c r="O1770" i="1"/>
  <c r="M1770" i="1"/>
  <c r="R1769" i="1"/>
  <c r="Q1769" i="1"/>
  <c r="P1769" i="1"/>
  <c r="O1769" i="1"/>
  <c r="M1769" i="1"/>
  <c r="R1768" i="1"/>
  <c r="Q1768" i="1"/>
  <c r="P1768" i="1"/>
  <c r="O1768" i="1"/>
  <c r="M1768" i="1"/>
  <c r="R1767" i="1"/>
  <c r="Q1767" i="1"/>
  <c r="P1767" i="1"/>
  <c r="O1767" i="1"/>
  <c r="M1767" i="1"/>
  <c r="R1766" i="1"/>
  <c r="Q1766" i="1"/>
  <c r="P1766" i="1"/>
  <c r="O1766" i="1"/>
  <c r="M1766" i="1"/>
  <c r="R1765" i="1"/>
  <c r="Q1765" i="1"/>
  <c r="P1765" i="1"/>
  <c r="O1765" i="1"/>
  <c r="M1765" i="1"/>
  <c r="R1764" i="1"/>
  <c r="Q1764" i="1"/>
  <c r="P1764" i="1"/>
  <c r="O1764" i="1"/>
  <c r="M1764" i="1"/>
  <c r="R1763" i="1"/>
  <c r="Q1763" i="1"/>
  <c r="P1763" i="1"/>
  <c r="O1763" i="1"/>
  <c r="M1763" i="1"/>
  <c r="R1762" i="1"/>
  <c r="Q1762" i="1"/>
  <c r="P1762" i="1"/>
  <c r="O1762" i="1"/>
  <c r="M1762" i="1"/>
  <c r="R1761" i="1"/>
  <c r="Q1761" i="1"/>
  <c r="P1761" i="1"/>
  <c r="O1761" i="1"/>
  <c r="M1761" i="1"/>
  <c r="R1760" i="1"/>
  <c r="Q1760" i="1"/>
  <c r="P1760" i="1"/>
  <c r="O1760" i="1"/>
  <c r="M1760" i="1"/>
  <c r="R1759" i="1"/>
  <c r="Q1759" i="1"/>
  <c r="P1759" i="1"/>
  <c r="O1759" i="1"/>
  <c r="M1759" i="1"/>
  <c r="R1758" i="1"/>
  <c r="Q1758" i="1"/>
  <c r="P1758" i="1"/>
  <c r="O1758" i="1"/>
  <c r="M1758" i="1"/>
  <c r="R1757" i="1"/>
  <c r="Q1757" i="1"/>
  <c r="P1757" i="1"/>
  <c r="O1757" i="1"/>
  <c r="M1757" i="1"/>
  <c r="R1756" i="1"/>
  <c r="Q1756" i="1"/>
  <c r="P1756" i="1"/>
  <c r="O1756" i="1"/>
  <c r="M1756" i="1"/>
  <c r="R1755" i="1"/>
  <c r="Q1755" i="1"/>
  <c r="P1755" i="1"/>
  <c r="O1755" i="1"/>
  <c r="M1755" i="1"/>
  <c r="R1754" i="1"/>
  <c r="Q1754" i="1"/>
  <c r="P1754" i="1"/>
  <c r="O1754" i="1"/>
  <c r="M1754" i="1"/>
  <c r="R1753" i="1"/>
  <c r="Q1753" i="1"/>
  <c r="P1753" i="1"/>
  <c r="O1753" i="1"/>
  <c r="M1753" i="1"/>
  <c r="R1752" i="1"/>
  <c r="Q1752" i="1"/>
  <c r="P1752" i="1"/>
  <c r="O1752" i="1"/>
  <c r="M1752" i="1"/>
  <c r="R1751" i="1"/>
  <c r="Q1751" i="1"/>
  <c r="P1751" i="1"/>
  <c r="O1751" i="1"/>
  <c r="M1751" i="1"/>
  <c r="R1750" i="1"/>
  <c r="Q1750" i="1"/>
  <c r="P1750" i="1"/>
  <c r="O1750" i="1"/>
  <c r="M1750" i="1"/>
  <c r="R1749" i="1"/>
  <c r="Q1749" i="1"/>
  <c r="P1749" i="1"/>
  <c r="O1749" i="1"/>
  <c r="M1749" i="1"/>
  <c r="R1748" i="1"/>
  <c r="Q1748" i="1"/>
  <c r="P1748" i="1"/>
  <c r="O1748" i="1"/>
  <c r="M1748" i="1"/>
  <c r="R1747" i="1"/>
  <c r="Q1747" i="1"/>
  <c r="P1747" i="1"/>
  <c r="O1747" i="1"/>
  <c r="M1747" i="1"/>
  <c r="R1746" i="1"/>
  <c r="Q1746" i="1"/>
  <c r="P1746" i="1"/>
  <c r="O1746" i="1"/>
  <c r="M1746" i="1"/>
  <c r="R1745" i="1"/>
  <c r="Q1745" i="1"/>
  <c r="P1745" i="1"/>
  <c r="O1745" i="1"/>
  <c r="M1745" i="1"/>
  <c r="R1744" i="1"/>
  <c r="Q1744" i="1"/>
  <c r="P1744" i="1"/>
  <c r="O1744" i="1"/>
  <c r="M1744" i="1"/>
  <c r="R1743" i="1"/>
  <c r="Q1743" i="1"/>
  <c r="P1743" i="1"/>
  <c r="O1743" i="1"/>
  <c r="M1743" i="1"/>
  <c r="R1742" i="1"/>
  <c r="Q1742" i="1"/>
  <c r="P1742" i="1"/>
  <c r="O1742" i="1"/>
  <c r="M1742" i="1"/>
  <c r="R1741" i="1"/>
  <c r="Q1741" i="1"/>
  <c r="P1741" i="1"/>
  <c r="O1741" i="1"/>
  <c r="M1741" i="1"/>
  <c r="R1740" i="1"/>
  <c r="Q1740" i="1"/>
  <c r="P1740" i="1"/>
  <c r="O1740" i="1"/>
  <c r="M1740" i="1"/>
  <c r="R1739" i="1"/>
  <c r="Q1739" i="1"/>
  <c r="P1739" i="1"/>
  <c r="O1739" i="1"/>
  <c r="M1739" i="1"/>
  <c r="R1738" i="1"/>
  <c r="Q1738" i="1"/>
  <c r="P1738" i="1"/>
  <c r="O1738" i="1"/>
  <c r="M1738" i="1"/>
  <c r="R1737" i="1"/>
  <c r="Q1737" i="1"/>
  <c r="P1737" i="1"/>
  <c r="O1737" i="1"/>
  <c r="M1737" i="1"/>
  <c r="R1736" i="1"/>
  <c r="Q1736" i="1"/>
  <c r="P1736" i="1"/>
  <c r="O1736" i="1"/>
  <c r="M1736" i="1"/>
  <c r="R1735" i="1"/>
  <c r="Q1735" i="1"/>
  <c r="P1735" i="1"/>
  <c r="O1735" i="1"/>
  <c r="M1735" i="1"/>
  <c r="R1734" i="1"/>
  <c r="Q1734" i="1"/>
  <c r="P1734" i="1"/>
  <c r="O1734" i="1"/>
  <c r="M1734" i="1"/>
  <c r="R1733" i="1"/>
  <c r="Q1733" i="1"/>
  <c r="P1733" i="1"/>
  <c r="O1733" i="1"/>
  <c r="M1733" i="1"/>
  <c r="R1732" i="1"/>
  <c r="Q1732" i="1"/>
  <c r="P1732" i="1"/>
  <c r="O1732" i="1"/>
  <c r="M1732" i="1"/>
  <c r="R1731" i="1"/>
  <c r="Q1731" i="1"/>
  <c r="P1731" i="1"/>
  <c r="O1731" i="1"/>
  <c r="M1731" i="1"/>
  <c r="R1730" i="1"/>
  <c r="Q1730" i="1"/>
  <c r="P1730" i="1"/>
  <c r="O1730" i="1"/>
  <c r="M1730" i="1"/>
  <c r="R1729" i="1"/>
  <c r="Q1729" i="1"/>
  <c r="P1729" i="1"/>
  <c r="O1729" i="1"/>
  <c r="M1729" i="1"/>
  <c r="R1728" i="1"/>
  <c r="Q1728" i="1"/>
  <c r="P1728" i="1"/>
  <c r="O1728" i="1"/>
  <c r="M1728" i="1"/>
  <c r="R1727" i="1"/>
  <c r="Q1727" i="1"/>
  <c r="P1727" i="1"/>
  <c r="O1727" i="1"/>
  <c r="M1727" i="1"/>
  <c r="R1726" i="1"/>
  <c r="Q1726" i="1"/>
  <c r="P1726" i="1"/>
  <c r="O1726" i="1"/>
  <c r="M1726" i="1"/>
  <c r="R1725" i="1"/>
  <c r="Q1725" i="1"/>
  <c r="P1725" i="1"/>
  <c r="O1725" i="1"/>
  <c r="M1725" i="1"/>
  <c r="R1724" i="1"/>
  <c r="Q1724" i="1"/>
  <c r="P1724" i="1"/>
  <c r="O1724" i="1"/>
  <c r="M1724" i="1"/>
  <c r="R1723" i="1"/>
  <c r="Q1723" i="1"/>
  <c r="P1723" i="1"/>
  <c r="O1723" i="1"/>
  <c r="M1723" i="1"/>
  <c r="R1722" i="1"/>
  <c r="Q1722" i="1"/>
  <c r="P1722" i="1"/>
  <c r="O1722" i="1"/>
  <c r="M1722" i="1"/>
  <c r="R1721" i="1"/>
  <c r="Q1721" i="1"/>
  <c r="P1721" i="1"/>
  <c r="O1721" i="1"/>
  <c r="M1721" i="1"/>
  <c r="R1720" i="1"/>
  <c r="Q1720" i="1"/>
  <c r="P1720" i="1"/>
  <c r="O1720" i="1"/>
  <c r="M1720" i="1"/>
  <c r="R1719" i="1"/>
  <c r="Q1719" i="1"/>
  <c r="P1719" i="1"/>
  <c r="O1719" i="1"/>
  <c r="M1719" i="1"/>
  <c r="R1718" i="1"/>
  <c r="Q1718" i="1"/>
  <c r="P1718" i="1"/>
  <c r="O1718" i="1"/>
  <c r="M1718" i="1"/>
  <c r="R1717" i="1"/>
  <c r="Q1717" i="1"/>
  <c r="P1717" i="1"/>
  <c r="O1717" i="1"/>
  <c r="M1717" i="1"/>
  <c r="R1716" i="1"/>
  <c r="Q1716" i="1"/>
  <c r="P1716" i="1"/>
  <c r="O1716" i="1"/>
  <c r="M1716" i="1"/>
  <c r="R1715" i="1"/>
  <c r="Q1715" i="1"/>
  <c r="P1715" i="1"/>
  <c r="O1715" i="1"/>
  <c r="M1715" i="1"/>
  <c r="R1714" i="1"/>
  <c r="Q1714" i="1"/>
  <c r="P1714" i="1"/>
  <c r="O1714" i="1"/>
  <c r="M1714" i="1"/>
  <c r="R1713" i="1"/>
  <c r="Q1713" i="1"/>
  <c r="P1713" i="1"/>
  <c r="O1713" i="1"/>
  <c r="M1713" i="1"/>
  <c r="R1712" i="1"/>
  <c r="Q1712" i="1"/>
  <c r="P1712" i="1"/>
  <c r="O1712" i="1"/>
  <c r="M1712" i="1"/>
  <c r="R1711" i="1"/>
  <c r="Q1711" i="1"/>
  <c r="P1711" i="1"/>
  <c r="O1711" i="1"/>
  <c r="M1711" i="1"/>
  <c r="R1710" i="1"/>
  <c r="Q1710" i="1"/>
  <c r="P1710" i="1"/>
  <c r="O1710" i="1"/>
  <c r="M1710" i="1"/>
  <c r="R1709" i="1"/>
  <c r="Q1709" i="1"/>
  <c r="P1709" i="1"/>
  <c r="O1709" i="1"/>
  <c r="M1709" i="1"/>
  <c r="R1708" i="1"/>
  <c r="Q1708" i="1"/>
  <c r="P1708" i="1"/>
  <c r="O1708" i="1"/>
  <c r="M1708" i="1"/>
  <c r="R1707" i="1"/>
  <c r="Q1707" i="1"/>
  <c r="P1707" i="1"/>
  <c r="O1707" i="1"/>
  <c r="M1707" i="1"/>
  <c r="R1706" i="1"/>
  <c r="Q1706" i="1"/>
  <c r="P1706" i="1"/>
  <c r="O1706" i="1"/>
  <c r="M1706" i="1"/>
  <c r="R1705" i="1"/>
  <c r="Q1705" i="1"/>
  <c r="P1705" i="1"/>
  <c r="O1705" i="1"/>
  <c r="M1705" i="1"/>
  <c r="R1704" i="1"/>
  <c r="Q1704" i="1"/>
  <c r="P1704" i="1"/>
  <c r="O1704" i="1"/>
  <c r="M1704" i="1"/>
  <c r="R1703" i="1"/>
  <c r="Q1703" i="1"/>
  <c r="P1703" i="1"/>
  <c r="O1703" i="1"/>
  <c r="M1703" i="1"/>
  <c r="R1702" i="1"/>
  <c r="Q1702" i="1"/>
  <c r="P1702" i="1"/>
  <c r="O1702" i="1"/>
  <c r="M1702" i="1"/>
  <c r="R1701" i="1"/>
  <c r="Q1701" i="1"/>
  <c r="P1701" i="1"/>
  <c r="O1701" i="1"/>
  <c r="M1701" i="1"/>
  <c r="R1700" i="1"/>
  <c r="Q1700" i="1"/>
  <c r="P1700" i="1"/>
  <c r="O1700" i="1"/>
  <c r="M1700" i="1"/>
  <c r="R1699" i="1"/>
  <c r="Q1699" i="1"/>
  <c r="P1699" i="1"/>
  <c r="O1699" i="1"/>
  <c r="M1699" i="1"/>
  <c r="R1698" i="1"/>
  <c r="Q1698" i="1"/>
  <c r="P1698" i="1"/>
  <c r="O1698" i="1"/>
  <c r="M1698" i="1"/>
  <c r="R1697" i="1"/>
  <c r="Q1697" i="1"/>
  <c r="P1697" i="1"/>
  <c r="O1697" i="1"/>
  <c r="M1697" i="1"/>
  <c r="R1696" i="1"/>
  <c r="Q1696" i="1"/>
  <c r="P1696" i="1"/>
  <c r="O1696" i="1"/>
  <c r="M1696" i="1"/>
  <c r="R1695" i="1"/>
  <c r="Q1695" i="1"/>
  <c r="P1695" i="1"/>
  <c r="O1695" i="1"/>
  <c r="M1695" i="1"/>
  <c r="R1694" i="1"/>
  <c r="Q1694" i="1"/>
  <c r="P1694" i="1"/>
  <c r="O1694" i="1"/>
  <c r="M1694" i="1"/>
  <c r="R1693" i="1"/>
  <c r="Q1693" i="1"/>
  <c r="P1693" i="1"/>
  <c r="O1693" i="1"/>
  <c r="M1693" i="1"/>
  <c r="R1692" i="1"/>
  <c r="Q1692" i="1"/>
  <c r="P1692" i="1"/>
  <c r="O1692" i="1"/>
  <c r="M1692" i="1"/>
  <c r="R1691" i="1"/>
  <c r="Q1691" i="1"/>
  <c r="P1691" i="1"/>
  <c r="O1691" i="1"/>
  <c r="M1691" i="1"/>
  <c r="R1690" i="1"/>
  <c r="Q1690" i="1"/>
  <c r="P1690" i="1"/>
  <c r="O1690" i="1"/>
  <c r="M1690" i="1"/>
  <c r="R1689" i="1"/>
  <c r="Q1689" i="1"/>
  <c r="P1689" i="1"/>
  <c r="O1689" i="1"/>
  <c r="M1689" i="1"/>
  <c r="R1688" i="1"/>
  <c r="Q1688" i="1"/>
  <c r="P1688" i="1"/>
  <c r="O1688" i="1"/>
  <c r="M1688" i="1"/>
  <c r="R1687" i="1"/>
  <c r="Q1687" i="1"/>
  <c r="P1687" i="1"/>
  <c r="O1687" i="1"/>
  <c r="M1687" i="1"/>
  <c r="R1686" i="1"/>
  <c r="Q1686" i="1"/>
  <c r="P1686" i="1"/>
  <c r="O1686" i="1"/>
  <c r="M1686" i="1"/>
  <c r="R1685" i="1"/>
  <c r="Q1685" i="1"/>
  <c r="P1685" i="1"/>
  <c r="O1685" i="1"/>
  <c r="M1685" i="1"/>
  <c r="R1684" i="1"/>
  <c r="Q1684" i="1"/>
  <c r="P1684" i="1"/>
  <c r="O1684" i="1"/>
  <c r="M1684" i="1"/>
  <c r="R1683" i="1"/>
  <c r="Q1683" i="1"/>
  <c r="P1683" i="1"/>
  <c r="O1683" i="1"/>
  <c r="M1683" i="1"/>
  <c r="R1682" i="1"/>
  <c r="Q1682" i="1"/>
  <c r="P1682" i="1"/>
  <c r="O1682" i="1"/>
  <c r="M1682" i="1"/>
  <c r="R1681" i="1"/>
  <c r="Q1681" i="1"/>
  <c r="P1681" i="1"/>
  <c r="O1681" i="1"/>
  <c r="M1681" i="1"/>
  <c r="R1680" i="1"/>
  <c r="Q1680" i="1"/>
  <c r="P1680" i="1"/>
  <c r="O1680" i="1"/>
  <c r="M1680" i="1"/>
  <c r="R1679" i="1"/>
  <c r="Q1679" i="1"/>
  <c r="P1679" i="1"/>
  <c r="O1679" i="1"/>
  <c r="M1679" i="1"/>
  <c r="R1678" i="1"/>
  <c r="Q1678" i="1"/>
  <c r="P1678" i="1"/>
  <c r="O1678" i="1"/>
  <c r="M1678" i="1"/>
  <c r="R1677" i="1"/>
  <c r="Q1677" i="1"/>
  <c r="P1677" i="1"/>
  <c r="O1677" i="1"/>
  <c r="M1677" i="1"/>
  <c r="R1676" i="1"/>
  <c r="Q1676" i="1"/>
  <c r="P1676" i="1"/>
  <c r="O1676" i="1"/>
  <c r="M1676" i="1"/>
  <c r="R1675" i="1"/>
  <c r="Q1675" i="1"/>
  <c r="P1675" i="1"/>
  <c r="O1675" i="1"/>
  <c r="M1675" i="1"/>
  <c r="R1674" i="1"/>
  <c r="Q1674" i="1"/>
  <c r="P1674" i="1"/>
  <c r="O1674" i="1"/>
  <c r="M1674" i="1"/>
  <c r="R1673" i="1"/>
  <c r="Q1673" i="1"/>
  <c r="P1673" i="1"/>
  <c r="O1673" i="1"/>
  <c r="M1673" i="1"/>
  <c r="R1672" i="1"/>
  <c r="Q1672" i="1"/>
  <c r="P1672" i="1"/>
  <c r="O1672" i="1"/>
  <c r="M1672" i="1"/>
  <c r="R1671" i="1"/>
  <c r="Q1671" i="1"/>
  <c r="P1671" i="1"/>
  <c r="O1671" i="1"/>
  <c r="M1671" i="1"/>
  <c r="R1670" i="1"/>
  <c r="Q1670" i="1"/>
  <c r="P1670" i="1"/>
  <c r="O1670" i="1"/>
  <c r="M1670" i="1"/>
  <c r="R1669" i="1"/>
  <c r="Q1669" i="1"/>
  <c r="P1669" i="1"/>
  <c r="O1669" i="1"/>
  <c r="M1669" i="1"/>
  <c r="R1668" i="1"/>
  <c r="Q1668" i="1"/>
  <c r="P1668" i="1"/>
  <c r="O1668" i="1"/>
  <c r="M1668" i="1"/>
  <c r="R1667" i="1"/>
  <c r="Q1667" i="1"/>
  <c r="P1667" i="1"/>
  <c r="O1667" i="1"/>
  <c r="M1667" i="1"/>
  <c r="R1666" i="1"/>
  <c r="Q1666" i="1"/>
  <c r="P1666" i="1"/>
  <c r="O1666" i="1"/>
  <c r="M1666" i="1"/>
  <c r="R1665" i="1"/>
  <c r="Q1665" i="1"/>
  <c r="P1665" i="1"/>
  <c r="O1665" i="1"/>
  <c r="M1665" i="1"/>
  <c r="R1664" i="1"/>
  <c r="Q1664" i="1"/>
  <c r="P1664" i="1"/>
  <c r="O1664" i="1"/>
  <c r="M1664" i="1"/>
  <c r="R1663" i="1"/>
  <c r="Q1663" i="1"/>
  <c r="P1663" i="1"/>
  <c r="O1663" i="1"/>
  <c r="M1663" i="1"/>
  <c r="R1662" i="1"/>
  <c r="Q1662" i="1"/>
  <c r="P1662" i="1"/>
  <c r="O1662" i="1"/>
  <c r="M1662" i="1"/>
  <c r="R1661" i="1"/>
  <c r="Q1661" i="1"/>
  <c r="P1661" i="1"/>
  <c r="O1661" i="1"/>
  <c r="M1661" i="1"/>
  <c r="R1660" i="1"/>
  <c r="Q1660" i="1"/>
  <c r="P1660" i="1"/>
  <c r="O1660" i="1"/>
  <c r="M1660" i="1"/>
  <c r="R1659" i="1"/>
  <c r="Q1659" i="1"/>
  <c r="P1659" i="1"/>
  <c r="O1659" i="1"/>
  <c r="M1659" i="1"/>
  <c r="R1658" i="1"/>
  <c r="Q1658" i="1"/>
  <c r="P1658" i="1"/>
  <c r="O1658" i="1"/>
  <c r="M1658" i="1"/>
  <c r="R1657" i="1"/>
  <c r="Q1657" i="1"/>
  <c r="P1657" i="1"/>
  <c r="O1657" i="1"/>
  <c r="M1657" i="1"/>
  <c r="R1656" i="1"/>
  <c r="Q1656" i="1"/>
  <c r="P1656" i="1"/>
  <c r="O1656" i="1"/>
  <c r="M1656" i="1"/>
  <c r="R1655" i="1"/>
  <c r="Q1655" i="1"/>
  <c r="P1655" i="1"/>
  <c r="O1655" i="1"/>
  <c r="M1655" i="1"/>
  <c r="R1654" i="1"/>
  <c r="Q1654" i="1"/>
  <c r="P1654" i="1"/>
  <c r="O1654" i="1"/>
  <c r="M1654" i="1"/>
  <c r="R1653" i="1"/>
  <c r="Q1653" i="1"/>
  <c r="P1653" i="1"/>
  <c r="O1653" i="1"/>
  <c r="M1653" i="1"/>
  <c r="R1652" i="1"/>
  <c r="Q1652" i="1"/>
  <c r="P1652" i="1"/>
  <c r="O1652" i="1"/>
  <c r="M1652" i="1"/>
  <c r="R1651" i="1"/>
  <c r="Q1651" i="1"/>
  <c r="P1651" i="1"/>
  <c r="O1651" i="1"/>
  <c r="M1651" i="1"/>
  <c r="R1650" i="1"/>
  <c r="Q1650" i="1"/>
  <c r="P1650" i="1"/>
  <c r="O1650" i="1"/>
  <c r="M1650" i="1"/>
  <c r="R1649" i="1"/>
  <c r="Q1649" i="1"/>
  <c r="P1649" i="1"/>
  <c r="O1649" i="1"/>
  <c r="M1649" i="1"/>
  <c r="R1648" i="1"/>
  <c r="Q1648" i="1"/>
  <c r="P1648" i="1"/>
  <c r="O1648" i="1"/>
  <c r="M1648" i="1"/>
  <c r="R1647" i="1"/>
  <c r="Q1647" i="1"/>
  <c r="P1647" i="1"/>
  <c r="O1647" i="1"/>
  <c r="M1647" i="1"/>
  <c r="R1646" i="1"/>
  <c r="Q1646" i="1"/>
  <c r="P1646" i="1"/>
  <c r="O1646" i="1"/>
  <c r="M1646" i="1"/>
  <c r="R1645" i="1"/>
  <c r="Q1645" i="1"/>
  <c r="P1645" i="1"/>
  <c r="O1645" i="1"/>
  <c r="M1645" i="1"/>
  <c r="R1644" i="1"/>
  <c r="Q1644" i="1"/>
  <c r="P1644" i="1"/>
  <c r="O1644" i="1"/>
  <c r="M1644" i="1"/>
  <c r="R1643" i="1"/>
  <c r="Q1643" i="1"/>
  <c r="P1643" i="1"/>
  <c r="O1643" i="1"/>
  <c r="M1643" i="1"/>
  <c r="R1642" i="1"/>
  <c r="Q1642" i="1"/>
  <c r="P1642" i="1"/>
  <c r="O1642" i="1"/>
  <c r="M1642" i="1"/>
  <c r="R1641" i="1"/>
  <c r="Q1641" i="1"/>
  <c r="P1641" i="1"/>
  <c r="O1641" i="1"/>
  <c r="M1641" i="1"/>
  <c r="R1640" i="1"/>
  <c r="Q1640" i="1"/>
  <c r="P1640" i="1"/>
  <c r="O1640" i="1"/>
  <c r="M1640" i="1"/>
  <c r="R1639" i="1"/>
  <c r="Q1639" i="1"/>
  <c r="P1639" i="1"/>
  <c r="O1639" i="1"/>
  <c r="M1639" i="1"/>
  <c r="R1638" i="1"/>
  <c r="Q1638" i="1"/>
  <c r="P1638" i="1"/>
  <c r="O1638" i="1"/>
  <c r="M1638" i="1"/>
  <c r="R1637" i="1"/>
  <c r="Q1637" i="1"/>
  <c r="P1637" i="1"/>
  <c r="O1637" i="1"/>
  <c r="M1637" i="1"/>
  <c r="R1636" i="1"/>
  <c r="Q1636" i="1"/>
  <c r="P1636" i="1"/>
  <c r="O1636" i="1"/>
  <c r="M1636" i="1"/>
  <c r="R1635" i="1"/>
  <c r="Q1635" i="1"/>
  <c r="P1635" i="1"/>
  <c r="O1635" i="1"/>
  <c r="M1635" i="1"/>
  <c r="R1634" i="1"/>
  <c r="Q1634" i="1"/>
  <c r="P1634" i="1"/>
  <c r="O1634" i="1"/>
  <c r="M1634" i="1"/>
  <c r="R1633" i="1"/>
  <c r="Q1633" i="1"/>
  <c r="P1633" i="1"/>
  <c r="O1633" i="1"/>
  <c r="M1633" i="1"/>
  <c r="R1632" i="1"/>
  <c r="Q1632" i="1"/>
  <c r="P1632" i="1"/>
  <c r="O1632" i="1"/>
  <c r="M1632" i="1"/>
  <c r="R1631" i="1"/>
  <c r="Q1631" i="1"/>
  <c r="P1631" i="1"/>
  <c r="O1631" i="1"/>
  <c r="M1631" i="1"/>
  <c r="R1630" i="1"/>
  <c r="Q1630" i="1"/>
  <c r="P1630" i="1"/>
  <c r="O1630" i="1"/>
  <c r="M1630" i="1"/>
  <c r="R1629" i="1"/>
  <c r="Q1629" i="1"/>
  <c r="P1629" i="1"/>
  <c r="O1629" i="1"/>
  <c r="M1629" i="1"/>
  <c r="R1628" i="1"/>
  <c r="Q1628" i="1"/>
  <c r="P1628" i="1"/>
  <c r="O1628" i="1"/>
  <c r="M1628" i="1"/>
  <c r="R1627" i="1"/>
  <c r="Q1627" i="1"/>
  <c r="P1627" i="1"/>
  <c r="O1627" i="1"/>
  <c r="M1627" i="1"/>
  <c r="R1626" i="1"/>
  <c r="Q1626" i="1"/>
  <c r="P1626" i="1"/>
  <c r="O1626" i="1"/>
  <c r="M1626" i="1"/>
  <c r="R1625" i="1"/>
  <c r="Q1625" i="1"/>
  <c r="P1625" i="1"/>
  <c r="O1625" i="1"/>
  <c r="M1625" i="1"/>
  <c r="R1624" i="1"/>
  <c r="Q1624" i="1"/>
  <c r="P1624" i="1"/>
  <c r="O1624" i="1"/>
  <c r="M1624" i="1"/>
  <c r="R1623" i="1"/>
  <c r="Q1623" i="1"/>
  <c r="P1623" i="1"/>
  <c r="O1623" i="1"/>
  <c r="M1623" i="1"/>
  <c r="R1622" i="1"/>
  <c r="Q1622" i="1"/>
  <c r="P1622" i="1"/>
  <c r="O1622" i="1"/>
  <c r="M1622" i="1"/>
  <c r="R1621" i="1"/>
  <c r="Q1621" i="1"/>
  <c r="P1621" i="1"/>
  <c r="O1621" i="1"/>
  <c r="M1621" i="1"/>
  <c r="R1620" i="1"/>
  <c r="Q1620" i="1"/>
  <c r="P1620" i="1"/>
  <c r="O1620" i="1"/>
  <c r="M1620" i="1"/>
  <c r="R1619" i="1"/>
  <c r="Q1619" i="1"/>
  <c r="P1619" i="1"/>
  <c r="O1619" i="1"/>
  <c r="M1619" i="1"/>
  <c r="R1618" i="1"/>
  <c r="Q1618" i="1"/>
  <c r="P1618" i="1"/>
  <c r="O1618" i="1"/>
  <c r="M1618" i="1"/>
  <c r="R1617" i="1"/>
  <c r="Q1617" i="1"/>
  <c r="P1617" i="1"/>
  <c r="O1617" i="1"/>
  <c r="M1617" i="1"/>
  <c r="R1616" i="1"/>
  <c r="Q1616" i="1"/>
  <c r="P1616" i="1"/>
  <c r="O1616" i="1"/>
  <c r="M1616" i="1"/>
  <c r="R1615" i="1"/>
  <c r="Q1615" i="1"/>
  <c r="P1615" i="1"/>
  <c r="O1615" i="1"/>
  <c r="M1615" i="1"/>
  <c r="R1614" i="1"/>
  <c r="Q1614" i="1"/>
  <c r="P1614" i="1"/>
  <c r="O1614" i="1"/>
  <c r="M1614" i="1"/>
  <c r="R1613" i="1"/>
  <c r="Q1613" i="1"/>
  <c r="P1613" i="1"/>
  <c r="O1613" i="1"/>
  <c r="M1613" i="1"/>
  <c r="R1612" i="1"/>
  <c r="Q1612" i="1"/>
  <c r="P1612" i="1"/>
  <c r="O1612" i="1"/>
  <c r="M1612" i="1"/>
  <c r="R1611" i="1"/>
  <c r="Q1611" i="1"/>
  <c r="P1611" i="1"/>
  <c r="O1611" i="1"/>
  <c r="M1611" i="1"/>
  <c r="R1610" i="1"/>
  <c r="Q1610" i="1"/>
  <c r="P1610" i="1"/>
  <c r="O1610" i="1"/>
  <c r="M1610" i="1"/>
  <c r="R1609" i="1"/>
  <c r="Q1609" i="1"/>
  <c r="P1609" i="1"/>
  <c r="O1609" i="1"/>
  <c r="M1609" i="1"/>
  <c r="R1608" i="1"/>
  <c r="Q1608" i="1"/>
  <c r="P1608" i="1"/>
  <c r="O1608" i="1"/>
  <c r="M1608" i="1"/>
  <c r="R1607" i="1"/>
  <c r="Q1607" i="1"/>
  <c r="P1607" i="1"/>
  <c r="O1607" i="1"/>
  <c r="M1607" i="1"/>
  <c r="R1606" i="1"/>
  <c r="Q1606" i="1"/>
  <c r="P1606" i="1"/>
  <c r="O1606" i="1"/>
  <c r="M1606" i="1"/>
  <c r="R1605" i="1"/>
  <c r="Q1605" i="1"/>
  <c r="P1605" i="1"/>
  <c r="O1605" i="1"/>
  <c r="M1605" i="1"/>
  <c r="R1604" i="1"/>
  <c r="Q1604" i="1"/>
  <c r="P1604" i="1"/>
  <c r="O1604" i="1"/>
  <c r="M1604" i="1"/>
  <c r="R1603" i="1"/>
  <c r="Q1603" i="1"/>
  <c r="P1603" i="1"/>
  <c r="O1603" i="1"/>
  <c r="M1603" i="1"/>
  <c r="R1602" i="1"/>
  <c r="Q1602" i="1"/>
  <c r="P1602" i="1"/>
  <c r="O1602" i="1"/>
  <c r="M1602" i="1"/>
  <c r="R1601" i="1"/>
  <c r="Q1601" i="1"/>
  <c r="P1601" i="1"/>
  <c r="O1601" i="1"/>
  <c r="M1601" i="1"/>
  <c r="R1600" i="1"/>
  <c r="Q1600" i="1"/>
  <c r="P1600" i="1"/>
  <c r="O1600" i="1"/>
  <c r="M1600" i="1"/>
  <c r="R1599" i="1"/>
  <c r="Q1599" i="1"/>
  <c r="P1599" i="1"/>
  <c r="O1599" i="1"/>
  <c r="M1599" i="1"/>
  <c r="R1598" i="1"/>
  <c r="Q1598" i="1"/>
  <c r="P1598" i="1"/>
  <c r="O1598" i="1"/>
  <c r="M1598" i="1"/>
  <c r="R1597" i="1"/>
  <c r="Q1597" i="1"/>
  <c r="P1597" i="1"/>
  <c r="O1597" i="1"/>
  <c r="M1597" i="1"/>
  <c r="R1596" i="1"/>
  <c r="Q1596" i="1"/>
  <c r="P1596" i="1"/>
  <c r="O1596" i="1"/>
  <c r="M1596" i="1"/>
  <c r="R1595" i="1"/>
  <c r="Q1595" i="1"/>
  <c r="P1595" i="1"/>
  <c r="O1595" i="1"/>
  <c r="M1595" i="1"/>
  <c r="R1594" i="1"/>
  <c r="Q1594" i="1"/>
  <c r="P1594" i="1"/>
  <c r="O1594" i="1"/>
  <c r="M1594" i="1"/>
  <c r="R1593" i="1"/>
  <c r="Q1593" i="1"/>
  <c r="P1593" i="1"/>
  <c r="O1593" i="1"/>
  <c r="M1593" i="1"/>
  <c r="R1592" i="1"/>
  <c r="Q1592" i="1"/>
  <c r="P1592" i="1"/>
  <c r="O1592" i="1"/>
  <c r="M1592" i="1"/>
  <c r="R1591" i="1"/>
  <c r="Q1591" i="1"/>
  <c r="P1591" i="1"/>
  <c r="O1591" i="1"/>
  <c r="M1591" i="1"/>
  <c r="R1590" i="1"/>
  <c r="Q1590" i="1"/>
  <c r="P1590" i="1"/>
  <c r="O1590" i="1"/>
  <c r="M1590" i="1"/>
  <c r="R1589" i="1"/>
  <c r="Q1589" i="1"/>
  <c r="P1589" i="1"/>
  <c r="O1589" i="1"/>
  <c r="M1589" i="1"/>
  <c r="R1588" i="1"/>
  <c r="Q1588" i="1"/>
  <c r="P1588" i="1"/>
  <c r="O1588" i="1"/>
  <c r="M1588" i="1"/>
  <c r="R1587" i="1"/>
  <c r="Q1587" i="1"/>
  <c r="P1587" i="1"/>
  <c r="O1587" i="1"/>
  <c r="M1587" i="1"/>
  <c r="R1586" i="1"/>
  <c r="Q1586" i="1"/>
  <c r="P1586" i="1"/>
  <c r="O1586" i="1"/>
  <c r="M1586" i="1"/>
  <c r="R1585" i="1"/>
  <c r="Q1585" i="1"/>
  <c r="P1585" i="1"/>
  <c r="O1585" i="1"/>
  <c r="M1585" i="1"/>
  <c r="R1584" i="1"/>
  <c r="Q1584" i="1"/>
  <c r="P1584" i="1"/>
  <c r="O1584" i="1"/>
  <c r="M1584" i="1"/>
  <c r="R1583" i="1"/>
  <c r="Q1583" i="1"/>
  <c r="P1583" i="1"/>
  <c r="O1583" i="1"/>
  <c r="M1583" i="1"/>
  <c r="R1582" i="1"/>
  <c r="Q1582" i="1"/>
  <c r="P1582" i="1"/>
  <c r="O1582" i="1"/>
  <c r="M1582" i="1"/>
  <c r="R1581" i="1"/>
  <c r="Q1581" i="1"/>
  <c r="P1581" i="1"/>
  <c r="O1581" i="1"/>
  <c r="M1581" i="1"/>
  <c r="R1580" i="1"/>
  <c r="Q1580" i="1"/>
  <c r="P1580" i="1"/>
  <c r="O1580" i="1"/>
  <c r="M1580" i="1"/>
  <c r="R1579" i="1"/>
  <c r="Q1579" i="1"/>
  <c r="P1579" i="1"/>
  <c r="O1579" i="1"/>
  <c r="M1579" i="1"/>
  <c r="R1578" i="1"/>
  <c r="Q1578" i="1"/>
  <c r="P1578" i="1"/>
  <c r="O1578" i="1"/>
  <c r="M1578" i="1"/>
  <c r="R1577" i="1"/>
  <c r="Q1577" i="1"/>
  <c r="P1577" i="1"/>
  <c r="O1577" i="1"/>
  <c r="M1577" i="1"/>
  <c r="R1576" i="1"/>
  <c r="Q1576" i="1"/>
  <c r="P1576" i="1"/>
  <c r="O1576" i="1"/>
  <c r="M1576" i="1"/>
  <c r="R1575" i="1"/>
  <c r="Q1575" i="1"/>
  <c r="P1575" i="1"/>
  <c r="O1575" i="1"/>
  <c r="M1575" i="1"/>
  <c r="R1574" i="1"/>
  <c r="Q1574" i="1"/>
  <c r="P1574" i="1"/>
  <c r="O1574" i="1"/>
  <c r="M1574" i="1"/>
  <c r="R1573" i="1"/>
  <c r="Q1573" i="1"/>
  <c r="P1573" i="1"/>
  <c r="O1573" i="1"/>
  <c r="M1573" i="1"/>
  <c r="R1572" i="1"/>
  <c r="Q1572" i="1"/>
  <c r="P1572" i="1"/>
  <c r="O1572" i="1"/>
  <c r="M1572" i="1"/>
  <c r="R1571" i="1"/>
  <c r="Q1571" i="1"/>
  <c r="P1571" i="1"/>
  <c r="O1571" i="1"/>
  <c r="M1571" i="1"/>
  <c r="R1570" i="1"/>
  <c r="Q1570" i="1"/>
  <c r="P1570" i="1"/>
  <c r="O1570" i="1"/>
  <c r="M1570" i="1"/>
  <c r="R1569" i="1"/>
  <c r="Q1569" i="1"/>
  <c r="P1569" i="1"/>
  <c r="O1569" i="1"/>
  <c r="M1569" i="1"/>
  <c r="R1568" i="1"/>
  <c r="Q1568" i="1"/>
  <c r="P1568" i="1"/>
  <c r="O1568" i="1"/>
  <c r="M1568" i="1"/>
  <c r="R1567" i="1"/>
  <c r="Q1567" i="1"/>
  <c r="P1567" i="1"/>
  <c r="O1567" i="1"/>
  <c r="M1567" i="1"/>
  <c r="R1566" i="1"/>
  <c r="Q1566" i="1"/>
  <c r="P1566" i="1"/>
  <c r="O1566" i="1"/>
  <c r="M1566" i="1"/>
  <c r="R1565" i="1"/>
  <c r="Q1565" i="1"/>
  <c r="P1565" i="1"/>
  <c r="O1565" i="1"/>
  <c r="M1565" i="1"/>
  <c r="R1564" i="1"/>
  <c r="Q1564" i="1"/>
  <c r="P1564" i="1"/>
  <c r="O1564" i="1"/>
  <c r="M1564" i="1"/>
  <c r="R1563" i="1"/>
  <c r="Q1563" i="1"/>
  <c r="P1563" i="1"/>
  <c r="O1563" i="1"/>
  <c r="M1563" i="1"/>
  <c r="R1562" i="1"/>
  <c r="Q1562" i="1"/>
  <c r="P1562" i="1"/>
  <c r="O1562" i="1"/>
  <c r="M1562" i="1"/>
  <c r="R1561" i="1"/>
  <c r="Q1561" i="1"/>
  <c r="P1561" i="1"/>
  <c r="O1561" i="1"/>
  <c r="M1561" i="1"/>
  <c r="R1560" i="1"/>
  <c r="Q1560" i="1"/>
  <c r="P1560" i="1"/>
  <c r="O1560" i="1"/>
  <c r="M1560" i="1"/>
  <c r="R1559" i="1"/>
  <c r="Q1559" i="1"/>
  <c r="P1559" i="1"/>
  <c r="O1559" i="1"/>
  <c r="M1559" i="1"/>
  <c r="R1558" i="1"/>
  <c r="Q1558" i="1"/>
  <c r="P1558" i="1"/>
  <c r="O1558" i="1"/>
  <c r="M1558" i="1"/>
  <c r="R1557" i="1"/>
  <c r="Q1557" i="1"/>
  <c r="P1557" i="1"/>
  <c r="O1557" i="1"/>
  <c r="M1557" i="1"/>
  <c r="R1556" i="1"/>
  <c r="Q1556" i="1"/>
  <c r="P1556" i="1"/>
  <c r="O1556" i="1"/>
  <c r="M1556" i="1"/>
  <c r="R1555" i="1"/>
  <c r="Q1555" i="1"/>
  <c r="P1555" i="1"/>
  <c r="O1555" i="1"/>
  <c r="M1555" i="1"/>
  <c r="R1554" i="1"/>
  <c r="Q1554" i="1"/>
  <c r="P1554" i="1"/>
  <c r="O1554" i="1"/>
  <c r="M1554" i="1"/>
  <c r="R1553" i="1"/>
  <c r="Q1553" i="1"/>
  <c r="P1553" i="1"/>
  <c r="O1553" i="1"/>
  <c r="M1553" i="1"/>
  <c r="R1552" i="1"/>
  <c r="Q1552" i="1"/>
  <c r="P1552" i="1"/>
  <c r="O1552" i="1"/>
  <c r="M1552" i="1"/>
  <c r="R1551" i="1"/>
  <c r="Q1551" i="1"/>
  <c r="P1551" i="1"/>
  <c r="O1551" i="1"/>
  <c r="M1551" i="1"/>
  <c r="R1550" i="1"/>
  <c r="Q1550" i="1"/>
  <c r="P1550" i="1"/>
  <c r="O1550" i="1"/>
  <c r="M1550" i="1"/>
  <c r="R1549" i="1"/>
  <c r="Q1549" i="1"/>
  <c r="P1549" i="1"/>
  <c r="O1549" i="1"/>
  <c r="M1549" i="1"/>
  <c r="R1548" i="1"/>
  <c r="Q1548" i="1"/>
  <c r="P1548" i="1"/>
  <c r="O1548" i="1"/>
  <c r="M1548" i="1"/>
  <c r="R1547" i="1"/>
  <c r="Q1547" i="1"/>
  <c r="P1547" i="1"/>
  <c r="O1547" i="1"/>
  <c r="M1547" i="1"/>
  <c r="R1546" i="1"/>
  <c r="Q1546" i="1"/>
  <c r="P1546" i="1"/>
  <c r="O1546" i="1"/>
  <c r="M1546" i="1"/>
  <c r="R1545" i="1"/>
  <c r="Q1545" i="1"/>
  <c r="P1545" i="1"/>
  <c r="O1545" i="1"/>
  <c r="M1545" i="1"/>
  <c r="R1544" i="1"/>
  <c r="Q1544" i="1"/>
  <c r="P1544" i="1"/>
  <c r="O1544" i="1"/>
  <c r="M1544" i="1"/>
  <c r="R1543" i="1"/>
  <c r="Q1543" i="1"/>
  <c r="P1543" i="1"/>
  <c r="O1543" i="1"/>
  <c r="M1543" i="1"/>
  <c r="R1542" i="1"/>
  <c r="Q1542" i="1"/>
  <c r="P1542" i="1"/>
  <c r="O1542" i="1"/>
  <c r="M1542" i="1"/>
  <c r="R1541" i="1"/>
  <c r="Q1541" i="1"/>
  <c r="P1541" i="1"/>
  <c r="O1541" i="1"/>
  <c r="M1541" i="1"/>
  <c r="R1540" i="1"/>
  <c r="Q1540" i="1"/>
  <c r="P1540" i="1"/>
  <c r="O1540" i="1"/>
  <c r="M1540" i="1"/>
  <c r="R1539" i="1"/>
  <c r="Q1539" i="1"/>
  <c r="P1539" i="1"/>
  <c r="O1539" i="1"/>
  <c r="M1539" i="1"/>
  <c r="R1538" i="1"/>
  <c r="Q1538" i="1"/>
  <c r="P1538" i="1"/>
  <c r="O1538" i="1"/>
  <c r="M1538" i="1"/>
  <c r="R1537" i="1"/>
  <c r="Q1537" i="1"/>
  <c r="P1537" i="1"/>
  <c r="O1537" i="1"/>
  <c r="M1537" i="1"/>
  <c r="R1536" i="1"/>
  <c r="Q1536" i="1"/>
  <c r="P1536" i="1"/>
  <c r="O1536" i="1"/>
  <c r="M1536" i="1"/>
  <c r="R1535" i="1"/>
  <c r="Q1535" i="1"/>
  <c r="P1535" i="1"/>
  <c r="O1535" i="1"/>
  <c r="M1535" i="1"/>
  <c r="R1534" i="1"/>
  <c r="Q1534" i="1"/>
  <c r="P1534" i="1"/>
  <c r="O1534" i="1"/>
  <c r="M1534" i="1"/>
  <c r="R1533" i="1"/>
  <c r="Q1533" i="1"/>
  <c r="P1533" i="1"/>
  <c r="O1533" i="1"/>
  <c r="M1533" i="1"/>
  <c r="R1532" i="1"/>
  <c r="Q1532" i="1"/>
  <c r="P1532" i="1"/>
  <c r="O1532" i="1"/>
  <c r="M1532" i="1"/>
  <c r="R1531" i="1"/>
  <c r="Q1531" i="1"/>
  <c r="P1531" i="1"/>
  <c r="O1531" i="1"/>
  <c r="M1531" i="1"/>
  <c r="R1530" i="1"/>
  <c r="Q1530" i="1"/>
  <c r="P1530" i="1"/>
  <c r="O1530" i="1"/>
  <c r="M1530" i="1"/>
  <c r="R1529" i="1"/>
  <c r="Q1529" i="1"/>
  <c r="P1529" i="1"/>
  <c r="O1529" i="1"/>
  <c r="M1529" i="1"/>
  <c r="R1528" i="1"/>
  <c r="Q1528" i="1"/>
  <c r="P1528" i="1"/>
  <c r="O1528" i="1"/>
  <c r="M1528" i="1"/>
  <c r="R1527" i="1"/>
  <c r="Q1527" i="1"/>
  <c r="P1527" i="1"/>
  <c r="O1527" i="1"/>
  <c r="M1527" i="1"/>
  <c r="R1526" i="1"/>
  <c r="Q1526" i="1"/>
  <c r="P1526" i="1"/>
  <c r="O1526" i="1"/>
  <c r="M1526" i="1"/>
  <c r="R1525" i="1"/>
  <c r="Q1525" i="1"/>
  <c r="P1525" i="1"/>
  <c r="O1525" i="1"/>
  <c r="M1525" i="1"/>
  <c r="R1524" i="1"/>
  <c r="Q1524" i="1"/>
  <c r="P1524" i="1"/>
  <c r="O1524" i="1"/>
  <c r="M1524" i="1"/>
  <c r="R1523" i="1"/>
  <c r="Q1523" i="1"/>
  <c r="P1523" i="1"/>
  <c r="O1523" i="1"/>
  <c r="M1523" i="1"/>
  <c r="R1522" i="1"/>
  <c r="Q1522" i="1"/>
  <c r="P1522" i="1"/>
  <c r="O1522" i="1"/>
  <c r="M1522" i="1"/>
  <c r="R1521" i="1"/>
  <c r="Q1521" i="1"/>
  <c r="P1521" i="1"/>
  <c r="O1521" i="1"/>
  <c r="M1521" i="1"/>
  <c r="R1520" i="1"/>
  <c r="Q1520" i="1"/>
  <c r="P1520" i="1"/>
  <c r="O1520" i="1"/>
  <c r="M1520" i="1"/>
  <c r="R1519" i="1"/>
  <c r="Q1519" i="1"/>
  <c r="P1519" i="1"/>
  <c r="O1519" i="1"/>
  <c r="M1519" i="1"/>
  <c r="R1518" i="1"/>
  <c r="Q1518" i="1"/>
  <c r="P1518" i="1"/>
  <c r="O1518" i="1"/>
  <c r="M1518" i="1"/>
  <c r="R1517" i="1"/>
  <c r="Q1517" i="1"/>
  <c r="P1517" i="1"/>
  <c r="O1517" i="1"/>
  <c r="M1517" i="1"/>
  <c r="R1516" i="1"/>
  <c r="Q1516" i="1"/>
  <c r="P1516" i="1"/>
  <c r="O1516" i="1"/>
  <c r="M1516" i="1"/>
  <c r="R1515" i="1"/>
  <c r="Q1515" i="1"/>
  <c r="P1515" i="1"/>
  <c r="O1515" i="1"/>
  <c r="M1515" i="1"/>
  <c r="R1514" i="1"/>
  <c r="Q1514" i="1"/>
  <c r="P1514" i="1"/>
  <c r="O1514" i="1"/>
  <c r="M1514" i="1"/>
  <c r="R1513" i="1"/>
  <c r="Q1513" i="1"/>
  <c r="P1513" i="1"/>
  <c r="O1513" i="1"/>
  <c r="M1513" i="1"/>
  <c r="R1512" i="1"/>
  <c r="Q1512" i="1"/>
  <c r="P1512" i="1"/>
  <c r="O1512" i="1"/>
  <c r="M1512" i="1"/>
  <c r="R1511" i="1"/>
  <c r="Q1511" i="1"/>
  <c r="P1511" i="1"/>
  <c r="O1511" i="1"/>
  <c r="M1511" i="1"/>
  <c r="R1510" i="1"/>
  <c r="Q1510" i="1"/>
  <c r="P1510" i="1"/>
  <c r="O1510" i="1"/>
  <c r="M1510" i="1"/>
  <c r="R1509" i="1"/>
  <c r="Q1509" i="1"/>
  <c r="P1509" i="1"/>
  <c r="O1509" i="1"/>
  <c r="M1509" i="1"/>
  <c r="R1508" i="1"/>
  <c r="Q1508" i="1"/>
  <c r="P1508" i="1"/>
  <c r="O1508" i="1"/>
  <c r="M1508" i="1"/>
  <c r="R1507" i="1"/>
  <c r="Q1507" i="1"/>
  <c r="P1507" i="1"/>
  <c r="O1507" i="1"/>
  <c r="M1507" i="1"/>
  <c r="R1506" i="1"/>
  <c r="Q1506" i="1"/>
  <c r="P1506" i="1"/>
  <c r="O1506" i="1"/>
  <c r="M1506" i="1"/>
  <c r="R1505" i="1"/>
  <c r="Q1505" i="1"/>
  <c r="P1505" i="1"/>
  <c r="O1505" i="1"/>
  <c r="M1505" i="1"/>
  <c r="R1504" i="1"/>
  <c r="Q1504" i="1"/>
  <c r="P1504" i="1"/>
  <c r="O1504" i="1"/>
  <c r="M1504" i="1"/>
  <c r="R1503" i="1"/>
  <c r="Q1503" i="1"/>
  <c r="P1503" i="1"/>
  <c r="O1503" i="1"/>
  <c r="M1503" i="1"/>
  <c r="R1502" i="1"/>
  <c r="Q1502" i="1"/>
  <c r="P1502" i="1"/>
  <c r="O1502" i="1"/>
  <c r="M1502" i="1"/>
  <c r="R1501" i="1"/>
  <c r="Q1501" i="1"/>
  <c r="P1501" i="1"/>
  <c r="O1501" i="1"/>
  <c r="M1501" i="1"/>
  <c r="R1500" i="1"/>
  <c r="Q1500" i="1"/>
  <c r="P1500" i="1"/>
  <c r="O1500" i="1"/>
  <c r="M1500" i="1"/>
  <c r="R1499" i="1"/>
  <c r="Q1499" i="1"/>
  <c r="P1499" i="1"/>
  <c r="O1499" i="1"/>
  <c r="M1499" i="1"/>
  <c r="R1498" i="1"/>
  <c r="Q1498" i="1"/>
  <c r="P1498" i="1"/>
  <c r="O1498" i="1"/>
  <c r="M1498" i="1"/>
  <c r="R1497" i="1"/>
  <c r="Q1497" i="1"/>
  <c r="P1497" i="1"/>
  <c r="O1497" i="1"/>
  <c r="M1497" i="1"/>
  <c r="R1496" i="1"/>
  <c r="Q1496" i="1"/>
  <c r="P1496" i="1"/>
  <c r="O1496" i="1"/>
  <c r="M1496" i="1"/>
  <c r="R1495" i="1"/>
  <c r="Q1495" i="1"/>
  <c r="P1495" i="1"/>
  <c r="O1495" i="1"/>
  <c r="M1495" i="1"/>
  <c r="R1494" i="1"/>
  <c r="Q1494" i="1"/>
  <c r="P1494" i="1"/>
  <c r="O1494" i="1"/>
  <c r="M1494" i="1"/>
  <c r="R1493" i="1"/>
  <c r="Q1493" i="1"/>
  <c r="P1493" i="1"/>
  <c r="O1493" i="1"/>
  <c r="M1493" i="1"/>
  <c r="R1492" i="1"/>
  <c r="Q1492" i="1"/>
  <c r="P1492" i="1"/>
  <c r="O1492" i="1"/>
  <c r="M1492" i="1"/>
  <c r="R1491" i="1"/>
  <c r="Q1491" i="1"/>
  <c r="P1491" i="1"/>
  <c r="O1491" i="1"/>
  <c r="M1491" i="1"/>
  <c r="R1490" i="1"/>
  <c r="Q1490" i="1"/>
  <c r="P1490" i="1"/>
  <c r="O1490" i="1"/>
  <c r="M1490" i="1"/>
  <c r="R1489" i="1"/>
  <c r="Q1489" i="1"/>
  <c r="P1489" i="1"/>
  <c r="O1489" i="1"/>
  <c r="M1489" i="1"/>
  <c r="R1488" i="1"/>
  <c r="Q1488" i="1"/>
  <c r="P1488" i="1"/>
  <c r="O1488" i="1"/>
  <c r="M1488" i="1"/>
  <c r="R1487" i="1"/>
  <c r="Q1487" i="1"/>
  <c r="P1487" i="1"/>
  <c r="O1487" i="1"/>
  <c r="M1487" i="1"/>
  <c r="R1486" i="1"/>
  <c r="Q1486" i="1"/>
  <c r="P1486" i="1"/>
  <c r="O1486" i="1"/>
  <c r="M1486" i="1"/>
  <c r="R1485" i="1"/>
  <c r="Q1485" i="1"/>
  <c r="P1485" i="1"/>
  <c r="O1485" i="1"/>
  <c r="M1485" i="1"/>
  <c r="R1484" i="1"/>
  <c r="Q1484" i="1"/>
  <c r="P1484" i="1"/>
  <c r="O1484" i="1"/>
  <c r="M1484" i="1"/>
  <c r="R1483" i="1"/>
  <c r="Q1483" i="1"/>
  <c r="P1483" i="1"/>
  <c r="O1483" i="1"/>
  <c r="M1483" i="1"/>
  <c r="R1482" i="1"/>
  <c r="Q1482" i="1"/>
  <c r="P1482" i="1"/>
  <c r="O1482" i="1"/>
  <c r="M1482" i="1"/>
  <c r="R1481" i="1"/>
  <c r="Q1481" i="1"/>
  <c r="P1481" i="1"/>
  <c r="O1481" i="1"/>
  <c r="M1481" i="1"/>
  <c r="R1480" i="1"/>
  <c r="Q1480" i="1"/>
  <c r="P1480" i="1"/>
  <c r="O1480" i="1"/>
  <c r="M1480" i="1"/>
  <c r="R1479" i="1"/>
  <c r="Q1479" i="1"/>
  <c r="P1479" i="1"/>
  <c r="O1479" i="1"/>
  <c r="M1479" i="1"/>
  <c r="R1478" i="1"/>
  <c r="Q1478" i="1"/>
  <c r="P1478" i="1"/>
  <c r="O1478" i="1"/>
  <c r="M1478" i="1"/>
  <c r="R1477" i="1"/>
  <c r="Q1477" i="1"/>
  <c r="P1477" i="1"/>
  <c r="O1477" i="1"/>
  <c r="M1477" i="1"/>
  <c r="R1476" i="1"/>
  <c r="Q1476" i="1"/>
  <c r="P1476" i="1"/>
  <c r="O1476" i="1"/>
  <c r="M1476" i="1"/>
  <c r="R1475" i="1"/>
  <c r="Q1475" i="1"/>
  <c r="P1475" i="1"/>
  <c r="O1475" i="1"/>
  <c r="M1475" i="1"/>
  <c r="R1474" i="1"/>
  <c r="Q1474" i="1"/>
  <c r="P1474" i="1"/>
  <c r="O1474" i="1"/>
  <c r="M1474" i="1"/>
  <c r="R1473" i="1"/>
  <c r="Q1473" i="1"/>
  <c r="P1473" i="1"/>
  <c r="O1473" i="1"/>
  <c r="M1473" i="1"/>
  <c r="R1472" i="1"/>
  <c r="Q1472" i="1"/>
  <c r="P1472" i="1"/>
  <c r="O1472" i="1"/>
  <c r="M1472" i="1"/>
  <c r="R1471" i="1"/>
  <c r="Q1471" i="1"/>
  <c r="P1471" i="1"/>
  <c r="O1471" i="1"/>
  <c r="M1471" i="1"/>
  <c r="R1470" i="1"/>
  <c r="Q1470" i="1"/>
  <c r="P1470" i="1"/>
  <c r="O1470" i="1"/>
  <c r="M1470" i="1"/>
  <c r="R1469" i="1"/>
  <c r="Q1469" i="1"/>
  <c r="P1469" i="1"/>
  <c r="O1469" i="1"/>
  <c r="M1469" i="1"/>
  <c r="R1468" i="1"/>
  <c r="Q1468" i="1"/>
  <c r="P1468" i="1"/>
  <c r="O1468" i="1"/>
  <c r="M1468" i="1"/>
  <c r="R1467" i="1"/>
  <c r="Q1467" i="1"/>
  <c r="P1467" i="1"/>
  <c r="O1467" i="1"/>
  <c r="M1467" i="1"/>
  <c r="R1466" i="1"/>
  <c r="Q1466" i="1"/>
  <c r="P1466" i="1"/>
  <c r="O1466" i="1"/>
  <c r="M1466" i="1"/>
  <c r="R1465" i="1"/>
  <c r="Q1465" i="1"/>
  <c r="P1465" i="1"/>
  <c r="O1465" i="1"/>
  <c r="M1465" i="1"/>
  <c r="R1464" i="1"/>
  <c r="Q1464" i="1"/>
  <c r="P1464" i="1"/>
  <c r="O1464" i="1"/>
  <c r="M1464" i="1"/>
  <c r="R1463" i="1"/>
  <c r="Q1463" i="1"/>
  <c r="P1463" i="1"/>
  <c r="O1463" i="1"/>
  <c r="M1463" i="1"/>
  <c r="R1462" i="1"/>
  <c r="Q1462" i="1"/>
  <c r="P1462" i="1"/>
  <c r="O1462" i="1"/>
  <c r="M1462" i="1"/>
  <c r="R1461" i="1"/>
  <c r="Q1461" i="1"/>
  <c r="P1461" i="1"/>
  <c r="O1461" i="1"/>
  <c r="M1461" i="1"/>
  <c r="R1460" i="1"/>
  <c r="Q1460" i="1"/>
  <c r="P1460" i="1"/>
  <c r="O1460" i="1"/>
  <c r="M1460" i="1"/>
  <c r="R1459" i="1"/>
  <c r="Q1459" i="1"/>
  <c r="P1459" i="1"/>
  <c r="O1459" i="1"/>
  <c r="M1459" i="1"/>
  <c r="R1458" i="1"/>
  <c r="Q1458" i="1"/>
  <c r="P1458" i="1"/>
  <c r="O1458" i="1"/>
  <c r="M1458" i="1"/>
  <c r="R1457" i="1"/>
  <c r="Q1457" i="1"/>
  <c r="P1457" i="1"/>
  <c r="O1457" i="1"/>
  <c r="M1457" i="1"/>
  <c r="R1456" i="1"/>
  <c r="Q1456" i="1"/>
  <c r="P1456" i="1"/>
  <c r="O1456" i="1"/>
  <c r="M1456" i="1"/>
  <c r="R1455" i="1"/>
  <c r="Q1455" i="1"/>
  <c r="P1455" i="1"/>
  <c r="O1455" i="1"/>
  <c r="M1455" i="1"/>
  <c r="R1454" i="1"/>
  <c r="Q1454" i="1"/>
  <c r="P1454" i="1"/>
  <c r="O1454" i="1"/>
  <c r="M1454" i="1"/>
  <c r="R1453" i="1"/>
  <c r="Q1453" i="1"/>
  <c r="P1453" i="1"/>
  <c r="O1453" i="1"/>
  <c r="M1453" i="1"/>
  <c r="R1452" i="1"/>
  <c r="Q1452" i="1"/>
  <c r="P1452" i="1"/>
  <c r="O1452" i="1"/>
  <c r="M1452" i="1"/>
  <c r="R1451" i="1"/>
  <c r="Q1451" i="1"/>
  <c r="P1451" i="1"/>
  <c r="O1451" i="1"/>
  <c r="M1451" i="1"/>
  <c r="R1450" i="1"/>
  <c r="Q1450" i="1"/>
  <c r="P1450" i="1"/>
  <c r="O1450" i="1"/>
  <c r="M1450" i="1"/>
  <c r="R1449" i="1"/>
  <c r="Q1449" i="1"/>
  <c r="P1449" i="1"/>
  <c r="O1449" i="1"/>
  <c r="M1449" i="1"/>
  <c r="R1448" i="1"/>
  <c r="Q1448" i="1"/>
  <c r="P1448" i="1"/>
  <c r="O1448" i="1"/>
  <c r="M1448" i="1"/>
  <c r="R1447" i="1"/>
  <c r="Q1447" i="1"/>
  <c r="P1447" i="1"/>
  <c r="O1447" i="1"/>
  <c r="M1447" i="1"/>
  <c r="R1446" i="1"/>
  <c r="Q1446" i="1"/>
  <c r="P1446" i="1"/>
  <c r="O1446" i="1"/>
  <c r="M1446" i="1"/>
  <c r="R1445" i="1"/>
  <c r="Q1445" i="1"/>
  <c r="P1445" i="1"/>
  <c r="O1445" i="1"/>
  <c r="M1445" i="1"/>
  <c r="R1444" i="1"/>
  <c r="Q1444" i="1"/>
  <c r="P1444" i="1"/>
  <c r="O1444" i="1"/>
  <c r="M1444" i="1"/>
  <c r="R1443" i="1"/>
  <c r="Q1443" i="1"/>
  <c r="P1443" i="1"/>
  <c r="O1443" i="1"/>
  <c r="M1443" i="1"/>
  <c r="R1442" i="1"/>
  <c r="Q1442" i="1"/>
  <c r="P1442" i="1"/>
  <c r="O1442" i="1"/>
  <c r="M1442" i="1"/>
  <c r="R1441" i="1"/>
  <c r="Q1441" i="1"/>
  <c r="P1441" i="1"/>
  <c r="O1441" i="1"/>
  <c r="M1441" i="1"/>
  <c r="R1440" i="1"/>
  <c r="Q1440" i="1"/>
  <c r="P1440" i="1"/>
  <c r="O1440" i="1"/>
  <c r="M1440" i="1"/>
  <c r="R1439" i="1"/>
  <c r="Q1439" i="1"/>
  <c r="P1439" i="1"/>
  <c r="O1439" i="1"/>
  <c r="M1439" i="1"/>
  <c r="R1438" i="1"/>
  <c r="Q1438" i="1"/>
  <c r="P1438" i="1"/>
  <c r="O1438" i="1"/>
  <c r="M1438" i="1"/>
  <c r="R1437" i="1"/>
  <c r="Q1437" i="1"/>
  <c r="P1437" i="1"/>
  <c r="O1437" i="1"/>
  <c r="M1437" i="1"/>
  <c r="R1436" i="1"/>
  <c r="Q1436" i="1"/>
  <c r="P1436" i="1"/>
  <c r="O1436" i="1"/>
  <c r="M1436" i="1"/>
  <c r="R1435" i="1"/>
  <c r="Q1435" i="1"/>
  <c r="P1435" i="1"/>
  <c r="O1435" i="1"/>
  <c r="M1435" i="1"/>
  <c r="R1434" i="1"/>
  <c r="Q1434" i="1"/>
  <c r="P1434" i="1"/>
  <c r="O1434" i="1"/>
  <c r="M1434" i="1"/>
  <c r="R1433" i="1"/>
  <c r="Q1433" i="1"/>
  <c r="P1433" i="1"/>
  <c r="O1433" i="1"/>
  <c r="M1433" i="1"/>
  <c r="R1432" i="1"/>
  <c r="Q1432" i="1"/>
  <c r="P1432" i="1"/>
  <c r="O1432" i="1"/>
  <c r="M1432" i="1"/>
  <c r="R1431" i="1"/>
  <c r="Q1431" i="1"/>
  <c r="P1431" i="1"/>
  <c r="O1431" i="1"/>
  <c r="M1431" i="1"/>
  <c r="R1430" i="1"/>
  <c r="Q1430" i="1"/>
  <c r="P1430" i="1"/>
  <c r="O1430" i="1"/>
  <c r="M1430" i="1"/>
  <c r="R1429" i="1"/>
  <c r="Q1429" i="1"/>
  <c r="P1429" i="1"/>
  <c r="O1429" i="1"/>
  <c r="M1429" i="1"/>
  <c r="R1428" i="1"/>
  <c r="Q1428" i="1"/>
  <c r="P1428" i="1"/>
  <c r="O1428" i="1"/>
  <c r="M1428" i="1"/>
  <c r="R1427" i="1"/>
  <c r="Q1427" i="1"/>
  <c r="P1427" i="1"/>
  <c r="O1427" i="1"/>
  <c r="M1427" i="1"/>
  <c r="R1426" i="1"/>
  <c r="Q1426" i="1"/>
  <c r="P1426" i="1"/>
  <c r="O1426" i="1"/>
  <c r="M1426" i="1"/>
  <c r="R1425" i="1"/>
  <c r="Q1425" i="1"/>
  <c r="P1425" i="1"/>
  <c r="O1425" i="1"/>
  <c r="M1425" i="1"/>
  <c r="R1424" i="1"/>
  <c r="Q1424" i="1"/>
  <c r="P1424" i="1"/>
  <c r="O1424" i="1"/>
  <c r="M1424" i="1"/>
  <c r="R1423" i="1"/>
  <c r="Q1423" i="1"/>
  <c r="P1423" i="1"/>
  <c r="O1423" i="1"/>
  <c r="M1423" i="1"/>
  <c r="R1422" i="1"/>
  <c r="Q1422" i="1"/>
  <c r="P1422" i="1"/>
  <c r="O1422" i="1"/>
  <c r="M1422" i="1"/>
  <c r="R1421" i="1"/>
  <c r="Q1421" i="1"/>
  <c r="P1421" i="1"/>
  <c r="O1421" i="1"/>
  <c r="M1421" i="1"/>
  <c r="R1420" i="1"/>
  <c r="Q1420" i="1"/>
  <c r="P1420" i="1"/>
  <c r="O1420" i="1"/>
  <c r="M1420" i="1"/>
  <c r="R1419" i="1"/>
  <c r="Q1419" i="1"/>
  <c r="P1419" i="1"/>
  <c r="O1419" i="1"/>
  <c r="M1419" i="1"/>
  <c r="R1418" i="1"/>
  <c r="Q1418" i="1"/>
  <c r="P1418" i="1"/>
  <c r="O1418" i="1"/>
  <c r="M1418" i="1"/>
  <c r="R1417" i="1"/>
  <c r="Q1417" i="1"/>
  <c r="P1417" i="1"/>
  <c r="O1417" i="1"/>
  <c r="M1417" i="1"/>
  <c r="R1416" i="1"/>
  <c r="Q1416" i="1"/>
  <c r="P1416" i="1"/>
  <c r="O1416" i="1"/>
  <c r="M1416" i="1"/>
  <c r="R1415" i="1"/>
  <c r="Q1415" i="1"/>
  <c r="P1415" i="1"/>
  <c r="O1415" i="1"/>
  <c r="M1415" i="1"/>
  <c r="R1414" i="1"/>
  <c r="Q1414" i="1"/>
  <c r="P1414" i="1"/>
  <c r="O1414" i="1"/>
  <c r="M1414" i="1"/>
  <c r="R1413" i="1"/>
  <c r="Q1413" i="1"/>
  <c r="P1413" i="1"/>
  <c r="O1413" i="1"/>
  <c r="M1413" i="1"/>
  <c r="R1412" i="1"/>
  <c r="Q1412" i="1"/>
  <c r="P1412" i="1"/>
  <c r="O1412" i="1"/>
  <c r="M1412" i="1"/>
  <c r="R1411" i="1"/>
  <c r="Q1411" i="1"/>
  <c r="P1411" i="1"/>
  <c r="O1411" i="1"/>
  <c r="M1411" i="1"/>
  <c r="R1410" i="1"/>
  <c r="Q1410" i="1"/>
  <c r="P1410" i="1"/>
  <c r="O1410" i="1"/>
  <c r="M1410" i="1"/>
  <c r="R1409" i="1"/>
  <c r="Q1409" i="1"/>
  <c r="P1409" i="1"/>
  <c r="O1409" i="1"/>
  <c r="M1409" i="1"/>
  <c r="R1408" i="1"/>
  <c r="Q1408" i="1"/>
  <c r="P1408" i="1"/>
  <c r="O1408" i="1"/>
  <c r="M1408" i="1"/>
  <c r="R1407" i="1"/>
  <c r="Q1407" i="1"/>
  <c r="P1407" i="1"/>
  <c r="O1407" i="1"/>
  <c r="M1407" i="1"/>
  <c r="R1406" i="1"/>
  <c r="Q1406" i="1"/>
  <c r="P1406" i="1"/>
  <c r="O1406" i="1"/>
  <c r="M1406" i="1"/>
  <c r="R1405" i="1"/>
  <c r="Q1405" i="1"/>
  <c r="P1405" i="1"/>
  <c r="O1405" i="1"/>
  <c r="M1405" i="1"/>
  <c r="R1404" i="1"/>
  <c r="Q1404" i="1"/>
  <c r="P1404" i="1"/>
  <c r="O1404" i="1"/>
  <c r="M1404" i="1"/>
  <c r="R1403" i="1"/>
  <c r="Q1403" i="1"/>
  <c r="P1403" i="1"/>
  <c r="O1403" i="1"/>
  <c r="M1403" i="1"/>
  <c r="R1402" i="1"/>
  <c r="Q1402" i="1"/>
  <c r="P1402" i="1"/>
  <c r="O1402" i="1"/>
  <c r="M1402" i="1"/>
  <c r="R1401" i="1"/>
  <c r="Q1401" i="1"/>
  <c r="P1401" i="1"/>
  <c r="O1401" i="1"/>
  <c r="M1401" i="1"/>
  <c r="R1400" i="1"/>
  <c r="Q1400" i="1"/>
  <c r="P1400" i="1"/>
  <c r="O1400" i="1"/>
  <c r="M1400" i="1"/>
  <c r="R1399" i="1"/>
  <c r="Q1399" i="1"/>
  <c r="P1399" i="1"/>
  <c r="O1399" i="1"/>
  <c r="M1399" i="1"/>
  <c r="R1398" i="1"/>
  <c r="Q1398" i="1"/>
  <c r="P1398" i="1"/>
  <c r="O1398" i="1"/>
  <c r="M1398" i="1"/>
  <c r="R1397" i="1"/>
  <c r="Q1397" i="1"/>
  <c r="P1397" i="1"/>
  <c r="O1397" i="1"/>
  <c r="M1397" i="1"/>
  <c r="R1396" i="1"/>
  <c r="Q1396" i="1"/>
  <c r="P1396" i="1"/>
  <c r="O1396" i="1"/>
  <c r="M1396" i="1"/>
  <c r="R1395" i="1"/>
  <c r="Q1395" i="1"/>
  <c r="P1395" i="1"/>
  <c r="O1395" i="1"/>
  <c r="M1395" i="1"/>
  <c r="R1394" i="1"/>
  <c r="Q1394" i="1"/>
  <c r="P1394" i="1"/>
  <c r="O1394" i="1"/>
  <c r="M1394" i="1"/>
  <c r="R1393" i="1"/>
  <c r="Q1393" i="1"/>
  <c r="P1393" i="1"/>
  <c r="O1393" i="1"/>
  <c r="M1393" i="1"/>
  <c r="R1392" i="1"/>
  <c r="Q1392" i="1"/>
  <c r="P1392" i="1"/>
  <c r="O1392" i="1"/>
  <c r="M1392" i="1"/>
  <c r="R1391" i="1"/>
  <c r="Q1391" i="1"/>
  <c r="P1391" i="1"/>
  <c r="O1391" i="1"/>
  <c r="M1391" i="1"/>
  <c r="R1390" i="1"/>
  <c r="Q1390" i="1"/>
  <c r="P1390" i="1"/>
  <c r="O1390" i="1"/>
  <c r="M1390" i="1"/>
  <c r="R1389" i="1"/>
  <c r="Q1389" i="1"/>
  <c r="P1389" i="1"/>
  <c r="O1389" i="1"/>
  <c r="M1389" i="1"/>
  <c r="R1388" i="1"/>
  <c r="Q1388" i="1"/>
  <c r="P1388" i="1"/>
  <c r="O1388" i="1"/>
  <c r="M1388" i="1"/>
  <c r="R1387" i="1"/>
  <c r="Q1387" i="1"/>
  <c r="P1387" i="1"/>
  <c r="O1387" i="1"/>
  <c r="M1387" i="1"/>
  <c r="R1386" i="1"/>
  <c r="Q1386" i="1"/>
  <c r="P1386" i="1"/>
  <c r="O1386" i="1"/>
  <c r="M1386" i="1"/>
  <c r="R1385" i="1"/>
  <c r="Q1385" i="1"/>
  <c r="P1385" i="1"/>
  <c r="O1385" i="1"/>
  <c r="M1385" i="1"/>
  <c r="R1384" i="1"/>
  <c r="Q1384" i="1"/>
  <c r="P1384" i="1"/>
  <c r="O1384" i="1"/>
  <c r="M1384" i="1"/>
  <c r="R1383" i="1"/>
  <c r="Q1383" i="1"/>
  <c r="P1383" i="1"/>
  <c r="O1383" i="1"/>
  <c r="M1383" i="1"/>
  <c r="R1382" i="1"/>
  <c r="Q1382" i="1"/>
  <c r="P1382" i="1"/>
  <c r="O1382" i="1"/>
  <c r="M1382" i="1"/>
  <c r="R1381" i="1"/>
  <c r="Q1381" i="1"/>
  <c r="P1381" i="1"/>
  <c r="O1381" i="1"/>
  <c r="M1381" i="1"/>
  <c r="R1380" i="1"/>
  <c r="Q1380" i="1"/>
  <c r="P1380" i="1"/>
  <c r="O1380" i="1"/>
  <c r="M1380" i="1"/>
  <c r="R1379" i="1"/>
  <c r="Q1379" i="1"/>
  <c r="P1379" i="1"/>
  <c r="O1379" i="1"/>
  <c r="M1379" i="1"/>
  <c r="R1378" i="1"/>
  <c r="Q1378" i="1"/>
  <c r="P1378" i="1"/>
  <c r="O1378" i="1"/>
  <c r="M1378" i="1"/>
  <c r="R1377" i="1"/>
  <c r="Q1377" i="1"/>
  <c r="P1377" i="1"/>
  <c r="O1377" i="1"/>
  <c r="M1377" i="1"/>
  <c r="R1376" i="1"/>
  <c r="Q1376" i="1"/>
  <c r="P1376" i="1"/>
  <c r="O1376" i="1"/>
  <c r="M1376" i="1"/>
  <c r="R1375" i="1"/>
  <c r="Q1375" i="1"/>
  <c r="P1375" i="1"/>
  <c r="O1375" i="1"/>
  <c r="M1375" i="1"/>
  <c r="R1374" i="1"/>
  <c r="Q1374" i="1"/>
  <c r="P1374" i="1"/>
  <c r="O1374" i="1"/>
  <c r="M1374" i="1"/>
  <c r="R1373" i="1"/>
  <c r="Q1373" i="1"/>
  <c r="P1373" i="1"/>
  <c r="O1373" i="1"/>
  <c r="M1373" i="1"/>
  <c r="R1372" i="1"/>
  <c r="Q1372" i="1"/>
  <c r="P1372" i="1"/>
  <c r="O1372" i="1"/>
  <c r="M1372" i="1"/>
  <c r="R1371" i="1"/>
  <c r="Q1371" i="1"/>
  <c r="P1371" i="1"/>
  <c r="O1371" i="1"/>
  <c r="M1371" i="1"/>
  <c r="R1370" i="1"/>
  <c r="Q1370" i="1"/>
  <c r="P1370" i="1"/>
  <c r="O1370" i="1"/>
  <c r="M1370" i="1"/>
  <c r="R1369" i="1"/>
  <c r="Q1369" i="1"/>
  <c r="P1369" i="1"/>
  <c r="O1369" i="1"/>
  <c r="M1369" i="1"/>
  <c r="R1368" i="1"/>
  <c r="Q1368" i="1"/>
  <c r="P1368" i="1"/>
  <c r="O1368" i="1"/>
  <c r="M1368" i="1"/>
  <c r="R1367" i="1"/>
  <c r="Q1367" i="1"/>
  <c r="P1367" i="1"/>
  <c r="O1367" i="1"/>
  <c r="M1367" i="1"/>
  <c r="R1366" i="1"/>
  <c r="Q1366" i="1"/>
  <c r="P1366" i="1"/>
  <c r="O1366" i="1"/>
  <c r="M1366" i="1"/>
  <c r="R1365" i="1"/>
  <c r="Q1365" i="1"/>
  <c r="P1365" i="1"/>
  <c r="O1365" i="1"/>
  <c r="M1365" i="1"/>
  <c r="R1364" i="1"/>
  <c r="Q1364" i="1"/>
  <c r="P1364" i="1"/>
  <c r="O1364" i="1"/>
  <c r="M1364" i="1"/>
  <c r="R1363" i="1"/>
  <c r="Q1363" i="1"/>
  <c r="P1363" i="1"/>
  <c r="O1363" i="1"/>
  <c r="M1363" i="1"/>
  <c r="R1362" i="1"/>
  <c r="Q1362" i="1"/>
  <c r="P1362" i="1"/>
  <c r="O1362" i="1"/>
  <c r="M1362" i="1"/>
  <c r="R1361" i="1"/>
  <c r="Q1361" i="1"/>
  <c r="P1361" i="1"/>
  <c r="O1361" i="1"/>
  <c r="M1361" i="1"/>
  <c r="R1360" i="1"/>
  <c r="Q1360" i="1"/>
  <c r="P1360" i="1"/>
  <c r="O1360" i="1"/>
  <c r="M1360" i="1"/>
  <c r="R1359" i="1"/>
  <c r="Q1359" i="1"/>
  <c r="P1359" i="1"/>
  <c r="O1359" i="1"/>
  <c r="M1359" i="1"/>
  <c r="R1358" i="1"/>
  <c r="Q1358" i="1"/>
  <c r="P1358" i="1"/>
  <c r="O1358" i="1"/>
  <c r="M1358" i="1"/>
  <c r="R1357" i="1"/>
  <c r="Q1357" i="1"/>
  <c r="P1357" i="1"/>
  <c r="O1357" i="1"/>
  <c r="M1357" i="1"/>
  <c r="R1356" i="1"/>
  <c r="Q1356" i="1"/>
  <c r="P1356" i="1"/>
  <c r="O1356" i="1"/>
  <c r="M1356" i="1"/>
  <c r="R1355" i="1"/>
  <c r="Q1355" i="1"/>
  <c r="P1355" i="1"/>
  <c r="O1355" i="1"/>
  <c r="M1355" i="1"/>
  <c r="R1354" i="1"/>
  <c r="Q1354" i="1"/>
  <c r="P1354" i="1"/>
  <c r="O1354" i="1"/>
  <c r="M1354" i="1"/>
  <c r="R1353" i="1"/>
  <c r="Q1353" i="1"/>
  <c r="P1353" i="1"/>
  <c r="O1353" i="1"/>
  <c r="M1353" i="1"/>
  <c r="R1352" i="1"/>
  <c r="Q1352" i="1"/>
  <c r="P1352" i="1"/>
  <c r="O1352" i="1"/>
  <c r="M1352" i="1"/>
  <c r="R1351" i="1"/>
  <c r="Q1351" i="1"/>
  <c r="P1351" i="1"/>
  <c r="O1351" i="1"/>
  <c r="M1351" i="1"/>
  <c r="R1350" i="1"/>
  <c r="Q1350" i="1"/>
  <c r="P1350" i="1"/>
  <c r="O1350" i="1"/>
  <c r="M1350" i="1"/>
  <c r="R1349" i="1"/>
  <c r="Q1349" i="1"/>
  <c r="P1349" i="1"/>
  <c r="O1349" i="1"/>
  <c r="M1349" i="1"/>
  <c r="R1348" i="1"/>
  <c r="Q1348" i="1"/>
  <c r="P1348" i="1"/>
  <c r="O1348" i="1"/>
  <c r="M1348" i="1"/>
  <c r="R1347" i="1"/>
  <c r="Q1347" i="1"/>
  <c r="P1347" i="1"/>
  <c r="O1347" i="1"/>
  <c r="M1347" i="1"/>
  <c r="R1346" i="1"/>
  <c r="Q1346" i="1"/>
  <c r="P1346" i="1"/>
  <c r="O1346" i="1"/>
  <c r="M1346" i="1"/>
  <c r="R1345" i="1"/>
  <c r="Q1345" i="1"/>
  <c r="P1345" i="1"/>
  <c r="O1345" i="1"/>
  <c r="M1345" i="1"/>
  <c r="R1344" i="1"/>
  <c r="Q1344" i="1"/>
  <c r="P1344" i="1"/>
  <c r="O1344" i="1"/>
  <c r="M1344" i="1"/>
  <c r="R1343" i="1"/>
  <c r="Q1343" i="1"/>
  <c r="P1343" i="1"/>
  <c r="O1343" i="1"/>
  <c r="M1343" i="1"/>
  <c r="R1342" i="1"/>
  <c r="Q1342" i="1"/>
  <c r="P1342" i="1"/>
  <c r="O1342" i="1"/>
  <c r="M1342" i="1"/>
  <c r="R1341" i="1"/>
  <c r="Q1341" i="1"/>
  <c r="P1341" i="1"/>
  <c r="O1341" i="1"/>
  <c r="M1341" i="1"/>
  <c r="R1340" i="1"/>
  <c r="Q1340" i="1"/>
  <c r="P1340" i="1"/>
  <c r="O1340" i="1"/>
  <c r="M1340" i="1"/>
  <c r="R1339" i="1"/>
  <c r="Q1339" i="1"/>
  <c r="P1339" i="1"/>
  <c r="O1339" i="1"/>
  <c r="M1339" i="1"/>
  <c r="R1338" i="1"/>
  <c r="Q1338" i="1"/>
  <c r="P1338" i="1"/>
  <c r="O1338" i="1"/>
  <c r="M1338" i="1"/>
  <c r="R1337" i="1"/>
  <c r="Q1337" i="1"/>
  <c r="P1337" i="1"/>
  <c r="O1337" i="1"/>
  <c r="M1337" i="1"/>
  <c r="R1336" i="1"/>
  <c r="Q1336" i="1"/>
  <c r="P1336" i="1"/>
  <c r="O1336" i="1"/>
  <c r="M1336" i="1"/>
  <c r="R1335" i="1"/>
  <c r="Q1335" i="1"/>
  <c r="P1335" i="1"/>
  <c r="O1335" i="1"/>
  <c r="M1335" i="1"/>
  <c r="R1334" i="1"/>
  <c r="Q1334" i="1"/>
  <c r="P1334" i="1"/>
  <c r="O1334" i="1"/>
  <c r="M1334" i="1"/>
  <c r="R1333" i="1"/>
  <c r="Q1333" i="1"/>
  <c r="P1333" i="1"/>
  <c r="O1333" i="1"/>
  <c r="M1333" i="1"/>
  <c r="R1332" i="1"/>
  <c r="Q1332" i="1"/>
  <c r="P1332" i="1"/>
  <c r="O1332" i="1"/>
  <c r="M1332" i="1"/>
  <c r="R1331" i="1"/>
  <c r="Q1331" i="1"/>
  <c r="P1331" i="1"/>
  <c r="O1331" i="1"/>
  <c r="M1331" i="1"/>
  <c r="R1330" i="1"/>
  <c r="Q1330" i="1"/>
  <c r="P1330" i="1"/>
  <c r="O1330" i="1"/>
  <c r="M1330" i="1"/>
  <c r="R1329" i="1"/>
  <c r="Q1329" i="1"/>
  <c r="P1329" i="1"/>
  <c r="O1329" i="1"/>
  <c r="M1329" i="1"/>
  <c r="R1328" i="1"/>
  <c r="Q1328" i="1"/>
  <c r="P1328" i="1"/>
  <c r="O1328" i="1"/>
  <c r="M1328" i="1"/>
  <c r="R1327" i="1"/>
  <c r="Q1327" i="1"/>
  <c r="P1327" i="1"/>
  <c r="O1327" i="1"/>
  <c r="M1327" i="1"/>
  <c r="R1326" i="1"/>
  <c r="Q1326" i="1"/>
  <c r="P1326" i="1"/>
  <c r="O1326" i="1"/>
  <c r="M1326" i="1"/>
  <c r="R1325" i="1"/>
  <c r="Q1325" i="1"/>
  <c r="P1325" i="1"/>
  <c r="O1325" i="1"/>
  <c r="M1325" i="1"/>
  <c r="R1324" i="1"/>
  <c r="Q1324" i="1"/>
  <c r="P1324" i="1"/>
  <c r="O1324" i="1"/>
  <c r="M1324" i="1"/>
  <c r="R1323" i="1"/>
  <c r="Q1323" i="1"/>
  <c r="P1323" i="1"/>
  <c r="O1323" i="1"/>
  <c r="M1323" i="1"/>
  <c r="R1322" i="1"/>
  <c r="Q1322" i="1"/>
  <c r="P1322" i="1"/>
  <c r="O1322" i="1"/>
  <c r="M1322" i="1"/>
  <c r="R1321" i="1"/>
  <c r="Q1321" i="1"/>
  <c r="P1321" i="1"/>
  <c r="O1321" i="1"/>
  <c r="M1321" i="1"/>
  <c r="R1320" i="1"/>
  <c r="Q1320" i="1"/>
  <c r="P1320" i="1"/>
  <c r="O1320" i="1"/>
  <c r="M1320" i="1"/>
  <c r="R1319" i="1"/>
  <c r="Q1319" i="1"/>
  <c r="P1319" i="1"/>
  <c r="O1319" i="1"/>
  <c r="M1319" i="1"/>
  <c r="R1318" i="1"/>
  <c r="Q1318" i="1"/>
  <c r="P1318" i="1"/>
  <c r="O1318" i="1"/>
  <c r="M1318" i="1"/>
  <c r="R1317" i="1"/>
  <c r="Q1317" i="1"/>
  <c r="P1317" i="1"/>
  <c r="O1317" i="1"/>
  <c r="M1317" i="1"/>
  <c r="R1316" i="1"/>
  <c r="Q1316" i="1"/>
  <c r="P1316" i="1"/>
  <c r="O1316" i="1"/>
  <c r="M1316" i="1"/>
  <c r="R1315" i="1"/>
  <c r="Q1315" i="1"/>
  <c r="P1315" i="1"/>
  <c r="O1315" i="1"/>
  <c r="M1315" i="1"/>
  <c r="R1314" i="1"/>
  <c r="Q1314" i="1"/>
  <c r="P1314" i="1"/>
  <c r="O1314" i="1"/>
  <c r="M1314" i="1"/>
  <c r="R1313" i="1"/>
  <c r="Q1313" i="1"/>
  <c r="P1313" i="1"/>
  <c r="O1313" i="1"/>
  <c r="M1313" i="1"/>
  <c r="R1312" i="1"/>
  <c r="Q1312" i="1"/>
  <c r="P1312" i="1"/>
  <c r="O1312" i="1"/>
  <c r="M1312" i="1"/>
  <c r="R1311" i="1"/>
  <c r="Q1311" i="1"/>
  <c r="P1311" i="1"/>
  <c r="O1311" i="1"/>
  <c r="M1311" i="1"/>
  <c r="R1310" i="1"/>
  <c r="Q1310" i="1"/>
  <c r="P1310" i="1"/>
  <c r="O1310" i="1"/>
  <c r="M1310" i="1"/>
  <c r="R1309" i="1"/>
  <c r="Q1309" i="1"/>
  <c r="P1309" i="1"/>
  <c r="O1309" i="1"/>
  <c r="M1309" i="1"/>
  <c r="R1308" i="1"/>
  <c r="Q1308" i="1"/>
  <c r="P1308" i="1"/>
  <c r="O1308" i="1"/>
  <c r="M1308" i="1"/>
  <c r="R1307" i="1"/>
  <c r="Q1307" i="1"/>
  <c r="P1307" i="1"/>
  <c r="O1307" i="1"/>
  <c r="M1307" i="1"/>
  <c r="R1306" i="1"/>
  <c r="Q1306" i="1"/>
  <c r="P1306" i="1"/>
  <c r="O1306" i="1"/>
  <c r="M1306" i="1"/>
  <c r="R1305" i="1"/>
  <c r="Q1305" i="1"/>
  <c r="P1305" i="1"/>
  <c r="O1305" i="1"/>
  <c r="M1305" i="1"/>
  <c r="R1304" i="1"/>
  <c r="Q1304" i="1"/>
  <c r="P1304" i="1"/>
  <c r="O1304" i="1"/>
  <c r="M1304" i="1"/>
  <c r="R1303" i="1"/>
  <c r="Q1303" i="1"/>
  <c r="P1303" i="1"/>
  <c r="O1303" i="1"/>
  <c r="M1303" i="1"/>
  <c r="R1302" i="1"/>
  <c r="Q1302" i="1"/>
  <c r="P1302" i="1"/>
  <c r="O1302" i="1"/>
  <c r="M1302" i="1"/>
  <c r="R1301" i="1"/>
  <c r="Q1301" i="1"/>
  <c r="P1301" i="1"/>
  <c r="O1301" i="1"/>
  <c r="M1301" i="1"/>
  <c r="R1300" i="1"/>
  <c r="Q1300" i="1"/>
  <c r="P1300" i="1"/>
  <c r="O1300" i="1"/>
  <c r="M1300" i="1"/>
  <c r="R1299" i="1"/>
  <c r="Q1299" i="1"/>
  <c r="P1299" i="1"/>
  <c r="O1299" i="1"/>
  <c r="M1299" i="1"/>
  <c r="R1298" i="1"/>
  <c r="Q1298" i="1"/>
  <c r="P1298" i="1"/>
  <c r="O1298" i="1"/>
  <c r="M1298" i="1"/>
  <c r="R1297" i="1"/>
  <c r="Q1297" i="1"/>
  <c r="P1297" i="1"/>
  <c r="O1297" i="1"/>
  <c r="M1297" i="1"/>
  <c r="R1296" i="1"/>
  <c r="Q1296" i="1"/>
  <c r="P1296" i="1"/>
  <c r="O1296" i="1"/>
  <c r="M1296" i="1"/>
  <c r="R1295" i="1"/>
  <c r="Q1295" i="1"/>
  <c r="P1295" i="1"/>
  <c r="O1295" i="1"/>
  <c r="M1295" i="1"/>
  <c r="R1294" i="1"/>
  <c r="Q1294" i="1"/>
  <c r="P1294" i="1"/>
  <c r="O1294" i="1"/>
  <c r="M1294" i="1"/>
  <c r="R1293" i="1"/>
  <c r="Q1293" i="1"/>
  <c r="P1293" i="1"/>
  <c r="O1293" i="1"/>
  <c r="M1293" i="1"/>
  <c r="R1292" i="1"/>
  <c r="Q1292" i="1"/>
  <c r="P1292" i="1"/>
  <c r="O1292" i="1"/>
  <c r="M1292" i="1"/>
  <c r="R1291" i="1"/>
  <c r="Q1291" i="1"/>
  <c r="P1291" i="1"/>
  <c r="O1291" i="1"/>
  <c r="M1291" i="1"/>
  <c r="R1290" i="1"/>
  <c r="Q1290" i="1"/>
  <c r="P1290" i="1"/>
  <c r="O1290" i="1"/>
  <c r="M1290" i="1"/>
  <c r="R1289" i="1"/>
  <c r="Q1289" i="1"/>
  <c r="P1289" i="1"/>
  <c r="O1289" i="1"/>
  <c r="M1289" i="1"/>
  <c r="R1288" i="1"/>
  <c r="Q1288" i="1"/>
  <c r="P1288" i="1"/>
  <c r="O1288" i="1"/>
  <c r="M1288" i="1"/>
  <c r="R1287" i="1"/>
  <c r="Q1287" i="1"/>
  <c r="P1287" i="1"/>
  <c r="O1287" i="1"/>
  <c r="M1287" i="1"/>
  <c r="R1286" i="1"/>
  <c r="Q1286" i="1"/>
  <c r="P1286" i="1"/>
  <c r="O1286" i="1"/>
  <c r="M1286" i="1"/>
  <c r="R1285" i="1"/>
  <c r="Q1285" i="1"/>
  <c r="P1285" i="1"/>
  <c r="O1285" i="1"/>
  <c r="M1285" i="1"/>
  <c r="R1284" i="1"/>
  <c r="Q1284" i="1"/>
  <c r="P1284" i="1"/>
  <c r="O1284" i="1"/>
  <c r="M1284" i="1"/>
  <c r="R1283" i="1"/>
  <c r="Q1283" i="1"/>
  <c r="P1283" i="1"/>
  <c r="O1283" i="1"/>
  <c r="M1283" i="1"/>
  <c r="R1282" i="1"/>
  <c r="Q1282" i="1"/>
  <c r="P1282" i="1"/>
  <c r="O1282" i="1"/>
  <c r="M1282" i="1"/>
  <c r="R1281" i="1"/>
  <c r="Q1281" i="1"/>
  <c r="P1281" i="1"/>
  <c r="O1281" i="1"/>
  <c r="M1281" i="1"/>
  <c r="R1280" i="1"/>
  <c r="Q1280" i="1"/>
  <c r="P1280" i="1"/>
  <c r="O1280" i="1"/>
  <c r="M1280" i="1"/>
  <c r="R1279" i="1"/>
  <c r="Q1279" i="1"/>
  <c r="P1279" i="1"/>
  <c r="O1279" i="1"/>
  <c r="M1279" i="1"/>
  <c r="R1278" i="1"/>
  <c r="Q1278" i="1"/>
  <c r="P1278" i="1"/>
  <c r="O1278" i="1"/>
  <c r="M1278" i="1"/>
  <c r="R1277" i="1"/>
  <c r="Q1277" i="1"/>
  <c r="P1277" i="1"/>
  <c r="O1277" i="1"/>
  <c r="M1277" i="1"/>
  <c r="R1276" i="1"/>
  <c r="Q1276" i="1"/>
  <c r="P1276" i="1"/>
  <c r="O1276" i="1"/>
  <c r="M1276" i="1"/>
  <c r="R1275" i="1"/>
  <c r="Q1275" i="1"/>
  <c r="P1275" i="1"/>
  <c r="O1275" i="1"/>
  <c r="M1275" i="1"/>
  <c r="R1274" i="1"/>
  <c r="Q1274" i="1"/>
  <c r="P1274" i="1"/>
  <c r="O1274" i="1"/>
  <c r="M1274" i="1"/>
  <c r="R1273" i="1"/>
  <c r="Q1273" i="1"/>
  <c r="P1273" i="1"/>
  <c r="O1273" i="1"/>
  <c r="M1273" i="1"/>
  <c r="R1272" i="1"/>
  <c r="Q1272" i="1"/>
  <c r="P1272" i="1"/>
  <c r="O1272" i="1"/>
  <c r="M1272" i="1"/>
  <c r="R1271" i="1"/>
  <c r="Q1271" i="1"/>
  <c r="P1271" i="1"/>
  <c r="O1271" i="1"/>
  <c r="M1271" i="1"/>
  <c r="R1270" i="1"/>
  <c r="Q1270" i="1"/>
  <c r="P1270" i="1"/>
  <c r="O1270" i="1"/>
  <c r="M1270" i="1"/>
  <c r="R1269" i="1"/>
  <c r="Q1269" i="1"/>
  <c r="P1269" i="1"/>
  <c r="O1269" i="1"/>
  <c r="M1269" i="1"/>
  <c r="R1268" i="1"/>
  <c r="Q1268" i="1"/>
  <c r="P1268" i="1"/>
  <c r="O1268" i="1"/>
  <c r="M1268" i="1"/>
  <c r="R1267" i="1"/>
  <c r="Q1267" i="1"/>
  <c r="P1267" i="1"/>
  <c r="O1267" i="1"/>
  <c r="M1267" i="1"/>
  <c r="R1266" i="1"/>
  <c r="Q1266" i="1"/>
  <c r="P1266" i="1"/>
  <c r="O1266" i="1"/>
  <c r="M1266" i="1"/>
  <c r="R1265" i="1"/>
  <c r="Q1265" i="1"/>
  <c r="P1265" i="1"/>
  <c r="O1265" i="1"/>
  <c r="M1265" i="1"/>
  <c r="R1264" i="1"/>
  <c r="Q1264" i="1"/>
  <c r="P1264" i="1"/>
  <c r="O1264" i="1"/>
  <c r="M1264" i="1"/>
  <c r="R1263" i="1"/>
  <c r="Q1263" i="1"/>
  <c r="P1263" i="1"/>
  <c r="O1263" i="1"/>
  <c r="M1263" i="1"/>
  <c r="R1262" i="1"/>
  <c r="Q1262" i="1"/>
  <c r="P1262" i="1"/>
  <c r="O1262" i="1"/>
  <c r="M1262" i="1"/>
  <c r="R1261" i="1"/>
  <c r="Q1261" i="1"/>
  <c r="P1261" i="1"/>
  <c r="O1261" i="1"/>
  <c r="M1261" i="1"/>
  <c r="R1260" i="1"/>
  <c r="Q1260" i="1"/>
  <c r="P1260" i="1"/>
  <c r="O1260" i="1"/>
  <c r="M1260" i="1"/>
  <c r="R1259" i="1"/>
  <c r="Q1259" i="1"/>
  <c r="P1259" i="1"/>
  <c r="O1259" i="1"/>
  <c r="M1259" i="1"/>
  <c r="R1258" i="1"/>
  <c r="Q1258" i="1"/>
  <c r="P1258" i="1"/>
  <c r="O1258" i="1"/>
  <c r="M1258" i="1"/>
  <c r="R1257" i="1"/>
  <c r="Q1257" i="1"/>
  <c r="P1257" i="1"/>
  <c r="O1257" i="1"/>
  <c r="M1257" i="1"/>
  <c r="R1256" i="1"/>
  <c r="Q1256" i="1"/>
  <c r="P1256" i="1"/>
  <c r="O1256" i="1"/>
  <c r="M1256" i="1"/>
  <c r="R1255" i="1"/>
  <c r="Q1255" i="1"/>
  <c r="P1255" i="1"/>
  <c r="O1255" i="1"/>
  <c r="M1255" i="1"/>
  <c r="R1254" i="1"/>
  <c r="Q1254" i="1"/>
  <c r="P1254" i="1"/>
  <c r="O1254" i="1"/>
  <c r="M1254" i="1"/>
  <c r="R1253" i="1"/>
  <c r="Q1253" i="1"/>
  <c r="P1253" i="1"/>
  <c r="O1253" i="1"/>
  <c r="M1253" i="1"/>
  <c r="R1252" i="1"/>
  <c r="Q1252" i="1"/>
  <c r="P1252" i="1"/>
  <c r="O1252" i="1"/>
  <c r="M1252" i="1"/>
  <c r="R1251" i="1"/>
  <c r="Q1251" i="1"/>
  <c r="P1251" i="1"/>
  <c r="O1251" i="1"/>
  <c r="M1251" i="1"/>
  <c r="R1250" i="1"/>
  <c r="Q1250" i="1"/>
  <c r="P1250" i="1"/>
  <c r="O1250" i="1"/>
  <c r="M1250" i="1"/>
  <c r="R1249" i="1"/>
  <c r="Q1249" i="1"/>
  <c r="P1249" i="1"/>
  <c r="O1249" i="1"/>
  <c r="M1249" i="1"/>
  <c r="R1248" i="1"/>
  <c r="Q1248" i="1"/>
  <c r="P1248" i="1"/>
  <c r="O1248" i="1"/>
  <c r="M1248" i="1"/>
  <c r="R1247" i="1"/>
  <c r="Q1247" i="1"/>
  <c r="P1247" i="1"/>
  <c r="O1247" i="1"/>
  <c r="M1247" i="1"/>
  <c r="R1246" i="1"/>
  <c r="Q1246" i="1"/>
  <c r="P1246" i="1"/>
  <c r="O1246" i="1"/>
  <c r="M1246" i="1"/>
  <c r="R1245" i="1"/>
  <c r="Q1245" i="1"/>
  <c r="P1245" i="1"/>
  <c r="O1245" i="1"/>
  <c r="M1245" i="1"/>
  <c r="R1244" i="1"/>
  <c r="Q1244" i="1"/>
  <c r="P1244" i="1"/>
  <c r="O1244" i="1"/>
  <c r="M1244" i="1"/>
  <c r="R1243" i="1"/>
  <c r="Q1243" i="1"/>
  <c r="P1243" i="1"/>
  <c r="O1243" i="1"/>
  <c r="M1243" i="1"/>
  <c r="R1242" i="1"/>
  <c r="Q1242" i="1"/>
  <c r="P1242" i="1"/>
  <c r="O1242" i="1"/>
  <c r="M1242" i="1"/>
  <c r="R1241" i="1"/>
  <c r="Q1241" i="1"/>
  <c r="P1241" i="1"/>
  <c r="O1241" i="1"/>
  <c r="M1241" i="1"/>
  <c r="R1240" i="1"/>
  <c r="Q1240" i="1"/>
  <c r="P1240" i="1"/>
  <c r="O1240" i="1"/>
  <c r="M1240" i="1"/>
  <c r="R1239" i="1"/>
  <c r="Q1239" i="1"/>
  <c r="P1239" i="1"/>
  <c r="O1239" i="1"/>
  <c r="M1239" i="1"/>
  <c r="R1238" i="1"/>
  <c r="Q1238" i="1"/>
  <c r="P1238" i="1"/>
  <c r="O1238" i="1"/>
  <c r="M1238" i="1"/>
  <c r="R1237" i="1"/>
  <c r="Q1237" i="1"/>
  <c r="P1237" i="1"/>
  <c r="O1237" i="1"/>
  <c r="M1237" i="1"/>
  <c r="R1236" i="1"/>
  <c r="Q1236" i="1"/>
  <c r="P1236" i="1"/>
  <c r="O1236" i="1"/>
  <c r="M1236" i="1"/>
  <c r="R1235" i="1"/>
  <c r="Q1235" i="1"/>
  <c r="P1235" i="1"/>
  <c r="O1235" i="1"/>
  <c r="M1235" i="1"/>
  <c r="R1234" i="1"/>
  <c r="Q1234" i="1"/>
  <c r="P1234" i="1"/>
  <c r="O1234" i="1"/>
  <c r="M1234" i="1"/>
  <c r="R1233" i="1"/>
  <c r="Q1233" i="1"/>
  <c r="P1233" i="1"/>
  <c r="O1233" i="1"/>
  <c r="M1233" i="1"/>
  <c r="R1232" i="1"/>
  <c r="Q1232" i="1"/>
  <c r="P1232" i="1"/>
  <c r="O1232" i="1"/>
  <c r="M1232" i="1"/>
  <c r="R1231" i="1"/>
  <c r="Q1231" i="1"/>
  <c r="P1231" i="1"/>
  <c r="O1231" i="1"/>
  <c r="M1231" i="1"/>
  <c r="R1230" i="1"/>
  <c r="Q1230" i="1"/>
  <c r="P1230" i="1"/>
  <c r="O1230" i="1"/>
  <c r="M1230" i="1"/>
  <c r="R1229" i="1"/>
  <c r="Q1229" i="1"/>
  <c r="P1229" i="1"/>
  <c r="O1229" i="1"/>
  <c r="M1229" i="1"/>
  <c r="R1228" i="1"/>
  <c r="Q1228" i="1"/>
  <c r="P1228" i="1"/>
  <c r="O1228" i="1"/>
  <c r="M1228" i="1"/>
  <c r="R1227" i="1"/>
  <c r="Q1227" i="1"/>
  <c r="P1227" i="1"/>
  <c r="O1227" i="1"/>
  <c r="M1227" i="1"/>
  <c r="R1226" i="1"/>
  <c r="Q1226" i="1"/>
  <c r="P1226" i="1"/>
  <c r="O1226" i="1"/>
  <c r="M1226" i="1"/>
  <c r="R1225" i="1"/>
  <c r="Q1225" i="1"/>
  <c r="P1225" i="1"/>
  <c r="O1225" i="1"/>
  <c r="M1225" i="1"/>
  <c r="R1224" i="1"/>
  <c r="Q1224" i="1"/>
  <c r="P1224" i="1"/>
  <c r="O1224" i="1"/>
  <c r="M1224" i="1"/>
  <c r="R1223" i="1"/>
  <c r="Q1223" i="1"/>
  <c r="P1223" i="1"/>
  <c r="O1223" i="1"/>
  <c r="M1223" i="1"/>
  <c r="R1222" i="1"/>
  <c r="Q1222" i="1"/>
  <c r="P1222" i="1"/>
  <c r="O1222" i="1"/>
  <c r="M1222" i="1"/>
  <c r="R1221" i="1"/>
  <c r="Q1221" i="1"/>
  <c r="P1221" i="1"/>
  <c r="O1221" i="1"/>
  <c r="M1221" i="1"/>
  <c r="R1220" i="1"/>
  <c r="Q1220" i="1"/>
  <c r="P1220" i="1"/>
  <c r="O1220" i="1"/>
  <c r="M1220" i="1"/>
  <c r="R1219" i="1"/>
  <c r="Q1219" i="1"/>
  <c r="P1219" i="1"/>
  <c r="O1219" i="1"/>
  <c r="M1219" i="1"/>
  <c r="R1218" i="1"/>
  <c r="Q1218" i="1"/>
  <c r="P1218" i="1"/>
  <c r="O1218" i="1"/>
  <c r="M1218" i="1"/>
  <c r="R1217" i="1"/>
  <c r="Q1217" i="1"/>
  <c r="P1217" i="1"/>
  <c r="O1217" i="1"/>
  <c r="M1217" i="1"/>
  <c r="R1216" i="1"/>
  <c r="Q1216" i="1"/>
  <c r="P1216" i="1"/>
  <c r="O1216" i="1"/>
  <c r="M1216" i="1"/>
  <c r="R1215" i="1"/>
  <c r="Q1215" i="1"/>
  <c r="P1215" i="1"/>
  <c r="O1215" i="1"/>
  <c r="M1215" i="1"/>
  <c r="R1214" i="1"/>
  <c r="Q1214" i="1"/>
  <c r="P1214" i="1"/>
  <c r="O1214" i="1"/>
  <c r="M1214" i="1"/>
  <c r="R1213" i="1"/>
  <c r="Q1213" i="1"/>
  <c r="P1213" i="1"/>
  <c r="O1213" i="1"/>
  <c r="M1213" i="1"/>
  <c r="R1212" i="1"/>
  <c r="Q1212" i="1"/>
  <c r="P1212" i="1"/>
  <c r="O1212" i="1"/>
  <c r="M1212" i="1"/>
  <c r="R1211" i="1"/>
  <c r="Q1211" i="1"/>
  <c r="P1211" i="1"/>
  <c r="O1211" i="1"/>
  <c r="M1211" i="1"/>
  <c r="R1210" i="1"/>
  <c r="Q1210" i="1"/>
  <c r="P1210" i="1"/>
  <c r="O1210" i="1"/>
  <c r="M1210" i="1"/>
  <c r="R1209" i="1"/>
  <c r="Q1209" i="1"/>
  <c r="P1209" i="1"/>
  <c r="O1209" i="1"/>
  <c r="M1209" i="1"/>
  <c r="R1208" i="1"/>
  <c r="Q1208" i="1"/>
  <c r="P1208" i="1"/>
  <c r="O1208" i="1"/>
  <c r="M1208" i="1"/>
  <c r="R1207" i="1"/>
  <c r="Q1207" i="1"/>
  <c r="P1207" i="1"/>
  <c r="O1207" i="1"/>
  <c r="M1207" i="1"/>
  <c r="R1206" i="1"/>
  <c r="Q1206" i="1"/>
  <c r="P1206" i="1"/>
  <c r="O1206" i="1"/>
  <c r="M1206" i="1"/>
  <c r="R1205" i="1"/>
  <c r="Q1205" i="1"/>
  <c r="P1205" i="1"/>
  <c r="O1205" i="1"/>
  <c r="M1205" i="1"/>
  <c r="R1204" i="1"/>
  <c r="Q1204" i="1"/>
  <c r="P1204" i="1"/>
  <c r="O1204" i="1"/>
  <c r="M1204" i="1"/>
  <c r="R1203" i="1"/>
  <c r="Q1203" i="1"/>
  <c r="P1203" i="1"/>
  <c r="O1203" i="1"/>
  <c r="M1203" i="1"/>
  <c r="R1202" i="1"/>
  <c r="Q1202" i="1"/>
  <c r="P1202" i="1"/>
  <c r="O1202" i="1"/>
  <c r="M1202" i="1"/>
  <c r="R1201" i="1"/>
  <c r="Q1201" i="1"/>
  <c r="P1201" i="1"/>
  <c r="O1201" i="1"/>
  <c r="M1201" i="1"/>
  <c r="R1200" i="1"/>
  <c r="Q1200" i="1"/>
  <c r="P1200" i="1"/>
  <c r="O1200" i="1"/>
  <c r="M1200" i="1"/>
  <c r="R1199" i="1"/>
  <c r="Q1199" i="1"/>
  <c r="P1199" i="1"/>
  <c r="O1199" i="1"/>
  <c r="M1199" i="1"/>
  <c r="R1198" i="1"/>
  <c r="Q1198" i="1"/>
  <c r="P1198" i="1"/>
  <c r="O1198" i="1"/>
  <c r="M1198" i="1"/>
  <c r="R1197" i="1"/>
  <c r="Q1197" i="1"/>
  <c r="P1197" i="1"/>
  <c r="O1197" i="1"/>
  <c r="M1197" i="1"/>
  <c r="R1196" i="1"/>
  <c r="Q1196" i="1"/>
  <c r="P1196" i="1"/>
  <c r="O1196" i="1"/>
  <c r="M1196" i="1"/>
  <c r="R1195" i="1"/>
  <c r="Q1195" i="1"/>
  <c r="P1195" i="1"/>
  <c r="O1195" i="1"/>
  <c r="M1195" i="1"/>
  <c r="R1194" i="1"/>
  <c r="Q1194" i="1"/>
  <c r="P1194" i="1"/>
  <c r="O1194" i="1"/>
  <c r="M1194" i="1"/>
  <c r="R1193" i="1"/>
  <c r="Q1193" i="1"/>
  <c r="P1193" i="1"/>
  <c r="O1193" i="1"/>
  <c r="M1193" i="1"/>
  <c r="R1192" i="1"/>
  <c r="Q1192" i="1"/>
  <c r="P1192" i="1"/>
  <c r="O1192" i="1"/>
  <c r="M1192" i="1"/>
  <c r="R1191" i="1"/>
  <c r="Q1191" i="1"/>
  <c r="P1191" i="1"/>
  <c r="O1191" i="1"/>
  <c r="M1191" i="1"/>
  <c r="R1190" i="1"/>
  <c r="Q1190" i="1"/>
  <c r="P1190" i="1"/>
  <c r="O1190" i="1"/>
  <c r="M1190" i="1"/>
  <c r="R1189" i="1"/>
  <c r="Q1189" i="1"/>
  <c r="P1189" i="1"/>
  <c r="O1189" i="1"/>
  <c r="M1189" i="1"/>
  <c r="R1188" i="1"/>
  <c r="Q1188" i="1"/>
  <c r="P1188" i="1"/>
  <c r="O1188" i="1"/>
  <c r="M1188" i="1"/>
  <c r="R1187" i="1"/>
  <c r="Q1187" i="1"/>
  <c r="P1187" i="1"/>
  <c r="O1187" i="1"/>
  <c r="M1187" i="1"/>
  <c r="R1186" i="1"/>
  <c r="Q1186" i="1"/>
  <c r="P1186" i="1"/>
  <c r="O1186" i="1"/>
  <c r="M1186" i="1"/>
  <c r="R1185" i="1"/>
  <c r="Q1185" i="1"/>
  <c r="P1185" i="1"/>
  <c r="O1185" i="1"/>
  <c r="M1185" i="1"/>
  <c r="R1184" i="1"/>
  <c r="Q1184" i="1"/>
  <c r="P1184" i="1"/>
  <c r="O1184" i="1"/>
  <c r="M1184" i="1"/>
  <c r="R1183" i="1"/>
  <c r="Q1183" i="1"/>
  <c r="P1183" i="1"/>
  <c r="O1183" i="1"/>
  <c r="M1183" i="1"/>
  <c r="R1182" i="1"/>
  <c r="Q1182" i="1"/>
  <c r="P1182" i="1"/>
  <c r="O1182" i="1"/>
  <c r="M1182" i="1"/>
  <c r="R1181" i="1"/>
  <c r="Q1181" i="1"/>
  <c r="P1181" i="1"/>
  <c r="O1181" i="1"/>
  <c r="M1181" i="1"/>
  <c r="R1180" i="1"/>
  <c r="Q1180" i="1"/>
  <c r="P1180" i="1"/>
  <c r="O1180" i="1"/>
  <c r="M1180" i="1"/>
  <c r="R1179" i="1"/>
  <c r="Q1179" i="1"/>
  <c r="P1179" i="1"/>
  <c r="O1179" i="1"/>
  <c r="M1179" i="1"/>
  <c r="R1178" i="1"/>
  <c r="Q1178" i="1"/>
  <c r="P1178" i="1"/>
  <c r="O1178" i="1"/>
  <c r="M1178" i="1"/>
  <c r="R1177" i="1"/>
  <c r="Q1177" i="1"/>
  <c r="P1177" i="1"/>
  <c r="O1177" i="1"/>
  <c r="M1177" i="1"/>
  <c r="R1176" i="1"/>
  <c r="Q1176" i="1"/>
  <c r="P1176" i="1"/>
  <c r="O1176" i="1"/>
  <c r="M1176" i="1"/>
  <c r="R1175" i="1"/>
  <c r="Q1175" i="1"/>
  <c r="P1175" i="1"/>
  <c r="O1175" i="1"/>
  <c r="M1175" i="1"/>
  <c r="R1174" i="1"/>
  <c r="Q1174" i="1"/>
  <c r="P1174" i="1"/>
  <c r="O1174" i="1"/>
  <c r="M1174" i="1"/>
  <c r="R1173" i="1"/>
  <c r="Q1173" i="1"/>
  <c r="P1173" i="1"/>
  <c r="O1173" i="1"/>
  <c r="M1173" i="1"/>
  <c r="R1172" i="1"/>
  <c r="Q1172" i="1"/>
  <c r="P1172" i="1"/>
  <c r="O1172" i="1"/>
  <c r="M1172" i="1"/>
  <c r="R1171" i="1"/>
  <c r="Q1171" i="1"/>
  <c r="P1171" i="1"/>
  <c r="O1171" i="1"/>
  <c r="M1171" i="1"/>
  <c r="R1170" i="1"/>
  <c r="Q1170" i="1"/>
  <c r="P1170" i="1"/>
  <c r="O1170" i="1"/>
  <c r="M1170" i="1"/>
  <c r="R1169" i="1"/>
  <c r="Q1169" i="1"/>
  <c r="P1169" i="1"/>
  <c r="O1169" i="1"/>
  <c r="M1169" i="1"/>
  <c r="R1168" i="1"/>
  <c r="Q1168" i="1"/>
  <c r="P1168" i="1"/>
  <c r="O1168" i="1"/>
  <c r="M1168" i="1"/>
  <c r="R1167" i="1"/>
  <c r="Q1167" i="1"/>
  <c r="P1167" i="1"/>
  <c r="O1167" i="1"/>
  <c r="M1167" i="1"/>
  <c r="R1166" i="1"/>
  <c r="Q1166" i="1"/>
  <c r="P1166" i="1"/>
  <c r="O1166" i="1"/>
  <c r="M1166" i="1"/>
  <c r="R1165" i="1"/>
  <c r="Q1165" i="1"/>
  <c r="P1165" i="1"/>
  <c r="O1165" i="1"/>
  <c r="M1165" i="1"/>
  <c r="R1164" i="1"/>
  <c r="Q1164" i="1"/>
  <c r="P1164" i="1"/>
  <c r="O1164" i="1"/>
  <c r="M1164" i="1"/>
  <c r="R1163" i="1"/>
  <c r="Q1163" i="1"/>
  <c r="P1163" i="1"/>
  <c r="O1163" i="1"/>
  <c r="M1163" i="1"/>
  <c r="R1162" i="1"/>
  <c r="Q1162" i="1"/>
  <c r="P1162" i="1"/>
  <c r="O1162" i="1"/>
  <c r="M1162" i="1"/>
  <c r="R1161" i="1"/>
  <c r="Q1161" i="1"/>
  <c r="P1161" i="1"/>
  <c r="O1161" i="1"/>
  <c r="M1161" i="1"/>
  <c r="R1160" i="1"/>
  <c r="Q1160" i="1"/>
  <c r="P1160" i="1"/>
  <c r="O1160" i="1"/>
  <c r="M1160" i="1"/>
  <c r="R1159" i="1"/>
  <c r="Q1159" i="1"/>
  <c r="P1159" i="1"/>
  <c r="O1159" i="1"/>
  <c r="M1159" i="1"/>
  <c r="R1158" i="1"/>
  <c r="Q1158" i="1"/>
  <c r="P1158" i="1"/>
  <c r="O1158" i="1"/>
  <c r="M1158" i="1"/>
  <c r="R1157" i="1"/>
  <c r="Q1157" i="1"/>
  <c r="P1157" i="1"/>
  <c r="O1157" i="1"/>
  <c r="M1157" i="1"/>
  <c r="R1156" i="1"/>
  <c r="Q1156" i="1"/>
  <c r="P1156" i="1"/>
  <c r="O1156" i="1"/>
  <c r="M1156" i="1"/>
  <c r="R1155" i="1"/>
  <c r="Q1155" i="1"/>
  <c r="P1155" i="1"/>
  <c r="O1155" i="1"/>
  <c r="M1155" i="1"/>
  <c r="R1154" i="1"/>
  <c r="Q1154" i="1"/>
  <c r="P1154" i="1"/>
  <c r="O1154" i="1"/>
  <c r="M1154" i="1"/>
  <c r="R1153" i="1"/>
  <c r="Q1153" i="1"/>
  <c r="P1153" i="1"/>
  <c r="O1153" i="1"/>
  <c r="M1153" i="1"/>
  <c r="R1152" i="1"/>
  <c r="Q1152" i="1"/>
  <c r="P1152" i="1"/>
  <c r="O1152" i="1"/>
  <c r="M1152" i="1"/>
  <c r="R1151" i="1"/>
  <c r="Q1151" i="1"/>
  <c r="P1151" i="1"/>
  <c r="O1151" i="1"/>
  <c r="M1151" i="1"/>
  <c r="R1150" i="1"/>
  <c r="Q1150" i="1"/>
  <c r="P1150" i="1"/>
  <c r="O1150" i="1"/>
  <c r="M1150" i="1"/>
  <c r="R1149" i="1"/>
  <c r="Q1149" i="1"/>
  <c r="P1149" i="1"/>
  <c r="O1149" i="1"/>
  <c r="M1149" i="1"/>
  <c r="R1148" i="1"/>
  <c r="Q1148" i="1"/>
  <c r="P1148" i="1"/>
  <c r="O1148" i="1"/>
  <c r="M1148" i="1"/>
  <c r="R1147" i="1"/>
  <c r="Q1147" i="1"/>
  <c r="P1147" i="1"/>
  <c r="O1147" i="1"/>
  <c r="M1147" i="1"/>
  <c r="R1146" i="1"/>
  <c r="Q1146" i="1"/>
  <c r="P1146" i="1"/>
  <c r="O1146" i="1"/>
  <c r="M1146" i="1"/>
  <c r="R1145" i="1"/>
  <c r="Q1145" i="1"/>
  <c r="P1145" i="1"/>
  <c r="O1145" i="1"/>
  <c r="M1145" i="1"/>
  <c r="R1144" i="1"/>
  <c r="Q1144" i="1"/>
  <c r="P1144" i="1"/>
  <c r="O1144" i="1"/>
  <c r="M1144" i="1"/>
  <c r="R1143" i="1"/>
  <c r="Q1143" i="1"/>
  <c r="P1143" i="1"/>
  <c r="O1143" i="1"/>
  <c r="M1143" i="1"/>
  <c r="R1142" i="1"/>
  <c r="Q1142" i="1"/>
  <c r="P1142" i="1"/>
  <c r="O1142" i="1"/>
  <c r="M1142" i="1"/>
  <c r="R1141" i="1"/>
  <c r="Q1141" i="1"/>
  <c r="P1141" i="1"/>
  <c r="O1141" i="1"/>
  <c r="M1141" i="1"/>
  <c r="R1140" i="1"/>
  <c r="Q1140" i="1"/>
  <c r="P1140" i="1"/>
  <c r="O1140" i="1"/>
  <c r="M1140" i="1"/>
  <c r="R1139" i="1"/>
  <c r="Q1139" i="1"/>
  <c r="P1139" i="1"/>
  <c r="O1139" i="1"/>
  <c r="M1139" i="1"/>
  <c r="R1138" i="1"/>
  <c r="Q1138" i="1"/>
  <c r="P1138" i="1"/>
  <c r="O1138" i="1"/>
  <c r="M1138" i="1"/>
  <c r="R1137" i="1"/>
  <c r="Q1137" i="1"/>
  <c r="P1137" i="1"/>
  <c r="O1137" i="1"/>
  <c r="M1137" i="1"/>
  <c r="R1136" i="1"/>
  <c r="Q1136" i="1"/>
  <c r="P1136" i="1"/>
  <c r="O1136" i="1"/>
  <c r="M1136" i="1"/>
  <c r="R1135" i="1"/>
  <c r="Q1135" i="1"/>
  <c r="P1135" i="1"/>
  <c r="O1135" i="1"/>
  <c r="M1135" i="1"/>
  <c r="R1134" i="1"/>
  <c r="Q1134" i="1"/>
  <c r="P1134" i="1"/>
  <c r="O1134" i="1"/>
  <c r="M1134" i="1"/>
  <c r="R1133" i="1"/>
  <c r="Q1133" i="1"/>
  <c r="P1133" i="1"/>
  <c r="O1133" i="1"/>
  <c r="M1133" i="1"/>
  <c r="R1132" i="1"/>
  <c r="Q1132" i="1"/>
  <c r="P1132" i="1"/>
  <c r="O1132" i="1"/>
  <c r="M1132" i="1"/>
  <c r="R1131" i="1"/>
  <c r="Q1131" i="1"/>
  <c r="P1131" i="1"/>
  <c r="O1131" i="1"/>
  <c r="M1131" i="1"/>
  <c r="R1130" i="1"/>
  <c r="Q1130" i="1"/>
  <c r="P1130" i="1"/>
  <c r="O1130" i="1"/>
  <c r="M1130" i="1"/>
  <c r="R1129" i="1"/>
  <c r="Q1129" i="1"/>
  <c r="P1129" i="1"/>
  <c r="O1129" i="1"/>
  <c r="M1129" i="1"/>
  <c r="R1128" i="1"/>
  <c r="Q1128" i="1"/>
  <c r="P1128" i="1"/>
  <c r="O1128" i="1"/>
  <c r="M1128" i="1"/>
  <c r="R1127" i="1"/>
  <c r="Q1127" i="1"/>
  <c r="P1127" i="1"/>
  <c r="O1127" i="1"/>
  <c r="M1127" i="1"/>
  <c r="R1126" i="1"/>
  <c r="Q1126" i="1"/>
  <c r="P1126" i="1"/>
  <c r="O1126" i="1"/>
  <c r="M1126" i="1"/>
  <c r="R1125" i="1"/>
  <c r="Q1125" i="1"/>
  <c r="P1125" i="1"/>
  <c r="O1125" i="1"/>
  <c r="M1125" i="1"/>
  <c r="R1124" i="1"/>
  <c r="Q1124" i="1"/>
  <c r="P1124" i="1"/>
  <c r="O1124" i="1"/>
  <c r="M1124" i="1"/>
  <c r="R1123" i="1"/>
  <c r="Q1123" i="1"/>
  <c r="P1123" i="1"/>
  <c r="O1123" i="1"/>
  <c r="M1123" i="1"/>
  <c r="R1122" i="1"/>
  <c r="Q1122" i="1"/>
  <c r="P1122" i="1"/>
  <c r="O1122" i="1"/>
  <c r="M1122" i="1"/>
  <c r="R1121" i="1"/>
  <c r="Q1121" i="1"/>
  <c r="P1121" i="1"/>
  <c r="O1121" i="1"/>
  <c r="M1121" i="1"/>
  <c r="R1120" i="1"/>
  <c r="Q1120" i="1"/>
  <c r="P1120" i="1"/>
  <c r="O1120" i="1"/>
  <c r="M1120" i="1"/>
  <c r="R1119" i="1"/>
  <c r="Q1119" i="1"/>
  <c r="P1119" i="1"/>
  <c r="O1119" i="1"/>
  <c r="M1119" i="1"/>
  <c r="R1118" i="1"/>
  <c r="Q1118" i="1"/>
  <c r="P1118" i="1"/>
  <c r="O1118" i="1"/>
  <c r="M1118" i="1"/>
  <c r="R1117" i="1"/>
  <c r="Q1117" i="1"/>
  <c r="P1117" i="1"/>
  <c r="O1117" i="1"/>
  <c r="M1117" i="1"/>
  <c r="R1116" i="1"/>
  <c r="Q1116" i="1"/>
  <c r="P1116" i="1"/>
  <c r="O1116" i="1"/>
  <c r="M1116" i="1"/>
  <c r="R1115" i="1"/>
  <c r="Q1115" i="1"/>
  <c r="P1115" i="1"/>
  <c r="O1115" i="1"/>
  <c r="M1115" i="1"/>
  <c r="R1114" i="1"/>
  <c r="Q1114" i="1"/>
  <c r="P1114" i="1"/>
  <c r="O1114" i="1"/>
  <c r="M1114" i="1"/>
  <c r="R1113" i="1"/>
  <c r="Q1113" i="1"/>
  <c r="P1113" i="1"/>
  <c r="O1113" i="1"/>
  <c r="M1113" i="1"/>
  <c r="R1112" i="1"/>
  <c r="Q1112" i="1"/>
  <c r="P1112" i="1"/>
  <c r="O1112" i="1"/>
  <c r="M1112" i="1"/>
  <c r="R1111" i="1"/>
  <c r="Q1111" i="1"/>
  <c r="P1111" i="1"/>
  <c r="O1111" i="1"/>
  <c r="M1111" i="1"/>
  <c r="R1110" i="1"/>
  <c r="Q1110" i="1"/>
  <c r="P1110" i="1"/>
  <c r="O1110" i="1"/>
  <c r="M1110" i="1"/>
  <c r="R1109" i="1"/>
  <c r="Q1109" i="1"/>
  <c r="P1109" i="1"/>
  <c r="O1109" i="1"/>
  <c r="M1109" i="1"/>
  <c r="R1108" i="1"/>
  <c r="Q1108" i="1"/>
  <c r="P1108" i="1"/>
  <c r="O1108" i="1"/>
  <c r="M1108" i="1"/>
  <c r="R1107" i="1"/>
  <c r="Q1107" i="1"/>
  <c r="P1107" i="1"/>
  <c r="O1107" i="1"/>
  <c r="M1107" i="1"/>
  <c r="R1106" i="1"/>
  <c r="Q1106" i="1"/>
  <c r="P1106" i="1"/>
  <c r="O1106" i="1"/>
  <c r="M1106" i="1"/>
  <c r="R1105" i="1"/>
  <c r="Q1105" i="1"/>
  <c r="P1105" i="1"/>
  <c r="O1105" i="1"/>
  <c r="M1105" i="1"/>
  <c r="R1104" i="1"/>
  <c r="Q1104" i="1"/>
  <c r="P1104" i="1"/>
  <c r="O1104" i="1"/>
  <c r="M1104" i="1"/>
  <c r="R1103" i="1"/>
  <c r="Q1103" i="1"/>
  <c r="P1103" i="1"/>
  <c r="O1103" i="1"/>
  <c r="M1103" i="1"/>
  <c r="R1102" i="1"/>
  <c r="Q1102" i="1"/>
  <c r="P1102" i="1"/>
  <c r="O1102" i="1"/>
  <c r="M1102" i="1"/>
  <c r="R1101" i="1"/>
  <c r="Q1101" i="1"/>
  <c r="P1101" i="1"/>
  <c r="O1101" i="1"/>
  <c r="M1101" i="1"/>
  <c r="R1100" i="1"/>
  <c r="Q1100" i="1"/>
  <c r="P1100" i="1"/>
  <c r="O1100" i="1"/>
  <c r="M1100" i="1"/>
  <c r="R1099" i="1"/>
  <c r="Q1099" i="1"/>
  <c r="P1099" i="1"/>
  <c r="O1099" i="1"/>
  <c r="M1099" i="1"/>
  <c r="R1098" i="1"/>
  <c r="Q1098" i="1"/>
  <c r="P1098" i="1"/>
  <c r="O1098" i="1"/>
  <c r="M1098" i="1"/>
  <c r="R1097" i="1"/>
  <c r="Q1097" i="1"/>
  <c r="P1097" i="1"/>
  <c r="O1097" i="1"/>
  <c r="M1097" i="1"/>
  <c r="R1096" i="1"/>
  <c r="Q1096" i="1"/>
  <c r="P1096" i="1"/>
  <c r="O1096" i="1"/>
  <c r="M1096" i="1"/>
  <c r="R1095" i="1"/>
  <c r="Q1095" i="1"/>
  <c r="P1095" i="1"/>
  <c r="O1095" i="1"/>
  <c r="M1095" i="1"/>
  <c r="R1094" i="1"/>
  <c r="Q1094" i="1"/>
  <c r="P1094" i="1"/>
  <c r="O1094" i="1"/>
  <c r="M1094" i="1"/>
  <c r="R1093" i="1"/>
  <c r="Q1093" i="1"/>
  <c r="P1093" i="1"/>
  <c r="O1093" i="1"/>
  <c r="M1093" i="1"/>
  <c r="R1092" i="1"/>
  <c r="Q1092" i="1"/>
  <c r="P1092" i="1"/>
  <c r="O1092" i="1"/>
  <c r="M1092" i="1"/>
  <c r="R1091" i="1"/>
  <c r="Q1091" i="1"/>
  <c r="P1091" i="1"/>
  <c r="O1091" i="1"/>
  <c r="M1091" i="1"/>
  <c r="R1090" i="1"/>
  <c r="Q1090" i="1"/>
  <c r="P1090" i="1"/>
  <c r="O1090" i="1"/>
  <c r="M1090" i="1"/>
  <c r="R1089" i="1"/>
  <c r="Q1089" i="1"/>
  <c r="P1089" i="1"/>
  <c r="O1089" i="1"/>
  <c r="M1089" i="1"/>
  <c r="R1088" i="1"/>
  <c r="Q1088" i="1"/>
  <c r="P1088" i="1"/>
  <c r="O1088" i="1"/>
  <c r="M1088" i="1"/>
  <c r="R1087" i="1"/>
  <c r="Q1087" i="1"/>
  <c r="P1087" i="1"/>
  <c r="O1087" i="1"/>
  <c r="M1087" i="1"/>
  <c r="R1086" i="1"/>
  <c r="Q1086" i="1"/>
  <c r="P1086" i="1"/>
  <c r="O1086" i="1"/>
  <c r="M1086" i="1"/>
  <c r="R1085" i="1"/>
  <c r="Q1085" i="1"/>
  <c r="P1085" i="1"/>
  <c r="O1085" i="1"/>
  <c r="M1085" i="1"/>
  <c r="R1084" i="1"/>
  <c r="Q1084" i="1"/>
  <c r="P1084" i="1"/>
  <c r="O1084" i="1"/>
  <c r="M1084" i="1"/>
  <c r="R1083" i="1"/>
  <c r="Q1083" i="1"/>
  <c r="P1083" i="1"/>
  <c r="O1083" i="1"/>
  <c r="M1083" i="1"/>
  <c r="R1082" i="1"/>
  <c r="Q1082" i="1"/>
  <c r="P1082" i="1"/>
  <c r="O1082" i="1"/>
  <c r="M1082" i="1"/>
  <c r="R1081" i="1"/>
  <c r="Q1081" i="1"/>
  <c r="P1081" i="1"/>
  <c r="O1081" i="1"/>
  <c r="M1081" i="1"/>
  <c r="R1080" i="1"/>
  <c r="Q1080" i="1"/>
  <c r="P1080" i="1"/>
  <c r="O1080" i="1"/>
  <c r="M1080" i="1"/>
  <c r="R1079" i="1"/>
  <c r="Q1079" i="1"/>
  <c r="P1079" i="1"/>
  <c r="O1079" i="1"/>
  <c r="M1079" i="1"/>
  <c r="R1078" i="1"/>
  <c r="Q1078" i="1"/>
  <c r="P1078" i="1"/>
  <c r="O1078" i="1"/>
  <c r="M1078" i="1"/>
  <c r="R1077" i="1"/>
  <c r="Q1077" i="1"/>
  <c r="P1077" i="1"/>
  <c r="O1077" i="1"/>
  <c r="M1077" i="1"/>
  <c r="R1076" i="1"/>
  <c r="Q1076" i="1"/>
  <c r="P1076" i="1"/>
  <c r="O1076" i="1"/>
  <c r="M1076" i="1"/>
  <c r="R1075" i="1"/>
  <c r="Q1075" i="1"/>
  <c r="P1075" i="1"/>
  <c r="O1075" i="1"/>
  <c r="M1075" i="1"/>
  <c r="R1074" i="1"/>
  <c r="Q1074" i="1"/>
  <c r="P1074" i="1"/>
  <c r="O1074" i="1"/>
  <c r="M1074" i="1"/>
  <c r="R1073" i="1"/>
  <c r="Q1073" i="1"/>
  <c r="P1073" i="1"/>
  <c r="O1073" i="1"/>
  <c r="M1073" i="1"/>
  <c r="R1072" i="1"/>
  <c r="Q1072" i="1"/>
  <c r="P1072" i="1"/>
  <c r="O1072" i="1"/>
  <c r="M1072" i="1"/>
  <c r="R1071" i="1"/>
  <c r="Q1071" i="1"/>
  <c r="P1071" i="1"/>
  <c r="O1071" i="1"/>
  <c r="M1071" i="1"/>
  <c r="R1070" i="1"/>
  <c r="Q1070" i="1"/>
  <c r="P1070" i="1"/>
  <c r="O1070" i="1"/>
  <c r="M1070" i="1"/>
  <c r="R1069" i="1"/>
  <c r="Q1069" i="1"/>
  <c r="P1069" i="1"/>
  <c r="O1069" i="1"/>
  <c r="M1069" i="1"/>
  <c r="R1068" i="1"/>
  <c r="Q1068" i="1"/>
  <c r="P1068" i="1"/>
  <c r="O1068" i="1"/>
  <c r="M1068" i="1"/>
  <c r="R1067" i="1"/>
  <c r="Q1067" i="1"/>
  <c r="P1067" i="1"/>
  <c r="O1067" i="1"/>
  <c r="M1067" i="1"/>
  <c r="R1066" i="1"/>
  <c r="Q1066" i="1"/>
  <c r="P1066" i="1"/>
  <c r="O1066" i="1"/>
  <c r="M1066" i="1"/>
  <c r="R1065" i="1"/>
  <c r="Q1065" i="1"/>
  <c r="P1065" i="1"/>
  <c r="O1065" i="1"/>
  <c r="M1065" i="1"/>
  <c r="R1064" i="1"/>
  <c r="Q1064" i="1"/>
  <c r="P1064" i="1"/>
  <c r="O1064" i="1"/>
  <c r="M1064" i="1"/>
  <c r="R1063" i="1"/>
  <c r="Q1063" i="1"/>
  <c r="P1063" i="1"/>
  <c r="O1063" i="1"/>
  <c r="M1063" i="1"/>
  <c r="R1062" i="1"/>
  <c r="Q1062" i="1"/>
  <c r="P1062" i="1"/>
  <c r="O1062" i="1"/>
  <c r="M1062" i="1"/>
  <c r="R1061" i="1"/>
  <c r="Q1061" i="1"/>
  <c r="P1061" i="1"/>
  <c r="O1061" i="1"/>
  <c r="M1061" i="1"/>
  <c r="R1060" i="1"/>
  <c r="Q1060" i="1"/>
  <c r="P1060" i="1"/>
  <c r="O1060" i="1"/>
  <c r="M1060" i="1"/>
  <c r="R1059" i="1"/>
  <c r="Q1059" i="1"/>
  <c r="P1059" i="1"/>
  <c r="O1059" i="1"/>
  <c r="M1059" i="1"/>
  <c r="R1058" i="1"/>
  <c r="Q1058" i="1"/>
  <c r="P1058" i="1"/>
  <c r="O1058" i="1"/>
  <c r="M1058" i="1"/>
  <c r="R1057" i="1"/>
  <c r="Q1057" i="1"/>
  <c r="P1057" i="1"/>
  <c r="O1057" i="1"/>
  <c r="M1057" i="1"/>
  <c r="R1056" i="1"/>
  <c r="Q1056" i="1"/>
  <c r="P1056" i="1"/>
  <c r="O1056" i="1"/>
  <c r="M1056" i="1"/>
  <c r="R1055" i="1"/>
  <c r="Q1055" i="1"/>
  <c r="P1055" i="1"/>
  <c r="O1055" i="1"/>
  <c r="M1055" i="1"/>
  <c r="R1054" i="1"/>
  <c r="Q1054" i="1"/>
  <c r="P1054" i="1"/>
  <c r="O1054" i="1"/>
  <c r="M1054" i="1"/>
  <c r="R1053" i="1"/>
  <c r="Q1053" i="1"/>
  <c r="P1053" i="1"/>
  <c r="O1053" i="1"/>
  <c r="M1053" i="1"/>
  <c r="R1052" i="1"/>
  <c r="Q1052" i="1"/>
  <c r="P1052" i="1"/>
  <c r="O1052" i="1"/>
  <c r="M1052" i="1"/>
  <c r="R1051" i="1"/>
  <c r="Q1051" i="1"/>
  <c r="P1051" i="1"/>
  <c r="O1051" i="1"/>
  <c r="M1051" i="1"/>
  <c r="R1050" i="1"/>
  <c r="Q1050" i="1"/>
  <c r="P1050" i="1"/>
  <c r="O1050" i="1"/>
  <c r="M1050" i="1"/>
  <c r="R1049" i="1"/>
  <c r="Q1049" i="1"/>
  <c r="P1049" i="1"/>
  <c r="O1049" i="1"/>
  <c r="M1049" i="1"/>
  <c r="R1048" i="1"/>
  <c r="Q1048" i="1"/>
  <c r="P1048" i="1"/>
  <c r="O1048" i="1"/>
  <c r="M1048" i="1"/>
  <c r="R1047" i="1"/>
  <c r="Q1047" i="1"/>
  <c r="P1047" i="1"/>
  <c r="O1047" i="1"/>
  <c r="M1047" i="1"/>
  <c r="R1046" i="1"/>
  <c r="Q1046" i="1"/>
  <c r="P1046" i="1"/>
  <c r="O1046" i="1"/>
  <c r="M1046" i="1"/>
  <c r="R1045" i="1"/>
  <c r="Q1045" i="1"/>
  <c r="P1045" i="1"/>
  <c r="O1045" i="1"/>
  <c r="M1045" i="1"/>
  <c r="R1044" i="1"/>
  <c r="Q1044" i="1"/>
  <c r="P1044" i="1"/>
  <c r="O1044" i="1"/>
  <c r="M1044" i="1"/>
  <c r="R1043" i="1"/>
  <c r="Q1043" i="1"/>
  <c r="P1043" i="1"/>
  <c r="O1043" i="1"/>
  <c r="M1043" i="1"/>
  <c r="R1042" i="1"/>
  <c r="Q1042" i="1"/>
  <c r="P1042" i="1"/>
  <c r="O1042" i="1"/>
  <c r="M1042" i="1"/>
  <c r="R1041" i="1"/>
  <c r="Q1041" i="1"/>
  <c r="P1041" i="1"/>
  <c r="O1041" i="1"/>
  <c r="M1041" i="1"/>
  <c r="R1040" i="1"/>
  <c r="Q1040" i="1"/>
  <c r="P1040" i="1"/>
  <c r="O1040" i="1"/>
  <c r="M1040" i="1"/>
  <c r="R1039" i="1"/>
  <c r="Q1039" i="1"/>
  <c r="P1039" i="1"/>
  <c r="O1039" i="1"/>
  <c r="M1039" i="1"/>
  <c r="R1038" i="1"/>
  <c r="Q1038" i="1"/>
  <c r="P1038" i="1"/>
  <c r="O1038" i="1"/>
  <c r="M1038" i="1"/>
  <c r="R1037" i="1"/>
  <c r="Q1037" i="1"/>
  <c r="P1037" i="1"/>
  <c r="O1037" i="1"/>
  <c r="M1037" i="1"/>
  <c r="R1036" i="1"/>
  <c r="Q1036" i="1"/>
  <c r="P1036" i="1"/>
  <c r="O1036" i="1"/>
  <c r="M1036" i="1"/>
  <c r="R1035" i="1"/>
  <c r="Q1035" i="1"/>
  <c r="P1035" i="1"/>
  <c r="O1035" i="1"/>
  <c r="M1035" i="1"/>
  <c r="R1034" i="1"/>
  <c r="Q1034" i="1"/>
  <c r="P1034" i="1"/>
  <c r="O1034" i="1"/>
  <c r="M1034" i="1"/>
  <c r="R1033" i="1"/>
  <c r="Q1033" i="1"/>
  <c r="P1033" i="1"/>
  <c r="O1033" i="1"/>
  <c r="M1033" i="1"/>
  <c r="R1032" i="1"/>
  <c r="Q1032" i="1"/>
  <c r="P1032" i="1"/>
  <c r="O1032" i="1"/>
  <c r="M1032" i="1"/>
  <c r="R1031" i="1"/>
  <c r="Q1031" i="1"/>
  <c r="P1031" i="1"/>
  <c r="O1031" i="1"/>
  <c r="M1031" i="1"/>
  <c r="R1030" i="1"/>
  <c r="Q1030" i="1"/>
  <c r="P1030" i="1"/>
  <c r="O1030" i="1"/>
  <c r="M1030" i="1"/>
  <c r="R1029" i="1"/>
  <c r="Q1029" i="1"/>
  <c r="P1029" i="1"/>
  <c r="O1029" i="1"/>
  <c r="M1029" i="1"/>
  <c r="R1028" i="1"/>
  <c r="Q1028" i="1"/>
  <c r="P1028" i="1"/>
  <c r="O1028" i="1"/>
  <c r="M1028" i="1"/>
  <c r="R1027" i="1"/>
  <c r="Q1027" i="1"/>
  <c r="P1027" i="1"/>
  <c r="O1027" i="1"/>
  <c r="M1027" i="1"/>
  <c r="R1026" i="1"/>
  <c r="Q1026" i="1"/>
  <c r="P1026" i="1"/>
  <c r="O1026" i="1"/>
  <c r="M1026" i="1"/>
  <c r="R1025" i="1"/>
  <c r="Q1025" i="1"/>
  <c r="P1025" i="1"/>
  <c r="O1025" i="1"/>
  <c r="M1025" i="1"/>
  <c r="R1024" i="1"/>
  <c r="Q1024" i="1"/>
  <c r="P1024" i="1"/>
  <c r="O1024" i="1"/>
  <c r="M1024" i="1"/>
  <c r="R1023" i="1"/>
  <c r="Q1023" i="1"/>
  <c r="P1023" i="1"/>
  <c r="O1023" i="1"/>
  <c r="M1023" i="1"/>
  <c r="R1022" i="1"/>
  <c r="Q1022" i="1"/>
  <c r="P1022" i="1"/>
  <c r="O1022" i="1"/>
  <c r="M1022" i="1"/>
  <c r="R1021" i="1"/>
  <c r="Q1021" i="1"/>
  <c r="P1021" i="1"/>
  <c r="O1021" i="1"/>
  <c r="M1021" i="1"/>
  <c r="R1020" i="1"/>
  <c r="Q1020" i="1"/>
  <c r="P1020" i="1"/>
  <c r="O1020" i="1"/>
  <c r="M1020" i="1"/>
  <c r="R1019" i="1"/>
  <c r="Q1019" i="1"/>
  <c r="P1019" i="1"/>
  <c r="O1019" i="1"/>
  <c r="M1019" i="1"/>
  <c r="R1018" i="1"/>
  <c r="Q1018" i="1"/>
  <c r="P1018" i="1"/>
  <c r="O1018" i="1"/>
  <c r="M1018" i="1"/>
  <c r="R1017" i="1"/>
  <c r="Q1017" i="1"/>
  <c r="P1017" i="1"/>
  <c r="O1017" i="1"/>
  <c r="M1017" i="1"/>
  <c r="R1016" i="1"/>
  <c r="Q1016" i="1"/>
  <c r="P1016" i="1"/>
  <c r="O1016" i="1"/>
  <c r="M1016" i="1"/>
  <c r="R1015" i="1"/>
  <c r="Q1015" i="1"/>
  <c r="P1015" i="1"/>
  <c r="O1015" i="1"/>
  <c r="M1015" i="1"/>
  <c r="R1014" i="1"/>
  <c r="Q1014" i="1"/>
  <c r="P1014" i="1"/>
  <c r="O1014" i="1"/>
  <c r="M1014" i="1"/>
  <c r="R1013" i="1"/>
  <c r="Q1013" i="1"/>
  <c r="P1013" i="1"/>
  <c r="O1013" i="1"/>
  <c r="M1013" i="1"/>
  <c r="R1012" i="1"/>
  <c r="Q1012" i="1"/>
  <c r="P1012" i="1"/>
  <c r="O1012" i="1"/>
  <c r="M1012" i="1"/>
  <c r="R1011" i="1"/>
  <c r="Q1011" i="1"/>
  <c r="P1011" i="1"/>
  <c r="O1011" i="1"/>
  <c r="M1011" i="1"/>
  <c r="R1010" i="1"/>
  <c r="Q1010" i="1"/>
  <c r="P1010" i="1"/>
  <c r="O1010" i="1"/>
  <c r="M1010" i="1"/>
  <c r="R1009" i="1"/>
  <c r="Q1009" i="1"/>
  <c r="P1009" i="1"/>
  <c r="O1009" i="1"/>
  <c r="M1009" i="1"/>
  <c r="R1008" i="1"/>
  <c r="Q1008" i="1"/>
  <c r="P1008" i="1"/>
  <c r="O1008" i="1"/>
  <c r="M1008" i="1"/>
  <c r="R1007" i="1"/>
  <c r="Q1007" i="1"/>
  <c r="P1007" i="1"/>
  <c r="O1007" i="1"/>
  <c r="M1007" i="1"/>
  <c r="R1006" i="1"/>
  <c r="Q1006" i="1"/>
  <c r="P1006" i="1"/>
  <c r="O1006" i="1"/>
  <c r="M1006" i="1"/>
  <c r="R1005" i="1"/>
  <c r="Q1005" i="1"/>
  <c r="P1005" i="1"/>
  <c r="O1005" i="1"/>
  <c r="M1005" i="1"/>
  <c r="R1004" i="1"/>
  <c r="Q1004" i="1"/>
  <c r="P1004" i="1"/>
  <c r="O1004" i="1"/>
  <c r="M1004" i="1"/>
  <c r="R1003" i="1"/>
  <c r="Q1003" i="1"/>
  <c r="P1003" i="1"/>
  <c r="O1003" i="1"/>
  <c r="M1003" i="1"/>
  <c r="R1002" i="1"/>
  <c r="Q1002" i="1"/>
  <c r="P1002" i="1"/>
  <c r="O1002" i="1"/>
  <c r="M1002" i="1"/>
  <c r="R1001" i="1"/>
  <c r="Q1001" i="1"/>
  <c r="P1001" i="1"/>
  <c r="O1001" i="1"/>
  <c r="M1001" i="1"/>
  <c r="R1000" i="1"/>
  <c r="Q1000" i="1"/>
  <c r="P1000" i="1"/>
  <c r="O1000" i="1"/>
  <c r="M1000" i="1"/>
  <c r="R999" i="1"/>
  <c r="Q999" i="1"/>
  <c r="P999" i="1"/>
  <c r="O999" i="1"/>
  <c r="M999" i="1"/>
  <c r="R998" i="1"/>
  <c r="Q998" i="1"/>
  <c r="P998" i="1"/>
  <c r="O998" i="1"/>
  <c r="M998" i="1"/>
  <c r="R997" i="1"/>
  <c r="Q997" i="1"/>
  <c r="P997" i="1"/>
  <c r="O997" i="1"/>
  <c r="M997" i="1"/>
  <c r="R996" i="1"/>
  <c r="Q996" i="1"/>
  <c r="P996" i="1"/>
  <c r="O996" i="1"/>
  <c r="M996" i="1"/>
  <c r="R995" i="1"/>
  <c r="Q995" i="1"/>
  <c r="P995" i="1"/>
  <c r="O995" i="1"/>
  <c r="M995" i="1"/>
  <c r="R994" i="1"/>
  <c r="Q994" i="1"/>
  <c r="P994" i="1"/>
  <c r="O994" i="1"/>
  <c r="M994" i="1"/>
  <c r="R993" i="1"/>
  <c r="Q993" i="1"/>
  <c r="P993" i="1"/>
  <c r="O993" i="1"/>
  <c r="M993" i="1"/>
  <c r="R992" i="1"/>
  <c r="Q992" i="1"/>
  <c r="P992" i="1"/>
  <c r="O992" i="1"/>
  <c r="M992" i="1"/>
  <c r="R991" i="1"/>
  <c r="Q991" i="1"/>
  <c r="P991" i="1"/>
  <c r="O991" i="1"/>
  <c r="M991" i="1"/>
  <c r="R990" i="1"/>
  <c r="Q990" i="1"/>
  <c r="P990" i="1"/>
  <c r="O990" i="1"/>
  <c r="M990" i="1"/>
  <c r="R989" i="1"/>
  <c r="Q989" i="1"/>
  <c r="P989" i="1"/>
  <c r="O989" i="1"/>
  <c r="M989" i="1"/>
  <c r="R988" i="1"/>
  <c r="Q988" i="1"/>
  <c r="P988" i="1"/>
  <c r="O988" i="1"/>
  <c r="M988" i="1"/>
  <c r="R987" i="1"/>
  <c r="Q987" i="1"/>
  <c r="P987" i="1"/>
  <c r="O987" i="1"/>
  <c r="M987" i="1"/>
  <c r="R986" i="1"/>
  <c r="Q986" i="1"/>
  <c r="P986" i="1"/>
  <c r="O986" i="1"/>
  <c r="M986" i="1"/>
  <c r="R985" i="1"/>
  <c r="Q985" i="1"/>
  <c r="P985" i="1"/>
  <c r="O985" i="1"/>
  <c r="M985" i="1"/>
  <c r="R984" i="1"/>
  <c r="Q984" i="1"/>
  <c r="P984" i="1"/>
  <c r="O984" i="1"/>
  <c r="M984" i="1"/>
  <c r="R983" i="1"/>
  <c r="Q983" i="1"/>
  <c r="P983" i="1"/>
  <c r="O983" i="1"/>
  <c r="M983" i="1"/>
  <c r="R982" i="1"/>
  <c r="Q982" i="1"/>
  <c r="P982" i="1"/>
  <c r="O982" i="1"/>
  <c r="M982" i="1"/>
  <c r="R981" i="1"/>
  <c r="Q981" i="1"/>
  <c r="P981" i="1"/>
  <c r="O981" i="1"/>
  <c r="M981" i="1"/>
  <c r="R980" i="1"/>
  <c r="Q980" i="1"/>
  <c r="P980" i="1"/>
  <c r="O980" i="1"/>
  <c r="M980" i="1"/>
  <c r="R979" i="1"/>
  <c r="Q979" i="1"/>
  <c r="P979" i="1"/>
  <c r="O979" i="1"/>
  <c r="M979" i="1"/>
  <c r="R978" i="1"/>
  <c r="Q978" i="1"/>
  <c r="P978" i="1"/>
  <c r="O978" i="1"/>
  <c r="M978" i="1"/>
  <c r="R977" i="1"/>
  <c r="Q977" i="1"/>
  <c r="P977" i="1"/>
  <c r="O977" i="1"/>
  <c r="M977" i="1"/>
  <c r="R976" i="1"/>
  <c r="Q976" i="1"/>
  <c r="P976" i="1"/>
  <c r="O976" i="1"/>
  <c r="M976" i="1"/>
  <c r="R975" i="1"/>
  <c r="Q975" i="1"/>
  <c r="P975" i="1"/>
  <c r="O975" i="1"/>
  <c r="M975" i="1"/>
  <c r="R974" i="1"/>
  <c r="Q974" i="1"/>
  <c r="P974" i="1"/>
  <c r="O974" i="1"/>
  <c r="M974" i="1"/>
  <c r="R973" i="1"/>
  <c r="Q973" i="1"/>
  <c r="P973" i="1"/>
  <c r="O973" i="1"/>
  <c r="M973" i="1"/>
  <c r="R972" i="1"/>
  <c r="Q972" i="1"/>
  <c r="P972" i="1"/>
  <c r="O972" i="1"/>
  <c r="M972" i="1"/>
  <c r="R971" i="1"/>
  <c r="Q971" i="1"/>
  <c r="P971" i="1"/>
  <c r="O971" i="1"/>
  <c r="M971" i="1"/>
  <c r="R970" i="1"/>
  <c r="Q970" i="1"/>
  <c r="P970" i="1"/>
  <c r="O970" i="1"/>
  <c r="M970" i="1"/>
  <c r="R969" i="1"/>
  <c r="Q969" i="1"/>
  <c r="P969" i="1"/>
  <c r="O969" i="1"/>
  <c r="M969" i="1"/>
  <c r="R968" i="1"/>
  <c r="Q968" i="1"/>
  <c r="P968" i="1"/>
  <c r="O968" i="1"/>
  <c r="M968" i="1"/>
  <c r="R967" i="1"/>
  <c r="Q967" i="1"/>
  <c r="P967" i="1"/>
  <c r="O967" i="1"/>
  <c r="M967" i="1"/>
  <c r="R966" i="1"/>
  <c r="Q966" i="1"/>
  <c r="P966" i="1"/>
  <c r="O966" i="1"/>
  <c r="M966" i="1"/>
  <c r="R965" i="1"/>
  <c r="Q965" i="1"/>
  <c r="P965" i="1"/>
  <c r="O965" i="1"/>
  <c r="M965" i="1"/>
  <c r="R964" i="1"/>
  <c r="Q964" i="1"/>
  <c r="P964" i="1"/>
  <c r="O964" i="1"/>
  <c r="M964" i="1"/>
  <c r="R963" i="1"/>
  <c r="Q963" i="1"/>
  <c r="P963" i="1"/>
  <c r="O963" i="1"/>
  <c r="M963" i="1"/>
  <c r="R962" i="1"/>
  <c r="Q962" i="1"/>
  <c r="P962" i="1"/>
  <c r="O962" i="1"/>
  <c r="M962" i="1"/>
  <c r="R961" i="1"/>
  <c r="Q961" i="1"/>
  <c r="P961" i="1"/>
  <c r="O961" i="1"/>
  <c r="M961" i="1"/>
  <c r="R960" i="1"/>
  <c r="Q960" i="1"/>
  <c r="P960" i="1"/>
  <c r="O960" i="1"/>
  <c r="M960" i="1"/>
  <c r="R959" i="1"/>
  <c r="Q959" i="1"/>
  <c r="P959" i="1"/>
  <c r="O959" i="1"/>
  <c r="M959" i="1"/>
  <c r="R958" i="1"/>
  <c r="Q958" i="1"/>
  <c r="P958" i="1"/>
  <c r="O958" i="1"/>
  <c r="M958" i="1"/>
  <c r="R957" i="1"/>
  <c r="Q957" i="1"/>
  <c r="P957" i="1"/>
  <c r="O957" i="1"/>
  <c r="M957" i="1"/>
  <c r="R956" i="1"/>
  <c r="Q956" i="1"/>
  <c r="P956" i="1"/>
  <c r="O956" i="1"/>
  <c r="M956" i="1"/>
  <c r="R955" i="1"/>
  <c r="Q955" i="1"/>
  <c r="P955" i="1"/>
  <c r="O955" i="1"/>
  <c r="M955" i="1"/>
  <c r="R954" i="1"/>
  <c r="Q954" i="1"/>
  <c r="P954" i="1"/>
  <c r="O954" i="1"/>
  <c r="M954" i="1"/>
  <c r="R953" i="1"/>
  <c r="Q953" i="1"/>
  <c r="P953" i="1"/>
  <c r="O953" i="1"/>
  <c r="M953" i="1"/>
  <c r="R952" i="1"/>
  <c r="Q952" i="1"/>
  <c r="P952" i="1"/>
  <c r="O952" i="1"/>
  <c r="M952" i="1"/>
  <c r="R951" i="1"/>
  <c r="Q951" i="1"/>
  <c r="P951" i="1"/>
  <c r="O951" i="1"/>
  <c r="M951" i="1"/>
  <c r="R950" i="1"/>
  <c r="Q950" i="1"/>
  <c r="P950" i="1"/>
  <c r="O950" i="1"/>
  <c r="M950" i="1"/>
  <c r="R949" i="1"/>
  <c r="Q949" i="1"/>
  <c r="P949" i="1"/>
  <c r="O949" i="1"/>
  <c r="M949" i="1"/>
  <c r="R948" i="1"/>
  <c r="Q948" i="1"/>
  <c r="P948" i="1"/>
  <c r="O948" i="1"/>
  <c r="M948" i="1"/>
  <c r="R947" i="1"/>
  <c r="Q947" i="1"/>
  <c r="P947" i="1"/>
  <c r="O947" i="1"/>
  <c r="M947" i="1"/>
  <c r="R946" i="1"/>
  <c r="Q946" i="1"/>
  <c r="P946" i="1"/>
  <c r="O946" i="1"/>
  <c r="M946" i="1"/>
  <c r="R945" i="1"/>
  <c r="Q945" i="1"/>
  <c r="P945" i="1"/>
  <c r="O945" i="1"/>
  <c r="M945" i="1"/>
  <c r="R944" i="1"/>
  <c r="Q944" i="1"/>
  <c r="P944" i="1"/>
  <c r="O944" i="1"/>
  <c r="M944" i="1"/>
  <c r="R943" i="1"/>
  <c r="Q943" i="1"/>
  <c r="P943" i="1"/>
  <c r="O943" i="1"/>
  <c r="M943" i="1"/>
  <c r="R942" i="1"/>
  <c r="Q942" i="1"/>
  <c r="P942" i="1"/>
  <c r="O942" i="1"/>
  <c r="M942" i="1"/>
  <c r="R941" i="1"/>
  <c r="Q941" i="1"/>
  <c r="P941" i="1"/>
  <c r="O941" i="1"/>
  <c r="M941" i="1"/>
  <c r="R940" i="1"/>
  <c r="Q940" i="1"/>
  <c r="P940" i="1"/>
  <c r="O940" i="1"/>
  <c r="M940" i="1"/>
  <c r="R939" i="1"/>
  <c r="Q939" i="1"/>
  <c r="P939" i="1"/>
  <c r="O939" i="1"/>
  <c r="M939" i="1"/>
  <c r="R938" i="1"/>
  <c r="Q938" i="1"/>
  <c r="P938" i="1"/>
  <c r="O938" i="1"/>
  <c r="M938" i="1"/>
  <c r="R937" i="1"/>
  <c r="Q937" i="1"/>
  <c r="P937" i="1"/>
  <c r="O937" i="1"/>
  <c r="M937" i="1"/>
  <c r="R936" i="1"/>
  <c r="Q936" i="1"/>
  <c r="P936" i="1"/>
  <c r="O936" i="1"/>
  <c r="M936" i="1"/>
  <c r="R935" i="1"/>
  <c r="Q935" i="1"/>
  <c r="P935" i="1"/>
  <c r="O935" i="1"/>
  <c r="M935" i="1"/>
  <c r="R934" i="1"/>
  <c r="Q934" i="1"/>
  <c r="P934" i="1"/>
  <c r="O934" i="1"/>
  <c r="M934" i="1"/>
  <c r="R933" i="1"/>
  <c r="Q933" i="1"/>
  <c r="P933" i="1"/>
  <c r="O933" i="1"/>
  <c r="M933" i="1"/>
  <c r="R932" i="1"/>
  <c r="Q932" i="1"/>
  <c r="P932" i="1"/>
  <c r="O932" i="1"/>
  <c r="M932" i="1"/>
  <c r="R931" i="1"/>
  <c r="Q931" i="1"/>
  <c r="P931" i="1"/>
  <c r="O931" i="1"/>
  <c r="M931" i="1"/>
  <c r="R930" i="1"/>
  <c r="Q930" i="1"/>
  <c r="P930" i="1"/>
  <c r="O930" i="1"/>
  <c r="M930" i="1"/>
  <c r="R929" i="1"/>
  <c r="Q929" i="1"/>
  <c r="P929" i="1"/>
  <c r="O929" i="1"/>
  <c r="M929" i="1"/>
  <c r="R928" i="1"/>
  <c r="Q928" i="1"/>
  <c r="P928" i="1"/>
  <c r="O928" i="1"/>
  <c r="M928" i="1"/>
  <c r="R927" i="1"/>
  <c r="Q927" i="1"/>
  <c r="P927" i="1"/>
  <c r="O927" i="1"/>
  <c r="M927" i="1"/>
  <c r="R926" i="1"/>
  <c r="Q926" i="1"/>
  <c r="P926" i="1"/>
  <c r="O926" i="1"/>
  <c r="M926" i="1"/>
  <c r="R925" i="1"/>
  <c r="Q925" i="1"/>
  <c r="P925" i="1"/>
  <c r="O925" i="1"/>
  <c r="M925" i="1"/>
  <c r="R924" i="1"/>
  <c r="Q924" i="1"/>
  <c r="P924" i="1"/>
  <c r="O924" i="1"/>
  <c r="M924" i="1"/>
  <c r="R923" i="1"/>
  <c r="Q923" i="1"/>
  <c r="P923" i="1"/>
  <c r="O923" i="1"/>
  <c r="M923" i="1"/>
  <c r="R922" i="1"/>
  <c r="Q922" i="1"/>
  <c r="P922" i="1"/>
  <c r="O922" i="1"/>
  <c r="M922" i="1"/>
  <c r="R921" i="1"/>
  <c r="Q921" i="1"/>
  <c r="P921" i="1"/>
  <c r="O921" i="1"/>
  <c r="M921" i="1"/>
  <c r="R920" i="1"/>
  <c r="Q920" i="1"/>
  <c r="P920" i="1"/>
  <c r="O920" i="1"/>
  <c r="M920" i="1"/>
  <c r="R919" i="1"/>
  <c r="Q919" i="1"/>
  <c r="P919" i="1"/>
  <c r="O919" i="1"/>
  <c r="M919" i="1"/>
  <c r="R918" i="1"/>
  <c r="Q918" i="1"/>
  <c r="P918" i="1"/>
  <c r="O918" i="1"/>
  <c r="M918" i="1"/>
  <c r="R917" i="1"/>
  <c r="Q917" i="1"/>
  <c r="P917" i="1"/>
  <c r="O917" i="1"/>
  <c r="M917" i="1"/>
  <c r="R916" i="1"/>
  <c r="Q916" i="1"/>
  <c r="P916" i="1"/>
  <c r="O916" i="1"/>
  <c r="M916" i="1"/>
  <c r="R915" i="1"/>
  <c r="Q915" i="1"/>
  <c r="P915" i="1"/>
  <c r="O915" i="1"/>
  <c r="M915" i="1"/>
  <c r="R914" i="1"/>
  <c r="Q914" i="1"/>
  <c r="P914" i="1"/>
  <c r="O914" i="1"/>
  <c r="M914" i="1"/>
  <c r="R913" i="1"/>
  <c r="Q913" i="1"/>
  <c r="P913" i="1"/>
  <c r="O913" i="1"/>
  <c r="M913" i="1"/>
  <c r="R912" i="1"/>
  <c r="Q912" i="1"/>
  <c r="P912" i="1"/>
  <c r="O912" i="1"/>
  <c r="M912" i="1"/>
  <c r="R911" i="1"/>
  <c r="Q911" i="1"/>
  <c r="P911" i="1"/>
  <c r="O911" i="1"/>
  <c r="M911" i="1"/>
  <c r="R910" i="1"/>
  <c r="Q910" i="1"/>
  <c r="P910" i="1"/>
  <c r="O910" i="1"/>
  <c r="M910" i="1"/>
  <c r="R909" i="1"/>
  <c r="Q909" i="1"/>
  <c r="P909" i="1"/>
  <c r="O909" i="1"/>
  <c r="M909" i="1"/>
  <c r="R908" i="1"/>
  <c r="Q908" i="1"/>
  <c r="P908" i="1"/>
  <c r="O908" i="1"/>
  <c r="M908" i="1"/>
  <c r="R907" i="1"/>
  <c r="Q907" i="1"/>
  <c r="P907" i="1"/>
  <c r="O907" i="1"/>
  <c r="M907" i="1"/>
  <c r="R906" i="1"/>
  <c r="Q906" i="1"/>
  <c r="P906" i="1"/>
  <c r="O906" i="1"/>
  <c r="M906" i="1"/>
  <c r="R905" i="1"/>
  <c r="Q905" i="1"/>
  <c r="P905" i="1"/>
  <c r="O905" i="1"/>
  <c r="M905" i="1"/>
  <c r="R904" i="1"/>
  <c r="Q904" i="1"/>
  <c r="P904" i="1"/>
  <c r="O904" i="1"/>
  <c r="M904" i="1"/>
  <c r="R903" i="1"/>
  <c r="Q903" i="1"/>
  <c r="P903" i="1"/>
  <c r="O903" i="1"/>
  <c r="M903" i="1"/>
  <c r="R902" i="1"/>
  <c r="Q902" i="1"/>
  <c r="P902" i="1"/>
  <c r="O902" i="1"/>
  <c r="M902" i="1"/>
  <c r="R901" i="1"/>
  <c r="Q901" i="1"/>
  <c r="P901" i="1"/>
  <c r="O901" i="1"/>
  <c r="M901" i="1"/>
  <c r="R900" i="1"/>
  <c r="Q900" i="1"/>
  <c r="P900" i="1"/>
  <c r="O900" i="1"/>
  <c r="M900" i="1"/>
  <c r="R899" i="1"/>
  <c r="Q899" i="1"/>
  <c r="P899" i="1"/>
  <c r="O899" i="1"/>
  <c r="M899" i="1"/>
  <c r="R898" i="1"/>
  <c r="Q898" i="1"/>
  <c r="P898" i="1"/>
  <c r="O898" i="1"/>
  <c r="M898" i="1"/>
  <c r="R897" i="1"/>
  <c r="Q897" i="1"/>
  <c r="P897" i="1"/>
  <c r="O897" i="1"/>
  <c r="M897" i="1"/>
  <c r="R896" i="1"/>
  <c r="Q896" i="1"/>
  <c r="P896" i="1"/>
  <c r="O896" i="1"/>
  <c r="M896" i="1"/>
  <c r="R895" i="1"/>
  <c r="Q895" i="1"/>
  <c r="P895" i="1"/>
  <c r="O895" i="1"/>
  <c r="M895" i="1"/>
  <c r="R894" i="1"/>
  <c r="Q894" i="1"/>
  <c r="P894" i="1"/>
  <c r="O894" i="1"/>
  <c r="M894" i="1"/>
  <c r="R893" i="1"/>
  <c r="Q893" i="1"/>
  <c r="P893" i="1"/>
  <c r="O893" i="1"/>
  <c r="M893" i="1"/>
  <c r="R892" i="1"/>
  <c r="Q892" i="1"/>
  <c r="P892" i="1"/>
  <c r="O892" i="1"/>
  <c r="M892" i="1"/>
  <c r="R891" i="1"/>
  <c r="Q891" i="1"/>
  <c r="P891" i="1"/>
  <c r="O891" i="1"/>
  <c r="M891" i="1"/>
  <c r="R890" i="1"/>
  <c r="Q890" i="1"/>
  <c r="P890" i="1"/>
  <c r="O890" i="1"/>
  <c r="M890" i="1"/>
  <c r="R889" i="1"/>
  <c r="Q889" i="1"/>
  <c r="P889" i="1"/>
  <c r="O889" i="1"/>
  <c r="M889" i="1"/>
  <c r="R888" i="1"/>
  <c r="Q888" i="1"/>
  <c r="P888" i="1"/>
  <c r="O888" i="1"/>
  <c r="M888" i="1"/>
  <c r="R887" i="1"/>
  <c r="Q887" i="1"/>
  <c r="P887" i="1"/>
  <c r="O887" i="1"/>
  <c r="M887" i="1"/>
  <c r="R886" i="1"/>
  <c r="Q886" i="1"/>
  <c r="P886" i="1"/>
  <c r="O886" i="1"/>
  <c r="M886" i="1"/>
  <c r="R885" i="1"/>
  <c r="Q885" i="1"/>
  <c r="P885" i="1"/>
  <c r="O885" i="1"/>
  <c r="M885" i="1"/>
  <c r="R884" i="1"/>
  <c r="Q884" i="1"/>
  <c r="P884" i="1"/>
  <c r="O884" i="1"/>
  <c r="M884" i="1"/>
  <c r="R883" i="1"/>
  <c r="Q883" i="1"/>
  <c r="P883" i="1"/>
  <c r="O883" i="1"/>
  <c r="M883" i="1"/>
  <c r="R882" i="1"/>
  <c r="Q882" i="1"/>
  <c r="P882" i="1"/>
  <c r="O882" i="1"/>
  <c r="M882" i="1"/>
  <c r="R881" i="1"/>
  <c r="Q881" i="1"/>
  <c r="P881" i="1"/>
  <c r="O881" i="1"/>
  <c r="M881" i="1"/>
  <c r="R880" i="1"/>
  <c r="Q880" i="1"/>
  <c r="P880" i="1"/>
  <c r="O880" i="1"/>
  <c r="M880" i="1"/>
  <c r="R879" i="1"/>
  <c r="Q879" i="1"/>
  <c r="P879" i="1"/>
  <c r="O879" i="1"/>
  <c r="M879" i="1"/>
  <c r="R878" i="1"/>
  <c r="Q878" i="1"/>
  <c r="P878" i="1"/>
  <c r="O878" i="1"/>
  <c r="M878" i="1"/>
  <c r="R877" i="1"/>
  <c r="Q877" i="1"/>
  <c r="P877" i="1"/>
  <c r="O877" i="1"/>
  <c r="M877" i="1"/>
  <c r="R876" i="1"/>
  <c r="Q876" i="1"/>
  <c r="P876" i="1"/>
  <c r="O876" i="1"/>
  <c r="M876" i="1"/>
  <c r="R875" i="1"/>
  <c r="Q875" i="1"/>
  <c r="P875" i="1"/>
  <c r="O875" i="1"/>
  <c r="M875" i="1"/>
  <c r="R874" i="1"/>
  <c r="Q874" i="1"/>
  <c r="P874" i="1"/>
  <c r="O874" i="1"/>
  <c r="M874" i="1"/>
  <c r="R873" i="1"/>
  <c r="Q873" i="1"/>
  <c r="P873" i="1"/>
  <c r="O873" i="1"/>
  <c r="M873" i="1"/>
  <c r="R872" i="1"/>
  <c r="Q872" i="1"/>
  <c r="P872" i="1"/>
  <c r="O872" i="1"/>
  <c r="M872" i="1"/>
  <c r="R871" i="1"/>
  <c r="Q871" i="1"/>
  <c r="P871" i="1"/>
  <c r="O871" i="1"/>
  <c r="M871" i="1"/>
  <c r="R870" i="1"/>
  <c r="Q870" i="1"/>
  <c r="P870" i="1"/>
  <c r="O870" i="1"/>
  <c r="M870" i="1"/>
  <c r="R869" i="1"/>
  <c r="Q869" i="1"/>
  <c r="P869" i="1"/>
  <c r="O869" i="1"/>
  <c r="M869" i="1"/>
  <c r="R868" i="1"/>
  <c r="Q868" i="1"/>
  <c r="P868" i="1"/>
  <c r="O868" i="1"/>
  <c r="M868" i="1"/>
  <c r="R867" i="1"/>
  <c r="Q867" i="1"/>
  <c r="P867" i="1"/>
  <c r="O867" i="1"/>
  <c r="M867" i="1"/>
  <c r="R866" i="1"/>
  <c r="Q866" i="1"/>
  <c r="P866" i="1"/>
  <c r="O866" i="1"/>
  <c r="M866" i="1"/>
  <c r="R865" i="1"/>
  <c r="Q865" i="1"/>
  <c r="P865" i="1"/>
  <c r="O865" i="1"/>
  <c r="M865" i="1"/>
  <c r="R864" i="1"/>
  <c r="Q864" i="1"/>
  <c r="P864" i="1"/>
  <c r="O864" i="1"/>
  <c r="M864" i="1"/>
  <c r="R863" i="1"/>
  <c r="Q863" i="1"/>
  <c r="P863" i="1"/>
  <c r="O863" i="1"/>
  <c r="M863" i="1"/>
  <c r="R862" i="1"/>
  <c r="Q862" i="1"/>
  <c r="P862" i="1"/>
  <c r="O862" i="1"/>
  <c r="M862" i="1"/>
  <c r="R861" i="1"/>
  <c r="Q861" i="1"/>
  <c r="P861" i="1"/>
  <c r="O861" i="1"/>
  <c r="M861" i="1"/>
  <c r="R860" i="1"/>
  <c r="Q860" i="1"/>
  <c r="P860" i="1"/>
  <c r="O860" i="1"/>
  <c r="M860" i="1"/>
  <c r="R859" i="1"/>
  <c r="Q859" i="1"/>
  <c r="P859" i="1"/>
  <c r="O859" i="1"/>
  <c r="M859" i="1"/>
  <c r="R858" i="1"/>
  <c r="Q858" i="1"/>
  <c r="P858" i="1"/>
  <c r="O858" i="1"/>
  <c r="M858" i="1"/>
  <c r="R857" i="1"/>
  <c r="Q857" i="1"/>
  <c r="P857" i="1"/>
  <c r="O857" i="1"/>
  <c r="M857" i="1"/>
  <c r="R856" i="1"/>
  <c r="Q856" i="1"/>
  <c r="P856" i="1"/>
  <c r="O856" i="1"/>
  <c r="M856" i="1"/>
  <c r="R855" i="1"/>
  <c r="Q855" i="1"/>
  <c r="P855" i="1"/>
  <c r="O855" i="1"/>
  <c r="M855" i="1"/>
  <c r="R854" i="1"/>
  <c r="Q854" i="1"/>
  <c r="P854" i="1"/>
  <c r="O854" i="1"/>
  <c r="M854" i="1"/>
  <c r="R853" i="1"/>
  <c r="Q853" i="1"/>
  <c r="P853" i="1"/>
  <c r="O853" i="1"/>
  <c r="M853" i="1"/>
  <c r="R852" i="1"/>
  <c r="Q852" i="1"/>
  <c r="P852" i="1"/>
  <c r="O852" i="1"/>
  <c r="M852" i="1"/>
  <c r="R851" i="1"/>
  <c r="Q851" i="1"/>
  <c r="P851" i="1"/>
  <c r="O851" i="1"/>
  <c r="M851" i="1"/>
  <c r="R850" i="1"/>
  <c r="Q850" i="1"/>
  <c r="P850" i="1"/>
  <c r="O850" i="1"/>
  <c r="M850" i="1"/>
  <c r="R849" i="1"/>
  <c r="Q849" i="1"/>
  <c r="P849" i="1"/>
  <c r="O849" i="1"/>
  <c r="M849" i="1"/>
  <c r="R848" i="1"/>
  <c r="Q848" i="1"/>
  <c r="P848" i="1"/>
  <c r="O848" i="1"/>
  <c r="M848" i="1"/>
  <c r="R847" i="1"/>
  <c r="Q847" i="1"/>
  <c r="P847" i="1"/>
  <c r="O847" i="1"/>
  <c r="M847" i="1"/>
  <c r="R846" i="1"/>
  <c r="Q846" i="1"/>
  <c r="P846" i="1"/>
  <c r="O846" i="1"/>
  <c r="M846" i="1"/>
  <c r="R845" i="1"/>
  <c r="Q845" i="1"/>
  <c r="P845" i="1"/>
  <c r="O845" i="1"/>
  <c r="M845" i="1"/>
  <c r="R844" i="1"/>
  <c r="Q844" i="1"/>
  <c r="P844" i="1"/>
  <c r="O844" i="1"/>
  <c r="M844" i="1"/>
  <c r="R843" i="1"/>
  <c r="Q843" i="1"/>
  <c r="P843" i="1"/>
  <c r="O843" i="1"/>
  <c r="M843" i="1"/>
  <c r="R842" i="1"/>
  <c r="Q842" i="1"/>
  <c r="P842" i="1"/>
  <c r="O842" i="1"/>
  <c r="M842" i="1"/>
  <c r="R841" i="1"/>
  <c r="Q841" i="1"/>
  <c r="P841" i="1"/>
  <c r="O841" i="1"/>
  <c r="M841" i="1"/>
  <c r="R840" i="1"/>
  <c r="Q840" i="1"/>
  <c r="P840" i="1"/>
  <c r="O840" i="1"/>
  <c r="M840" i="1"/>
  <c r="R839" i="1"/>
  <c r="Q839" i="1"/>
  <c r="P839" i="1"/>
  <c r="O839" i="1"/>
  <c r="M839" i="1"/>
  <c r="R838" i="1"/>
  <c r="Q838" i="1"/>
  <c r="P838" i="1"/>
  <c r="O838" i="1"/>
  <c r="M838" i="1"/>
  <c r="R837" i="1"/>
  <c r="Q837" i="1"/>
  <c r="P837" i="1"/>
  <c r="O837" i="1"/>
  <c r="M837" i="1"/>
  <c r="R836" i="1"/>
  <c r="Q836" i="1"/>
  <c r="P836" i="1"/>
  <c r="O836" i="1"/>
  <c r="M836" i="1"/>
  <c r="R835" i="1"/>
  <c r="Q835" i="1"/>
  <c r="P835" i="1"/>
  <c r="O835" i="1"/>
  <c r="M835" i="1"/>
  <c r="R834" i="1"/>
  <c r="Q834" i="1"/>
  <c r="P834" i="1"/>
  <c r="O834" i="1"/>
  <c r="M834" i="1"/>
  <c r="R833" i="1"/>
  <c r="Q833" i="1"/>
  <c r="P833" i="1"/>
  <c r="O833" i="1"/>
  <c r="M833" i="1"/>
  <c r="R832" i="1"/>
  <c r="Q832" i="1"/>
  <c r="P832" i="1"/>
  <c r="O832" i="1"/>
  <c r="M832" i="1"/>
  <c r="R831" i="1"/>
  <c r="Q831" i="1"/>
  <c r="P831" i="1"/>
  <c r="O831" i="1"/>
  <c r="M831" i="1"/>
  <c r="R830" i="1"/>
  <c r="Q830" i="1"/>
  <c r="P830" i="1"/>
  <c r="O830" i="1"/>
  <c r="M830" i="1"/>
  <c r="R829" i="1"/>
  <c r="Q829" i="1"/>
  <c r="P829" i="1"/>
  <c r="O829" i="1"/>
  <c r="M829" i="1"/>
  <c r="R828" i="1"/>
  <c r="Q828" i="1"/>
  <c r="P828" i="1"/>
  <c r="O828" i="1"/>
  <c r="M828" i="1"/>
  <c r="R827" i="1"/>
  <c r="Q827" i="1"/>
  <c r="P827" i="1"/>
  <c r="O827" i="1"/>
  <c r="M827" i="1"/>
  <c r="R826" i="1"/>
  <c r="Q826" i="1"/>
  <c r="P826" i="1"/>
  <c r="O826" i="1"/>
  <c r="M826" i="1"/>
  <c r="R825" i="1"/>
  <c r="Q825" i="1"/>
  <c r="P825" i="1"/>
  <c r="O825" i="1"/>
  <c r="M825" i="1"/>
  <c r="R824" i="1"/>
  <c r="Q824" i="1"/>
  <c r="P824" i="1"/>
  <c r="O824" i="1"/>
  <c r="M824" i="1"/>
  <c r="R823" i="1"/>
  <c r="Q823" i="1"/>
  <c r="P823" i="1"/>
  <c r="O823" i="1"/>
  <c r="M823" i="1"/>
  <c r="R822" i="1"/>
  <c r="Q822" i="1"/>
  <c r="P822" i="1"/>
  <c r="O822" i="1"/>
  <c r="M822" i="1"/>
  <c r="R821" i="1"/>
  <c r="Q821" i="1"/>
  <c r="P821" i="1"/>
  <c r="O821" i="1"/>
  <c r="M821" i="1"/>
  <c r="R820" i="1"/>
  <c r="Q820" i="1"/>
  <c r="P820" i="1"/>
  <c r="O820" i="1"/>
  <c r="M820" i="1"/>
  <c r="R819" i="1"/>
  <c r="Q819" i="1"/>
  <c r="P819" i="1"/>
  <c r="O819" i="1"/>
  <c r="M819" i="1"/>
  <c r="R818" i="1"/>
  <c r="Q818" i="1"/>
  <c r="P818" i="1"/>
  <c r="O818" i="1"/>
  <c r="M818" i="1"/>
  <c r="R817" i="1"/>
  <c r="Q817" i="1"/>
  <c r="P817" i="1"/>
  <c r="O817" i="1"/>
  <c r="M817" i="1"/>
  <c r="R816" i="1"/>
  <c r="Q816" i="1"/>
  <c r="P816" i="1"/>
  <c r="O816" i="1"/>
  <c r="M816" i="1"/>
  <c r="R815" i="1"/>
  <c r="Q815" i="1"/>
  <c r="P815" i="1"/>
  <c r="O815" i="1"/>
  <c r="M815" i="1"/>
  <c r="R814" i="1"/>
  <c r="Q814" i="1"/>
  <c r="P814" i="1"/>
  <c r="O814" i="1"/>
  <c r="M814" i="1"/>
  <c r="R813" i="1"/>
  <c r="Q813" i="1"/>
  <c r="P813" i="1"/>
  <c r="O813" i="1"/>
  <c r="M813" i="1"/>
  <c r="R812" i="1"/>
  <c r="Q812" i="1"/>
  <c r="P812" i="1"/>
  <c r="O812" i="1"/>
  <c r="M812" i="1"/>
  <c r="R811" i="1"/>
  <c r="Q811" i="1"/>
  <c r="P811" i="1"/>
  <c r="O811" i="1"/>
  <c r="M811" i="1"/>
  <c r="R810" i="1"/>
  <c r="Q810" i="1"/>
  <c r="P810" i="1"/>
  <c r="O810" i="1"/>
  <c r="M810" i="1"/>
  <c r="R809" i="1"/>
  <c r="Q809" i="1"/>
  <c r="P809" i="1"/>
  <c r="O809" i="1"/>
  <c r="M809" i="1"/>
  <c r="R808" i="1"/>
  <c r="Q808" i="1"/>
  <c r="P808" i="1"/>
  <c r="O808" i="1"/>
  <c r="M808" i="1"/>
  <c r="R807" i="1"/>
  <c r="Q807" i="1"/>
  <c r="P807" i="1"/>
  <c r="O807" i="1"/>
  <c r="M807" i="1"/>
  <c r="R806" i="1"/>
  <c r="Q806" i="1"/>
  <c r="P806" i="1"/>
  <c r="O806" i="1"/>
  <c r="M806" i="1"/>
  <c r="R805" i="1"/>
  <c r="Q805" i="1"/>
  <c r="P805" i="1"/>
  <c r="O805" i="1"/>
  <c r="M805" i="1"/>
  <c r="R804" i="1"/>
  <c r="Q804" i="1"/>
  <c r="P804" i="1"/>
  <c r="O804" i="1"/>
  <c r="M804" i="1"/>
  <c r="R803" i="1"/>
  <c r="Q803" i="1"/>
  <c r="P803" i="1"/>
  <c r="O803" i="1"/>
  <c r="M803" i="1"/>
  <c r="R802" i="1"/>
  <c r="Q802" i="1"/>
  <c r="P802" i="1"/>
  <c r="O802" i="1"/>
  <c r="M802" i="1"/>
  <c r="R801" i="1"/>
  <c r="Q801" i="1"/>
  <c r="P801" i="1"/>
  <c r="O801" i="1"/>
  <c r="M801" i="1"/>
  <c r="R800" i="1"/>
  <c r="Q800" i="1"/>
  <c r="P800" i="1"/>
  <c r="O800" i="1"/>
  <c r="M800" i="1"/>
  <c r="R799" i="1"/>
  <c r="Q799" i="1"/>
  <c r="P799" i="1"/>
  <c r="O799" i="1"/>
  <c r="M799" i="1"/>
  <c r="R798" i="1"/>
  <c r="Q798" i="1"/>
  <c r="P798" i="1"/>
  <c r="O798" i="1"/>
  <c r="M798" i="1"/>
  <c r="R797" i="1"/>
  <c r="Q797" i="1"/>
  <c r="P797" i="1"/>
  <c r="O797" i="1"/>
  <c r="M797" i="1"/>
  <c r="R796" i="1"/>
  <c r="Q796" i="1"/>
  <c r="P796" i="1"/>
  <c r="O796" i="1"/>
  <c r="M796" i="1"/>
  <c r="R795" i="1"/>
  <c r="Q795" i="1"/>
  <c r="P795" i="1"/>
  <c r="O795" i="1"/>
  <c r="M795" i="1"/>
  <c r="R794" i="1"/>
  <c r="Q794" i="1"/>
  <c r="P794" i="1"/>
  <c r="O794" i="1"/>
  <c r="M794" i="1"/>
  <c r="R793" i="1"/>
  <c r="Q793" i="1"/>
  <c r="P793" i="1"/>
  <c r="O793" i="1"/>
  <c r="M793" i="1"/>
  <c r="R792" i="1"/>
  <c r="Q792" i="1"/>
  <c r="P792" i="1"/>
  <c r="O792" i="1"/>
  <c r="M792" i="1"/>
  <c r="R791" i="1"/>
  <c r="Q791" i="1"/>
  <c r="P791" i="1"/>
  <c r="O791" i="1"/>
  <c r="M791" i="1"/>
  <c r="R790" i="1"/>
  <c r="Q790" i="1"/>
  <c r="P790" i="1"/>
  <c r="O790" i="1"/>
  <c r="M790" i="1"/>
  <c r="R789" i="1"/>
  <c r="Q789" i="1"/>
  <c r="P789" i="1"/>
  <c r="O789" i="1"/>
  <c r="M789" i="1"/>
  <c r="R788" i="1"/>
  <c r="Q788" i="1"/>
  <c r="P788" i="1"/>
  <c r="O788" i="1"/>
  <c r="M788" i="1"/>
  <c r="R787" i="1"/>
  <c r="Q787" i="1"/>
  <c r="P787" i="1"/>
  <c r="O787" i="1"/>
  <c r="M787" i="1"/>
  <c r="R786" i="1"/>
  <c r="Q786" i="1"/>
  <c r="P786" i="1"/>
  <c r="O786" i="1"/>
  <c r="M786" i="1"/>
  <c r="R785" i="1"/>
  <c r="Q785" i="1"/>
  <c r="P785" i="1"/>
  <c r="O785" i="1"/>
  <c r="M785" i="1"/>
  <c r="R784" i="1"/>
  <c r="Q784" i="1"/>
  <c r="P784" i="1"/>
  <c r="O784" i="1"/>
  <c r="M784" i="1"/>
  <c r="R783" i="1"/>
  <c r="Q783" i="1"/>
  <c r="P783" i="1"/>
  <c r="O783" i="1"/>
  <c r="M783" i="1"/>
  <c r="R782" i="1"/>
  <c r="Q782" i="1"/>
  <c r="P782" i="1"/>
  <c r="O782" i="1"/>
  <c r="M782" i="1"/>
  <c r="R781" i="1"/>
  <c r="Q781" i="1"/>
  <c r="P781" i="1"/>
  <c r="O781" i="1"/>
  <c r="M781" i="1"/>
  <c r="R780" i="1"/>
  <c r="Q780" i="1"/>
  <c r="P780" i="1"/>
  <c r="O780" i="1"/>
  <c r="M780" i="1"/>
  <c r="R779" i="1"/>
  <c r="Q779" i="1"/>
  <c r="P779" i="1"/>
  <c r="O779" i="1"/>
  <c r="M779" i="1"/>
  <c r="R778" i="1"/>
  <c r="Q778" i="1"/>
  <c r="P778" i="1"/>
  <c r="O778" i="1"/>
  <c r="M778" i="1"/>
  <c r="R777" i="1"/>
  <c r="Q777" i="1"/>
  <c r="P777" i="1"/>
  <c r="O777" i="1"/>
  <c r="M777" i="1"/>
  <c r="R776" i="1"/>
  <c r="Q776" i="1"/>
  <c r="P776" i="1"/>
  <c r="O776" i="1"/>
  <c r="M776" i="1"/>
  <c r="R775" i="1"/>
  <c r="Q775" i="1"/>
  <c r="P775" i="1"/>
  <c r="O775" i="1"/>
  <c r="M775" i="1"/>
  <c r="R774" i="1"/>
  <c r="Q774" i="1"/>
  <c r="P774" i="1"/>
  <c r="O774" i="1"/>
  <c r="M774" i="1"/>
  <c r="R773" i="1"/>
  <c r="Q773" i="1"/>
  <c r="P773" i="1"/>
  <c r="O773" i="1"/>
  <c r="M773" i="1"/>
  <c r="R772" i="1"/>
  <c r="Q772" i="1"/>
  <c r="P772" i="1"/>
  <c r="O772" i="1"/>
  <c r="M772" i="1"/>
  <c r="R771" i="1"/>
  <c r="Q771" i="1"/>
  <c r="P771" i="1"/>
  <c r="O771" i="1"/>
  <c r="M771" i="1"/>
  <c r="R770" i="1"/>
  <c r="Q770" i="1"/>
  <c r="P770" i="1"/>
  <c r="O770" i="1"/>
  <c r="M770" i="1"/>
  <c r="R769" i="1"/>
  <c r="Q769" i="1"/>
  <c r="P769" i="1"/>
  <c r="O769" i="1"/>
  <c r="M769" i="1"/>
  <c r="R768" i="1"/>
  <c r="Q768" i="1"/>
  <c r="P768" i="1"/>
  <c r="O768" i="1"/>
  <c r="M768" i="1"/>
  <c r="R767" i="1"/>
  <c r="Q767" i="1"/>
  <c r="P767" i="1"/>
  <c r="O767" i="1"/>
  <c r="M767" i="1"/>
  <c r="R766" i="1"/>
  <c r="Q766" i="1"/>
  <c r="P766" i="1"/>
  <c r="O766" i="1"/>
  <c r="M766" i="1"/>
  <c r="R765" i="1"/>
  <c r="Q765" i="1"/>
  <c r="P765" i="1"/>
  <c r="O765" i="1"/>
  <c r="M765" i="1"/>
  <c r="R764" i="1"/>
  <c r="Q764" i="1"/>
  <c r="P764" i="1"/>
  <c r="O764" i="1"/>
  <c r="M764" i="1"/>
  <c r="R763" i="1"/>
  <c r="Q763" i="1"/>
  <c r="P763" i="1"/>
  <c r="O763" i="1"/>
  <c r="M763" i="1"/>
  <c r="R762" i="1"/>
  <c r="Q762" i="1"/>
  <c r="P762" i="1"/>
  <c r="O762" i="1"/>
  <c r="M762" i="1"/>
  <c r="R761" i="1"/>
  <c r="Q761" i="1"/>
  <c r="P761" i="1"/>
  <c r="O761" i="1"/>
  <c r="M761" i="1"/>
  <c r="R760" i="1"/>
  <c r="Q760" i="1"/>
  <c r="P760" i="1"/>
  <c r="O760" i="1"/>
  <c r="M760" i="1"/>
  <c r="R759" i="1"/>
  <c r="Q759" i="1"/>
  <c r="P759" i="1"/>
  <c r="O759" i="1"/>
  <c r="M759" i="1"/>
  <c r="R758" i="1"/>
  <c r="Q758" i="1"/>
  <c r="P758" i="1"/>
  <c r="O758" i="1"/>
  <c r="M758" i="1"/>
  <c r="R757" i="1"/>
  <c r="Q757" i="1"/>
  <c r="P757" i="1"/>
  <c r="O757" i="1"/>
  <c r="M757" i="1"/>
  <c r="R756" i="1"/>
  <c r="Q756" i="1"/>
  <c r="P756" i="1"/>
  <c r="O756" i="1"/>
  <c r="M756" i="1"/>
  <c r="R755" i="1"/>
  <c r="Q755" i="1"/>
  <c r="P755" i="1"/>
  <c r="O755" i="1"/>
  <c r="M755" i="1"/>
  <c r="R754" i="1"/>
  <c r="Q754" i="1"/>
  <c r="P754" i="1"/>
  <c r="O754" i="1"/>
  <c r="M754" i="1"/>
  <c r="R753" i="1"/>
  <c r="Q753" i="1"/>
  <c r="P753" i="1"/>
  <c r="O753" i="1"/>
  <c r="M753" i="1"/>
  <c r="R752" i="1"/>
  <c r="Q752" i="1"/>
  <c r="P752" i="1"/>
  <c r="O752" i="1"/>
  <c r="M752" i="1"/>
  <c r="R751" i="1"/>
  <c r="Q751" i="1"/>
  <c r="P751" i="1"/>
  <c r="O751" i="1"/>
  <c r="M751" i="1"/>
  <c r="R750" i="1"/>
  <c r="Q750" i="1"/>
  <c r="P750" i="1"/>
  <c r="O750" i="1"/>
  <c r="M750" i="1"/>
  <c r="R749" i="1"/>
  <c r="Q749" i="1"/>
  <c r="P749" i="1"/>
  <c r="O749" i="1"/>
  <c r="M749" i="1"/>
  <c r="R748" i="1"/>
  <c r="Q748" i="1"/>
  <c r="P748" i="1"/>
  <c r="O748" i="1"/>
  <c r="M748" i="1"/>
  <c r="R747" i="1"/>
  <c r="Q747" i="1"/>
  <c r="P747" i="1"/>
  <c r="O747" i="1"/>
  <c r="M747" i="1"/>
  <c r="R746" i="1"/>
  <c r="Q746" i="1"/>
  <c r="P746" i="1"/>
  <c r="O746" i="1"/>
  <c r="M746" i="1"/>
  <c r="R745" i="1"/>
  <c r="Q745" i="1"/>
  <c r="P745" i="1"/>
  <c r="O745" i="1"/>
  <c r="M745" i="1"/>
  <c r="R744" i="1"/>
  <c r="Q744" i="1"/>
  <c r="P744" i="1"/>
  <c r="O744" i="1"/>
  <c r="M744" i="1"/>
  <c r="R743" i="1"/>
  <c r="Q743" i="1"/>
  <c r="P743" i="1"/>
  <c r="O743" i="1"/>
  <c r="M743" i="1"/>
  <c r="R742" i="1"/>
  <c r="Q742" i="1"/>
  <c r="P742" i="1"/>
  <c r="O742" i="1"/>
  <c r="M742" i="1"/>
  <c r="R741" i="1"/>
  <c r="Q741" i="1"/>
  <c r="P741" i="1"/>
  <c r="O741" i="1"/>
  <c r="M741" i="1"/>
  <c r="R740" i="1"/>
  <c r="Q740" i="1"/>
  <c r="P740" i="1"/>
  <c r="O740" i="1"/>
  <c r="M740" i="1"/>
  <c r="R739" i="1"/>
  <c r="Q739" i="1"/>
  <c r="P739" i="1"/>
  <c r="O739" i="1"/>
  <c r="M739" i="1"/>
  <c r="R738" i="1"/>
  <c r="Q738" i="1"/>
  <c r="P738" i="1"/>
  <c r="O738" i="1"/>
  <c r="M738" i="1"/>
  <c r="R737" i="1"/>
  <c r="Q737" i="1"/>
  <c r="P737" i="1"/>
  <c r="O737" i="1"/>
  <c r="M737" i="1"/>
  <c r="R736" i="1"/>
  <c r="Q736" i="1"/>
  <c r="P736" i="1"/>
  <c r="O736" i="1"/>
  <c r="M736" i="1"/>
  <c r="R735" i="1"/>
  <c r="Q735" i="1"/>
  <c r="P735" i="1"/>
  <c r="O735" i="1"/>
  <c r="M735" i="1"/>
  <c r="R734" i="1"/>
  <c r="Q734" i="1"/>
  <c r="P734" i="1"/>
  <c r="O734" i="1"/>
  <c r="M734" i="1"/>
  <c r="R733" i="1"/>
  <c r="Q733" i="1"/>
  <c r="P733" i="1"/>
  <c r="O733" i="1"/>
  <c r="M733" i="1"/>
  <c r="R732" i="1"/>
  <c r="Q732" i="1"/>
  <c r="P732" i="1"/>
  <c r="O732" i="1"/>
  <c r="M732" i="1"/>
  <c r="R731" i="1"/>
  <c r="Q731" i="1"/>
  <c r="P731" i="1"/>
  <c r="O731" i="1"/>
  <c r="M731" i="1"/>
  <c r="R730" i="1"/>
  <c r="Q730" i="1"/>
  <c r="P730" i="1"/>
  <c r="O730" i="1"/>
  <c r="M730" i="1"/>
  <c r="R729" i="1"/>
  <c r="Q729" i="1"/>
  <c r="P729" i="1"/>
  <c r="O729" i="1"/>
  <c r="M729" i="1"/>
  <c r="R728" i="1"/>
  <c r="Q728" i="1"/>
  <c r="P728" i="1"/>
  <c r="O728" i="1"/>
  <c r="M728" i="1"/>
  <c r="R727" i="1"/>
  <c r="Q727" i="1"/>
  <c r="P727" i="1"/>
  <c r="O727" i="1"/>
  <c r="M727" i="1"/>
  <c r="R726" i="1"/>
  <c r="Q726" i="1"/>
  <c r="P726" i="1"/>
  <c r="O726" i="1"/>
  <c r="M726" i="1"/>
  <c r="R725" i="1"/>
  <c r="Q725" i="1"/>
  <c r="P725" i="1"/>
  <c r="O725" i="1"/>
  <c r="M725" i="1"/>
  <c r="R724" i="1"/>
  <c r="Q724" i="1"/>
  <c r="P724" i="1"/>
  <c r="O724" i="1"/>
  <c r="M724" i="1"/>
  <c r="R723" i="1"/>
  <c r="Q723" i="1"/>
  <c r="P723" i="1"/>
  <c r="O723" i="1"/>
  <c r="M723" i="1"/>
  <c r="R722" i="1"/>
  <c r="Q722" i="1"/>
  <c r="P722" i="1"/>
  <c r="O722" i="1"/>
  <c r="M722" i="1"/>
  <c r="R721" i="1"/>
  <c r="Q721" i="1"/>
  <c r="P721" i="1"/>
  <c r="O721" i="1"/>
  <c r="M721" i="1"/>
  <c r="R720" i="1"/>
  <c r="Q720" i="1"/>
  <c r="P720" i="1"/>
  <c r="O720" i="1"/>
  <c r="M720" i="1"/>
  <c r="R719" i="1"/>
  <c r="Q719" i="1"/>
  <c r="P719" i="1"/>
  <c r="O719" i="1"/>
  <c r="M719" i="1"/>
  <c r="R718" i="1"/>
  <c r="Q718" i="1"/>
  <c r="P718" i="1"/>
  <c r="O718" i="1"/>
  <c r="M718" i="1"/>
  <c r="R717" i="1"/>
  <c r="Q717" i="1"/>
  <c r="P717" i="1"/>
  <c r="O717" i="1"/>
  <c r="M717" i="1"/>
  <c r="R716" i="1"/>
  <c r="Q716" i="1"/>
  <c r="P716" i="1"/>
  <c r="O716" i="1"/>
  <c r="M716" i="1"/>
  <c r="R715" i="1"/>
  <c r="Q715" i="1"/>
  <c r="P715" i="1"/>
  <c r="O715" i="1"/>
  <c r="M715" i="1"/>
  <c r="R714" i="1"/>
  <c r="Q714" i="1"/>
  <c r="P714" i="1"/>
  <c r="O714" i="1"/>
  <c r="M714" i="1"/>
  <c r="R713" i="1"/>
  <c r="Q713" i="1"/>
  <c r="P713" i="1"/>
  <c r="O713" i="1"/>
  <c r="M713" i="1"/>
  <c r="R712" i="1"/>
  <c r="Q712" i="1"/>
  <c r="P712" i="1"/>
  <c r="O712" i="1"/>
  <c r="M712" i="1"/>
  <c r="R711" i="1"/>
  <c r="Q711" i="1"/>
  <c r="P711" i="1"/>
  <c r="O711" i="1"/>
  <c r="M711" i="1"/>
  <c r="R710" i="1"/>
  <c r="Q710" i="1"/>
  <c r="P710" i="1"/>
  <c r="O710" i="1"/>
  <c r="M710" i="1"/>
  <c r="R709" i="1"/>
  <c r="Q709" i="1"/>
  <c r="P709" i="1"/>
  <c r="O709" i="1"/>
  <c r="M709" i="1"/>
  <c r="R708" i="1"/>
  <c r="Q708" i="1"/>
  <c r="P708" i="1"/>
  <c r="O708" i="1"/>
  <c r="M708" i="1"/>
  <c r="R707" i="1"/>
  <c r="Q707" i="1"/>
  <c r="P707" i="1"/>
  <c r="O707" i="1"/>
  <c r="M707" i="1"/>
  <c r="R706" i="1"/>
  <c r="Q706" i="1"/>
  <c r="P706" i="1"/>
  <c r="O706" i="1"/>
  <c r="M706" i="1"/>
  <c r="R705" i="1"/>
  <c r="Q705" i="1"/>
  <c r="P705" i="1"/>
  <c r="O705" i="1"/>
  <c r="M705" i="1"/>
  <c r="R704" i="1"/>
  <c r="Q704" i="1"/>
  <c r="P704" i="1"/>
  <c r="O704" i="1"/>
  <c r="M704" i="1"/>
  <c r="R703" i="1"/>
  <c r="Q703" i="1"/>
  <c r="P703" i="1"/>
  <c r="O703" i="1"/>
  <c r="M703" i="1"/>
  <c r="R702" i="1"/>
  <c r="Q702" i="1"/>
  <c r="P702" i="1"/>
  <c r="O702" i="1"/>
  <c r="M702" i="1"/>
  <c r="R701" i="1"/>
  <c r="Q701" i="1"/>
  <c r="P701" i="1"/>
  <c r="O701" i="1"/>
  <c r="M701" i="1"/>
  <c r="R700" i="1"/>
  <c r="Q700" i="1"/>
  <c r="P700" i="1"/>
  <c r="O700" i="1"/>
  <c r="M700" i="1"/>
  <c r="R699" i="1"/>
  <c r="Q699" i="1"/>
  <c r="P699" i="1"/>
  <c r="O699" i="1"/>
  <c r="M699" i="1"/>
  <c r="R698" i="1"/>
  <c r="Q698" i="1"/>
  <c r="P698" i="1"/>
  <c r="O698" i="1"/>
  <c r="M698" i="1"/>
  <c r="R697" i="1"/>
  <c r="Q697" i="1"/>
  <c r="P697" i="1"/>
  <c r="O697" i="1"/>
  <c r="M697" i="1"/>
  <c r="R696" i="1"/>
  <c r="Q696" i="1"/>
  <c r="P696" i="1"/>
  <c r="O696" i="1"/>
  <c r="M696" i="1"/>
  <c r="R695" i="1"/>
  <c r="Q695" i="1"/>
  <c r="P695" i="1"/>
  <c r="O695" i="1"/>
  <c r="M695" i="1"/>
  <c r="R694" i="1"/>
  <c r="Q694" i="1"/>
  <c r="P694" i="1"/>
  <c r="O694" i="1"/>
  <c r="M694" i="1"/>
  <c r="R693" i="1"/>
  <c r="Q693" i="1"/>
  <c r="P693" i="1"/>
  <c r="O693" i="1"/>
  <c r="M693" i="1"/>
  <c r="R692" i="1"/>
  <c r="Q692" i="1"/>
  <c r="P692" i="1"/>
  <c r="O692" i="1"/>
  <c r="M692" i="1"/>
  <c r="R691" i="1"/>
  <c r="Q691" i="1"/>
  <c r="P691" i="1"/>
  <c r="O691" i="1"/>
  <c r="M691" i="1"/>
  <c r="R690" i="1"/>
  <c r="Q690" i="1"/>
  <c r="P690" i="1"/>
  <c r="O690" i="1"/>
  <c r="M690" i="1"/>
  <c r="R689" i="1"/>
  <c r="Q689" i="1"/>
  <c r="P689" i="1"/>
  <c r="O689" i="1"/>
  <c r="M689" i="1"/>
  <c r="R688" i="1"/>
  <c r="Q688" i="1"/>
  <c r="P688" i="1"/>
  <c r="O688" i="1"/>
  <c r="M688" i="1"/>
  <c r="R687" i="1"/>
  <c r="Q687" i="1"/>
  <c r="P687" i="1"/>
  <c r="O687" i="1"/>
  <c r="M687" i="1"/>
  <c r="R686" i="1"/>
  <c r="Q686" i="1"/>
  <c r="P686" i="1"/>
  <c r="O686" i="1"/>
  <c r="M686" i="1"/>
  <c r="R685" i="1"/>
  <c r="Q685" i="1"/>
  <c r="P685" i="1"/>
  <c r="O685" i="1"/>
  <c r="M685" i="1"/>
  <c r="R684" i="1"/>
  <c r="Q684" i="1"/>
  <c r="P684" i="1"/>
  <c r="O684" i="1"/>
  <c r="M684" i="1"/>
  <c r="R683" i="1"/>
  <c r="Q683" i="1"/>
  <c r="P683" i="1"/>
  <c r="O683" i="1"/>
  <c r="M683" i="1"/>
  <c r="R682" i="1"/>
  <c r="Q682" i="1"/>
  <c r="P682" i="1"/>
  <c r="O682" i="1"/>
  <c r="M682" i="1"/>
  <c r="R681" i="1"/>
  <c r="Q681" i="1"/>
  <c r="P681" i="1"/>
  <c r="O681" i="1"/>
  <c r="M681" i="1"/>
  <c r="R680" i="1"/>
  <c r="Q680" i="1"/>
  <c r="P680" i="1"/>
  <c r="O680" i="1"/>
  <c r="M680" i="1"/>
  <c r="R679" i="1"/>
  <c r="Q679" i="1"/>
  <c r="P679" i="1"/>
  <c r="O679" i="1"/>
  <c r="M679" i="1"/>
  <c r="R678" i="1"/>
  <c r="Q678" i="1"/>
  <c r="P678" i="1"/>
  <c r="O678" i="1"/>
  <c r="M678" i="1"/>
  <c r="R677" i="1"/>
  <c r="Q677" i="1"/>
  <c r="P677" i="1"/>
  <c r="O677" i="1"/>
  <c r="M677" i="1"/>
  <c r="R676" i="1"/>
  <c r="Q676" i="1"/>
  <c r="P676" i="1"/>
  <c r="O676" i="1"/>
  <c r="M676" i="1"/>
  <c r="R675" i="1"/>
  <c r="Q675" i="1"/>
  <c r="P675" i="1"/>
  <c r="O675" i="1"/>
  <c r="M675" i="1"/>
  <c r="R674" i="1"/>
  <c r="Q674" i="1"/>
  <c r="P674" i="1"/>
  <c r="O674" i="1"/>
  <c r="M674" i="1"/>
  <c r="R673" i="1"/>
  <c r="Q673" i="1"/>
  <c r="P673" i="1"/>
  <c r="O673" i="1"/>
  <c r="M673" i="1"/>
  <c r="R672" i="1"/>
  <c r="Q672" i="1"/>
  <c r="P672" i="1"/>
  <c r="O672" i="1"/>
  <c r="M672" i="1"/>
  <c r="R671" i="1"/>
  <c r="Q671" i="1"/>
  <c r="P671" i="1"/>
  <c r="O671" i="1"/>
  <c r="M671" i="1"/>
  <c r="R670" i="1"/>
  <c r="Q670" i="1"/>
  <c r="P670" i="1"/>
  <c r="O670" i="1"/>
  <c r="M670" i="1"/>
  <c r="R669" i="1"/>
  <c r="Q669" i="1"/>
  <c r="P669" i="1"/>
  <c r="O669" i="1"/>
  <c r="M669" i="1"/>
  <c r="R668" i="1"/>
  <c r="Q668" i="1"/>
  <c r="P668" i="1"/>
  <c r="O668" i="1"/>
  <c r="M668" i="1"/>
  <c r="R667" i="1"/>
  <c r="Q667" i="1"/>
  <c r="P667" i="1"/>
  <c r="O667" i="1"/>
  <c r="M667" i="1"/>
  <c r="R666" i="1"/>
  <c r="Q666" i="1"/>
  <c r="P666" i="1"/>
  <c r="O666" i="1"/>
  <c r="M666" i="1"/>
  <c r="R665" i="1"/>
  <c r="Q665" i="1"/>
  <c r="P665" i="1"/>
  <c r="O665" i="1"/>
  <c r="M665" i="1"/>
  <c r="R664" i="1"/>
  <c r="Q664" i="1"/>
  <c r="P664" i="1"/>
  <c r="O664" i="1"/>
  <c r="M664" i="1"/>
  <c r="R663" i="1"/>
  <c r="Q663" i="1"/>
  <c r="P663" i="1"/>
  <c r="O663" i="1"/>
  <c r="M663" i="1"/>
  <c r="R662" i="1"/>
  <c r="Q662" i="1"/>
  <c r="P662" i="1"/>
  <c r="O662" i="1"/>
  <c r="M662" i="1"/>
  <c r="R661" i="1"/>
  <c r="Q661" i="1"/>
  <c r="P661" i="1"/>
  <c r="O661" i="1"/>
  <c r="M661" i="1"/>
  <c r="R660" i="1"/>
  <c r="Q660" i="1"/>
  <c r="P660" i="1"/>
  <c r="O660" i="1"/>
  <c r="M660" i="1"/>
  <c r="R659" i="1"/>
  <c r="Q659" i="1"/>
  <c r="P659" i="1"/>
  <c r="O659" i="1"/>
  <c r="M659" i="1"/>
  <c r="R658" i="1"/>
  <c r="Q658" i="1"/>
  <c r="P658" i="1"/>
  <c r="O658" i="1"/>
  <c r="M658" i="1"/>
  <c r="R657" i="1"/>
  <c r="Q657" i="1"/>
  <c r="P657" i="1"/>
  <c r="O657" i="1"/>
  <c r="M657" i="1"/>
  <c r="R656" i="1"/>
  <c r="Q656" i="1"/>
  <c r="P656" i="1"/>
  <c r="O656" i="1"/>
  <c r="M656" i="1"/>
  <c r="R655" i="1"/>
  <c r="Q655" i="1"/>
  <c r="P655" i="1"/>
  <c r="O655" i="1"/>
  <c r="M655" i="1"/>
  <c r="R654" i="1"/>
  <c r="Q654" i="1"/>
  <c r="P654" i="1"/>
  <c r="O654" i="1"/>
  <c r="M654" i="1"/>
  <c r="R653" i="1"/>
  <c r="Q653" i="1"/>
  <c r="P653" i="1"/>
  <c r="O653" i="1"/>
  <c r="M653" i="1"/>
  <c r="R652" i="1"/>
  <c r="Q652" i="1"/>
  <c r="P652" i="1"/>
  <c r="O652" i="1"/>
  <c r="M652" i="1"/>
  <c r="R651" i="1"/>
  <c r="Q651" i="1"/>
  <c r="P651" i="1"/>
  <c r="O651" i="1"/>
  <c r="M651" i="1"/>
  <c r="R650" i="1"/>
  <c r="Q650" i="1"/>
  <c r="P650" i="1"/>
  <c r="O650" i="1"/>
  <c r="M650" i="1"/>
  <c r="R649" i="1"/>
  <c r="Q649" i="1"/>
  <c r="P649" i="1"/>
  <c r="O649" i="1"/>
  <c r="M649" i="1"/>
  <c r="R648" i="1"/>
  <c r="Q648" i="1"/>
  <c r="P648" i="1"/>
  <c r="O648" i="1"/>
  <c r="M648" i="1"/>
  <c r="R647" i="1"/>
  <c r="Q647" i="1"/>
  <c r="P647" i="1"/>
  <c r="O647" i="1"/>
  <c r="M647" i="1"/>
  <c r="R646" i="1"/>
  <c r="Q646" i="1"/>
  <c r="P646" i="1"/>
  <c r="O646" i="1"/>
  <c r="M646" i="1"/>
  <c r="R645" i="1"/>
  <c r="Q645" i="1"/>
  <c r="P645" i="1"/>
  <c r="O645" i="1"/>
  <c r="M645" i="1"/>
  <c r="R644" i="1"/>
  <c r="Q644" i="1"/>
  <c r="P644" i="1"/>
  <c r="O644" i="1"/>
  <c r="M644" i="1"/>
  <c r="R643" i="1"/>
  <c r="Q643" i="1"/>
  <c r="P643" i="1"/>
  <c r="O643" i="1"/>
  <c r="M643" i="1"/>
  <c r="R642" i="1"/>
  <c r="Q642" i="1"/>
  <c r="P642" i="1"/>
  <c r="O642" i="1"/>
  <c r="M642" i="1"/>
  <c r="R641" i="1"/>
  <c r="Q641" i="1"/>
  <c r="P641" i="1"/>
  <c r="O641" i="1"/>
  <c r="M641" i="1"/>
  <c r="R640" i="1"/>
  <c r="Q640" i="1"/>
  <c r="P640" i="1"/>
  <c r="O640" i="1"/>
  <c r="M640" i="1"/>
  <c r="R639" i="1"/>
  <c r="Q639" i="1"/>
  <c r="P639" i="1"/>
  <c r="O639" i="1"/>
  <c r="M639" i="1"/>
  <c r="R638" i="1"/>
  <c r="Q638" i="1"/>
  <c r="P638" i="1"/>
  <c r="O638" i="1"/>
  <c r="M638" i="1"/>
  <c r="R637" i="1"/>
  <c r="Q637" i="1"/>
  <c r="P637" i="1"/>
  <c r="O637" i="1"/>
  <c r="M637" i="1"/>
  <c r="R636" i="1"/>
  <c r="Q636" i="1"/>
  <c r="P636" i="1"/>
  <c r="O636" i="1"/>
  <c r="M636" i="1"/>
  <c r="R635" i="1"/>
  <c r="Q635" i="1"/>
  <c r="P635" i="1"/>
  <c r="O635" i="1"/>
  <c r="M635" i="1"/>
  <c r="R634" i="1"/>
  <c r="Q634" i="1"/>
  <c r="P634" i="1"/>
  <c r="O634" i="1"/>
  <c r="M634" i="1"/>
  <c r="R633" i="1"/>
  <c r="Q633" i="1"/>
  <c r="P633" i="1"/>
  <c r="O633" i="1"/>
  <c r="M633" i="1"/>
  <c r="R632" i="1"/>
  <c r="Q632" i="1"/>
  <c r="P632" i="1"/>
  <c r="O632" i="1"/>
  <c r="M632" i="1"/>
  <c r="R631" i="1"/>
  <c r="Q631" i="1"/>
  <c r="P631" i="1"/>
  <c r="O631" i="1"/>
  <c r="M631" i="1"/>
  <c r="R630" i="1"/>
  <c r="Q630" i="1"/>
  <c r="P630" i="1"/>
  <c r="O630" i="1"/>
  <c r="M630" i="1"/>
  <c r="R629" i="1"/>
  <c r="Q629" i="1"/>
  <c r="P629" i="1"/>
  <c r="O629" i="1"/>
  <c r="M629" i="1"/>
  <c r="R628" i="1"/>
  <c r="Q628" i="1"/>
  <c r="P628" i="1"/>
  <c r="O628" i="1"/>
  <c r="M628" i="1"/>
  <c r="R627" i="1"/>
  <c r="Q627" i="1"/>
  <c r="P627" i="1"/>
  <c r="O627" i="1"/>
  <c r="M627" i="1"/>
  <c r="R626" i="1"/>
  <c r="Q626" i="1"/>
  <c r="P626" i="1"/>
  <c r="O626" i="1"/>
  <c r="M626" i="1"/>
  <c r="R625" i="1"/>
  <c r="Q625" i="1"/>
  <c r="P625" i="1"/>
  <c r="O625" i="1"/>
  <c r="M625" i="1"/>
  <c r="R624" i="1"/>
  <c r="Q624" i="1"/>
  <c r="P624" i="1"/>
  <c r="O624" i="1"/>
  <c r="M624" i="1"/>
  <c r="R623" i="1"/>
  <c r="Q623" i="1"/>
  <c r="P623" i="1"/>
  <c r="O623" i="1"/>
  <c r="M623" i="1"/>
  <c r="R622" i="1"/>
  <c r="Q622" i="1"/>
  <c r="P622" i="1"/>
  <c r="O622" i="1"/>
  <c r="M622" i="1"/>
  <c r="R621" i="1"/>
  <c r="Q621" i="1"/>
  <c r="P621" i="1"/>
  <c r="O621" i="1"/>
  <c r="M621" i="1"/>
  <c r="R620" i="1"/>
  <c r="Q620" i="1"/>
  <c r="P620" i="1"/>
  <c r="O620" i="1"/>
  <c r="M620" i="1"/>
  <c r="R619" i="1"/>
  <c r="Q619" i="1"/>
  <c r="P619" i="1"/>
  <c r="O619" i="1"/>
  <c r="M619" i="1"/>
  <c r="R618" i="1"/>
  <c r="Q618" i="1"/>
  <c r="P618" i="1"/>
  <c r="O618" i="1"/>
  <c r="M618" i="1"/>
  <c r="R617" i="1"/>
  <c r="Q617" i="1"/>
  <c r="P617" i="1"/>
  <c r="O617" i="1"/>
  <c r="M617" i="1"/>
  <c r="R616" i="1"/>
  <c r="Q616" i="1"/>
  <c r="P616" i="1"/>
  <c r="O616" i="1"/>
  <c r="M616" i="1"/>
  <c r="R615" i="1"/>
  <c r="Q615" i="1"/>
  <c r="P615" i="1"/>
  <c r="O615" i="1"/>
  <c r="M615" i="1"/>
  <c r="R614" i="1"/>
  <c r="Q614" i="1"/>
  <c r="P614" i="1"/>
  <c r="O614" i="1"/>
  <c r="M614" i="1"/>
  <c r="R613" i="1"/>
  <c r="Q613" i="1"/>
  <c r="P613" i="1"/>
  <c r="O613" i="1"/>
  <c r="M613" i="1"/>
  <c r="R612" i="1"/>
  <c r="Q612" i="1"/>
  <c r="P612" i="1"/>
  <c r="O612" i="1"/>
  <c r="M612" i="1"/>
  <c r="R611" i="1"/>
  <c r="Q611" i="1"/>
  <c r="P611" i="1"/>
  <c r="O611" i="1"/>
  <c r="M611" i="1"/>
  <c r="R610" i="1"/>
  <c r="Q610" i="1"/>
  <c r="P610" i="1"/>
  <c r="O610" i="1"/>
  <c r="M610" i="1"/>
  <c r="R609" i="1"/>
  <c r="Q609" i="1"/>
  <c r="P609" i="1"/>
  <c r="O609" i="1"/>
  <c r="M609" i="1"/>
  <c r="R608" i="1"/>
  <c r="Q608" i="1"/>
  <c r="P608" i="1"/>
  <c r="O608" i="1"/>
  <c r="M608" i="1"/>
  <c r="R607" i="1"/>
  <c r="Q607" i="1"/>
  <c r="P607" i="1"/>
  <c r="O607" i="1"/>
  <c r="M607" i="1"/>
  <c r="R606" i="1"/>
  <c r="Q606" i="1"/>
  <c r="P606" i="1"/>
  <c r="O606" i="1"/>
  <c r="M606" i="1"/>
  <c r="R605" i="1"/>
  <c r="Q605" i="1"/>
  <c r="P605" i="1"/>
  <c r="O605" i="1"/>
  <c r="M605" i="1"/>
  <c r="R604" i="1"/>
  <c r="Q604" i="1"/>
  <c r="P604" i="1"/>
  <c r="O604" i="1"/>
  <c r="M604" i="1"/>
  <c r="R603" i="1"/>
  <c r="Q603" i="1"/>
  <c r="P603" i="1"/>
  <c r="O603" i="1"/>
  <c r="M603" i="1"/>
  <c r="R602" i="1"/>
  <c r="Q602" i="1"/>
  <c r="P602" i="1"/>
  <c r="O602" i="1"/>
  <c r="M602" i="1"/>
  <c r="R601" i="1"/>
  <c r="Q601" i="1"/>
  <c r="P601" i="1"/>
  <c r="O601" i="1"/>
  <c r="M601" i="1"/>
  <c r="R600" i="1"/>
  <c r="Q600" i="1"/>
  <c r="P600" i="1"/>
  <c r="O600" i="1"/>
  <c r="M600" i="1"/>
  <c r="R599" i="1"/>
  <c r="Q599" i="1"/>
  <c r="P599" i="1"/>
  <c r="O599" i="1"/>
  <c r="M599" i="1"/>
  <c r="R598" i="1"/>
  <c r="Q598" i="1"/>
  <c r="P598" i="1"/>
  <c r="O598" i="1"/>
  <c r="M598" i="1"/>
  <c r="R597" i="1"/>
  <c r="Q597" i="1"/>
  <c r="P597" i="1"/>
  <c r="O597" i="1"/>
  <c r="M597" i="1"/>
  <c r="R596" i="1"/>
  <c r="Q596" i="1"/>
  <c r="P596" i="1"/>
  <c r="O596" i="1"/>
  <c r="M596" i="1"/>
  <c r="R595" i="1"/>
  <c r="Q595" i="1"/>
  <c r="P595" i="1"/>
  <c r="O595" i="1"/>
  <c r="M595" i="1"/>
  <c r="R594" i="1"/>
  <c r="Q594" i="1"/>
  <c r="P594" i="1"/>
  <c r="O594" i="1"/>
  <c r="M594" i="1"/>
  <c r="R593" i="1"/>
  <c r="Q593" i="1"/>
  <c r="P593" i="1"/>
  <c r="O593" i="1"/>
  <c r="M593" i="1"/>
  <c r="R592" i="1"/>
  <c r="Q592" i="1"/>
  <c r="P592" i="1"/>
  <c r="O592" i="1"/>
  <c r="M592" i="1"/>
  <c r="R591" i="1"/>
  <c r="Q591" i="1"/>
  <c r="P591" i="1"/>
  <c r="O591" i="1"/>
  <c r="M591" i="1"/>
  <c r="R590" i="1"/>
  <c r="Q590" i="1"/>
  <c r="P590" i="1"/>
  <c r="O590" i="1"/>
  <c r="M590" i="1"/>
  <c r="R589" i="1"/>
  <c r="Q589" i="1"/>
  <c r="P589" i="1"/>
  <c r="O589" i="1"/>
  <c r="M589" i="1"/>
  <c r="R588" i="1"/>
  <c r="Q588" i="1"/>
  <c r="P588" i="1"/>
  <c r="O588" i="1"/>
  <c r="M588" i="1"/>
  <c r="R587" i="1"/>
  <c r="Q587" i="1"/>
  <c r="P587" i="1"/>
  <c r="O587" i="1"/>
  <c r="M587" i="1"/>
  <c r="R586" i="1"/>
  <c r="Q586" i="1"/>
  <c r="P586" i="1"/>
  <c r="O586" i="1"/>
  <c r="M586" i="1"/>
  <c r="R585" i="1"/>
  <c r="Q585" i="1"/>
  <c r="P585" i="1"/>
  <c r="O585" i="1"/>
  <c r="M585" i="1"/>
  <c r="R584" i="1"/>
  <c r="Q584" i="1"/>
  <c r="P584" i="1"/>
  <c r="O584" i="1"/>
  <c r="M584" i="1"/>
  <c r="R583" i="1"/>
  <c r="Q583" i="1"/>
  <c r="P583" i="1"/>
  <c r="O583" i="1"/>
  <c r="M583" i="1"/>
  <c r="R582" i="1"/>
  <c r="Q582" i="1"/>
  <c r="P582" i="1"/>
  <c r="O582" i="1"/>
  <c r="M582" i="1"/>
  <c r="R581" i="1"/>
  <c r="Q581" i="1"/>
  <c r="P581" i="1"/>
  <c r="O581" i="1"/>
  <c r="M581" i="1"/>
  <c r="R580" i="1"/>
  <c r="Q580" i="1"/>
  <c r="P580" i="1"/>
  <c r="O580" i="1"/>
  <c r="M580" i="1"/>
  <c r="R579" i="1"/>
  <c r="Q579" i="1"/>
  <c r="P579" i="1"/>
  <c r="O579" i="1"/>
  <c r="M579" i="1"/>
  <c r="R578" i="1"/>
  <c r="Q578" i="1"/>
  <c r="P578" i="1"/>
  <c r="O578" i="1"/>
  <c r="M578" i="1"/>
  <c r="R577" i="1"/>
  <c r="Q577" i="1"/>
  <c r="P577" i="1"/>
  <c r="O577" i="1"/>
  <c r="M577" i="1"/>
  <c r="R576" i="1"/>
  <c r="Q576" i="1"/>
  <c r="P576" i="1"/>
  <c r="O576" i="1"/>
  <c r="M576" i="1"/>
  <c r="R575" i="1"/>
  <c r="Q575" i="1"/>
  <c r="P575" i="1"/>
  <c r="O575" i="1"/>
  <c r="M575" i="1"/>
  <c r="R574" i="1"/>
  <c r="Q574" i="1"/>
  <c r="P574" i="1"/>
  <c r="O574" i="1"/>
  <c r="M574" i="1"/>
  <c r="R573" i="1"/>
  <c r="Q573" i="1"/>
  <c r="P573" i="1"/>
  <c r="O573" i="1"/>
  <c r="M573" i="1"/>
  <c r="R572" i="1"/>
  <c r="Q572" i="1"/>
  <c r="P572" i="1"/>
  <c r="O572" i="1"/>
  <c r="M572" i="1"/>
  <c r="R571" i="1"/>
  <c r="Q571" i="1"/>
  <c r="P571" i="1"/>
  <c r="O571" i="1"/>
  <c r="M571" i="1"/>
  <c r="R570" i="1"/>
  <c r="Q570" i="1"/>
  <c r="P570" i="1"/>
  <c r="O570" i="1"/>
  <c r="M570" i="1"/>
  <c r="R569" i="1"/>
  <c r="Q569" i="1"/>
  <c r="P569" i="1"/>
  <c r="O569" i="1"/>
  <c r="M569" i="1"/>
  <c r="R568" i="1"/>
  <c r="Q568" i="1"/>
  <c r="P568" i="1"/>
  <c r="O568" i="1"/>
  <c r="M568" i="1"/>
  <c r="R567" i="1"/>
  <c r="Q567" i="1"/>
  <c r="P567" i="1"/>
  <c r="O567" i="1"/>
  <c r="M567" i="1"/>
  <c r="R566" i="1"/>
  <c r="Q566" i="1"/>
  <c r="P566" i="1"/>
  <c r="O566" i="1"/>
  <c r="M566" i="1"/>
  <c r="R565" i="1"/>
  <c r="Q565" i="1"/>
  <c r="P565" i="1"/>
  <c r="O565" i="1"/>
  <c r="M565" i="1"/>
  <c r="R564" i="1"/>
  <c r="Q564" i="1"/>
  <c r="P564" i="1"/>
  <c r="O564" i="1"/>
  <c r="M564" i="1"/>
  <c r="R563" i="1"/>
  <c r="Q563" i="1"/>
  <c r="P563" i="1"/>
  <c r="O563" i="1"/>
  <c r="M563" i="1"/>
  <c r="R562" i="1"/>
  <c r="Q562" i="1"/>
  <c r="P562" i="1"/>
  <c r="O562" i="1"/>
  <c r="M562" i="1"/>
  <c r="R561" i="1"/>
  <c r="Q561" i="1"/>
  <c r="P561" i="1"/>
  <c r="O561" i="1"/>
  <c r="M561" i="1"/>
  <c r="R560" i="1"/>
  <c r="Q560" i="1"/>
  <c r="P560" i="1"/>
  <c r="O560" i="1"/>
  <c r="M560" i="1"/>
  <c r="R559" i="1"/>
  <c r="Q559" i="1"/>
  <c r="P559" i="1"/>
  <c r="O559" i="1"/>
  <c r="M559" i="1"/>
  <c r="R558" i="1"/>
  <c r="Q558" i="1"/>
  <c r="P558" i="1"/>
  <c r="O558" i="1"/>
  <c r="M558" i="1"/>
  <c r="R557" i="1"/>
  <c r="Q557" i="1"/>
  <c r="P557" i="1"/>
  <c r="O557" i="1"/>
  <c r="M557" i="1"/>
  <c r="R556" i="1"/>
  <c r="Q556" i="1"/>
  <c r="P556" i="1"/>
  <c r="O556" i="1"/>
  <c r="M556" i="1"/>
  <c r="R555" i="1"/>
  <c r="Q555" i="1"/>
  <c r="P555" i="1"/>
  <c r="O555" i="1"/>
  <c r="M555" i="1"/>
  <c r="R554" i="1"/>
  <c r="Q554" i="1"/>
  <c r="P554" i="1"/>
  <c r="O554" i="1"/>
  <c r="M554" i="1"/>
  <c r="R553" i="1"/>
  <c r="Q553" i="1"/>
  <c r="P553" i="1"/>
  <c r="O553" i="1"/>
  <c r="M553" i="1"/>
  <c r="R552" i="1"/>
  <c r="Q552" i="1"/>
  <c r="P552" i="1"/>
  <c r="O552" i="1"/>
  <c r="M552" i="1"/>
  <c r="R551" i="1"/>
  <c r="Q551" i="1"/>
  <c r="P551" i="1"/>
  <c r="O551" i="1"/>
  <c r="M551" i="1"/>
  <c r="R550" i="1"/>
  <c r="Q550" i="1"/>
  <c r="P550" i="1"/>
  <c r="O550" i="1"/>
  <c r="M550" i="1"/>
  <c r="R549" i="1"/>
  <c r="Q549" i="1"/>
  <c r="P549" i="1"/>
  <c r="O549" i="1"/>
  <c r="M549" i="1"/>
  <c r="R548" i="1"/>
  <c r="Q548" i="1"/>
  <c r="P548" i="1"/>
  <c r="O548" i="1"/>
  <c r="M548" i="1"/>
  <c r="R547" i="1"/>
  <c r="Q547" i="1"/>
  <c r="P547" i="1"/>
  <c r="O547" i="1"/>
  <c r="M547" i="1"/>
  <c r="R546" i="1"/>
  <c r="Q546" i="1"/>
  <c r="P546" i="1"/>
  <c r="O546" i="1"/>
  <c r="M546" i="1"/>
  <c r="R545" i="1"/>
  <c r="Q545" i="1"/>
  <c r="P545" i="1"/>
  <c r="O545" i="1"/>
  <c r="M545" i="1"/>
  <c r="R544" i="1"/>
  <c r="Q544" i="1"/>
  <c r="P544" i="1"/>
  <c r="O544" i="1"/>
  <c r="M544" i="1"/>
  <c r="R543" i="1"/>
  <c r="Q543" i="1"/>
  <c r="P543" i="1"/>
  <c r="O543" i="1"/>
  <c r="M543" i="1"/>
  <c r="R542" i="1"/>
  <c r="Q542" i="1"/>
  <c r="P542" i="1"/>
  <c r="O542" i="1"/>
  <c r="M542" i="1"/>
  <c r="R541" i="1"/>
  <c r="Q541" i="1"/>
  <c r="P541" i="1"/>
  <c r="O541" i="1"/>
  <c r="M541" i="1"/>
  <c r="R540" i="1"/>
  <c r="Q540" i="1"/>
  <c r="P540" i="1"/>
  <c r="O540" i="1"/>
  <c r="M540" i="1"/>
  <c r="R539" i="1"/>
  <c r="Q539" i="1"/>
  <c r="P539" i="1"/>
  <c r="O539" i="1"/>
  <c r="M539" i="1"/>
  <c r="R538" i="1"/>
  <c r="Q538" i="1"/>
  <c r="P538" i="1"/>
  <c r="O538" i="1"/>
  <c r="M538" i="1"/>
  <c r="R537" i="1"/>
  <c r="Q537" i="1"/>
  <c r="P537" i="1"/>
  <c r="O537" i="1"/>
  <c r="M537" i="1"/>
  <c r="R536" i="1"/>
  <c r="Q536" i="1"/>
  <c r="P536" i="1"/>
  <c r="O536" i="1"/>
  <c r="M536" i="1"/>
  <c r="R535" i="1"/>
  <c r="Q535" i="1"/>
  <c r="P535" i="1"/>
  <c r="O535" i="1"/>
  <c r="M535" i="1"/>
  <c r="R534" i="1"/>
  <c r="Q534" i="1"/>
  <c r="P534" i="1"/>
  <c r="O534" i="1"/>
  <c r="M534" i="1"/>
  <c r="R533" i="1"/>
  <c r="Q533" i="1"/>
  <c r="P533" i="1"/>
  <c r="O533" i="1"/>
  <c r="M533" i="1"/>
  <c r="R532" i="1"/>
  <c r="Q532" i="1"/>
  <c r="P532" i="1"/>
  <c r="O532" i="1"/>
  <c r="M532" i="1"/>
  <c r="R531" i="1"/>
  <c r="Q531" i="1"/>
  <c r="P531" i="1"/>
  <c r="O531" i="1"/>
  <c r="M531" i="1"/>
  <c r="R530" i="1"/>
  <c r="Q530" i="1"/>
  <c r="P530" i="1"/>
  <c r="O530" i="1"/>
  <c r="M530" i="1"/>
  <c r="R529" i="1"/>
  <c r="Q529" i="1"/>
  <c r="P529" i="1"/>
  <c r="O529" i="1"/>
  <c r="M529" i="1"/>
  <c r="R528" i="1"/>
  <c r="Q528" i="1"/>
  <c r="P528" i="1"/>
  <c r="O528" i="1"/>
  <c r="M528" i="1"/>
  <c r="R527" i="1"/>
  <c r="Q527" i="1"/>
  <c r="P527" i="1"/>
  <c r="O527" i="1"/>
  <c r="M527" i="1"/>
  <c r="R526" i="1"/>
  <c r="Q526" i="1"/>
  <c r="P526" i="1"/>
  <c r="O526" i="1"/>
  <c r="M526" i="1"/>
  <c r="R525" i="1"/>
  <c r="Q525" i="1"/>
  <c r="P525" i="1"/>
  <c r="O525" i="1"/>
  <c r="M525" i="1"/>
  <c r="R524" i="1"/>
  <c r="Q524" i="1"/>
  <c r="P524" i="1"/>
  <c r="O524" i="1"/>
  <c r="M524" i="1"/>
  <c r="R523" i="1"/>
  <c r="Q523" i="1"/>
  <c r="P523" i="1"/>
  <c r="O523" i="1"/>
  <c r="M523" i="1"/>
  <c r="R522" i="1"/>
  <c r="Q522" i="1"/>
  <c r="P522" i="1"/>
  <c r="O522" i="1"/>
  <c r="M522" i="1"/>
  <c r="R521" i="1"/>
  <c r="Q521" i="1"/>
  <c r="P521" i="1"/>
  <c r="O521" i="1"/>
  <c r="M521" i="1"/>
  <c r="R520" i="1"/>
  <c r="Q520" i="1"/>
  <c r="P520" i="1"/>
  <c r="O520" i="1"/>
  <c r="M520" i="1"/>
  <c r="R519" i="1"/>
  <c r="Q519" i="1"/>
  <c r="P519" i="1"/>
  <c r="O519" i="1"/>
  <c r="M519" i="1"/>
  <c r="R518" i="1"/>
  <c r="Q518" i="1"/>
  <c r="P518" i="1"/>
  <c r="O518" i="1"/>
  <c r="M518" i="1"/>
  <c r="R517" i="1"/>
  <c r="Q517" i="1"/>
  <c r="P517" i="1"/>
  <c r="O517" i="1"/>
  <c r="M517" i="1"/>
  <c r="R516" i="1"/>
  <c r="Q516" i="1"/>
  <c r="P516" i="1"/>
  <c r="O516" i="1"/>
  <c r="M516" i="1"/>
  <c r="R515" i="1"/>
  <c r="Q515" i="1"/>
  <c r="P515" i="1"/>
  <c r="O515" i="1"/>
  <c r="M515" i="1"/>
  <c r="R514" i="1"/>
  <c r="Q514" i="1"/>
  <c r="P514" i="1"/>
  <c r="O514" i="1"/>
  <c r="M514" i="1"/>
  <c r="R513" i="1"/>
  <c r="Q513" i="1"/>
  <c r="P513" i="1"/>
  <c r="O513" i="1"/>
  <c r="M513" i="1"/>
  <c r="R512" i="1"/>
  <c r="Q512" i="1"/>
  <c r="P512" i="1"/>
  <c r="O512" i="1"/>
  <c r="M512" i="1"/>
  <c r="R511" i="1"/>
  <c r="Q511" i="1"/>
  <c r="P511" i="1"/>
  <c r="O511" i="1"/>
  <c r="M511" i="1"/>
  <c r="R510" i="1"/>
  <c r="Q510" i="1"/>
  <c r="P510" i="1"/>
  <c r="O510" i="1"/>
  <c r="M510" i="1"/>
  <c r="R509" i="1"/>
  <c r="Q509" i="1"/>
  <c r="P509" i="1"/>
  <c r="O509" i="1"/>
  <c r="M509" i="1"/>
  <c r="R508" i="1"/>
  <c r="Q508" i="1"/>
  <c r="P508" i="1"/>
  <c r="O508" i="1"/>
  <c r="M508" i="1"/>
  <c r="R507" i="1"/>
  <c r="Q507" i="1"/>
  <c r="P507" i="1"/>
  <c r="O507" i="1"/>
  <c r="M507" i="1"/>
  <c r="R506" i="1"/>
  <c r="Q506" i="1"/>
  <c r="P506" i="1"/>
  <c r="O506" i="1"/>
  <c r="M506" i="1"/>
  <c r="R505" i="1"/>
  <c r="Q505" i="1"/>
  <c r="P505" i="1"/>
  <c r="O505" i="1"/>
  <c r="M505" i="1"/>
  <c r="R504" i="1"/>
  <c r="Q504" i="1"/>
  <c r="P504" i="1"/>
  <c r="O504" i="1"/>
  <c r="M504" i="1"/>
  <c r="R503" i="1"/>
  <c r="Q503" i="1"/>
  <c r="P503" i="1"/>
  <c r="O503" i="1"/>
  <c r="M503" i="1"/>
  <c r="R502" i="1"/>
  <c r="Q502" i="1"/>
  <c r="P502" i="1"/>
  <c r="O502" i="1"/>
  <c r="M502" i="1"/>
  <c r="R501" i="1"/>
  <c r="Q501" i="1"/>
  <c r="P501" i="1"/>
  <c r="O501" i="1"/>
  <c r="M501" i="1"/>
  <c r="R500" i="1"/>
  <c r="Q500" i="1"/>
  <c r="P500" i="1"/>
  <c r="O500" i="1"/>
  <c r="M500" i="1"/>
  <c r="R499" i="1"/>
  <c r="Q499" i="1"/>
  <c r="P499" i="1"/>
  <c r="O499" i="1"/>
  <c r="M499" i="1"/>
  <c r="R498" i="1"/>
  <c r="Q498" i="1"/>
  <c r="P498" i="1"/>
  <c r="O498" i="1"/>
  <c r="M498" i="1"/>
  <c r="R497" i="1"/>
  <c r="Q497" i="1"/>
  <c r="P497" i="1"/>
  <c r="O497" i="1"/>
  <c r="M497" i="1"/>
  <c r="R496" i="1"/>
  <c r="Q496" i="1"/>
  <c r="P496" i="1"/>
  <c r="O496" i="1"/>
  <c r="M496" i="1"/>
  <c r="R495" i="1"/>
  <c r="Q495" i="1"/>
  <c r="P495" i="1"/>
  <c r="O495" i="1"/>
  <c r="M495" i="1"/>
  <c r="R494" i="1"/>
  <c r="Q494" i="1"/>
  <c r="P494" i="1"/>
  <c r="O494" i="1"/>
  <c r="M494" i="1"/>
  <c r="R493" i="1"/>
  <c r="Q493" i="1"/>
  <c r="P493" i="1"/>
  <c r="O493" i="1"/>
  <c r="M493" i="1"/>
  <c r="R492" i="1"/>
  <c r="Q492" i="1"/>
  <c r="P492" i="1"/>
  <c r="O492" i="1"/>
  <c r="M492" i="1"/>
  <c r="R491" i="1"/>
  <c r="Q491" i="1"/>
  <c r="P491" i="1"/>
  <c r="O491" i="1"/>
  <c r="M491" i="1"/>
  <c r="R490" i="1"/>
  <c r="Q490" i="1"/>
  <c r="P490" i="1"/>
  <c r="O490" i="1"/>
  <c r="M490" i="1"/>
  <c r="R489" i="1"/>
  <c r="Q489" i="1"/>
  <c r="P489" i="1"/>
  <c r="O489" i="1"/>
  <c r="M489" i="1"/>
  <c r="R488" i="1"/>
  <c r="Q488" i="1"/>
  <c r="P488" i="1"/>
  <c r="O488" i="1"/>
  <c r="M488" i="1"/>
  <c r="R487" i="1"/>
  <c r="Q487" i="1"/>
  <c r="P487" i="1"/>
  <c r="O487" i="1"/>
  <c r="M487" i="1"/>
  <c r="R486" i="1"/>
  <c r="Q486" i="1"/>
  <c r="P486" i="1"/>
  <c r="O486" i="1"/>
  <c r="M486" i="1"/>
  <c r="R485" i="1"/>
  <c r="Q485" i="1"/>
  <c r="P485" i="1"/>
  <c r="O485" i="1"/>
  <c r="M485" i="1"/>
  <c r="R484" i="1"/>
  <c r="Q484" i="1"/>
  <c r="P484" i="1"/>
  <c r="O484" i="1"/>
  <c r="M484" i="1"/>
  <c r="R483" i="1"/>
  <c r="Q483" i="1"/>
  <c r="P483" i="1"/>
  <c r="O483" i="1"/>
  <c r="M483" i="1"/>
  <c r="R482" i="1"/>
  <c r="Q482" i="1"/>
  <c r="P482" i="1"/>
  <c r="O482" i="1"/>
  <c r="M482" i="1"/>
  <c r="R481" i="1"/>
  <c r="Q481" i="1"/>
  <c r="P481" i="1"/>
  <c r="O481" i="1"/>
  <c r="M481" i="1"/>
  <c r="R480" i="1"/>
  <c r="Q480" i="1"/>
  <c r="P480" i="1"/>
  <c r="O480" i="1"/>
  <c r="M480" i="1"/>
  <c r="R479" i="1"/>
  <c r="Q479" i="1"/>
  <c r="P479" i="1"/>
  <c r="O479" i="1"/>
  <c r="M479" i="1"/>
  <c r="R478" i="1"/>
  <c r="Q478" i="1"/>
  <c r="P478" i="1"/>
  <c r="O478" i="1"/>
  <c r="M478" i="1"/>
  <c r="R477" i="1"/>
  <c r="Q477" i="1"/>
  <c r="P477" i="1"/>
  <c r="O477" i="1"/>
  <c r="M477" i="1"/>
  <c r="R476" i="1"/>
  <c r="Q476" i="1"/>
  <c r="P476" i="1"/>
  <c r="O476" i="1"/>
  <c r="M476" i="1"/>
  <c r="R475" i="1"/>
  <c r="Q475" i="1"/>
  <c r="P475" i="1"/>
  <c r="O475" i="1"/>
  <c r="M475" i="1"/>
  <c r="R474" i="1"/>
  <c r="Q474" i="1"/>
  <c r="P474" i="1"/>
  <c r="O474" i="1"/>
  <c r="M474" i="1"/>
  <c r="R473" i="1"/>
  <c r="Q473" i="1"/>
  <c r="P473" i="1"/>
  <c r="O473" i="1"/>
  <c r="M473" i="1"/>
  <c r="R472" i="1"/>
  <c r="Q472" i="1"/>
  <c r="P472" i="1"/>
  <c r="O472" i="1"/>
  <c r="M472" i="1"/>
  <c r="R471" i="1"/>
  <c r="Q471" i="1"/>
  <c r="P471" i="1"/>
  <c r="O471" i="1"/>
  <c r="M471" i="1"/>
  <c r="R470" i="1"/>
  <c r="Q470" i="1"/>
  <c r="P470" i="1"/>
  <c r="O470" i="1"/>
  <c r="M470" i="1"/>
  <c r="R469" i="1"/>
  <c r="Q469" i="1"/>
  <c r="P469" i="1"/>
  <c r="O469" i="1"/>
  <c r="M469" i="1"/>
  <c r="R468" i="1"/>
  <c r="Q468" i="1"/>
  <c r="P468" i="1"/>
  <c r="O468" i="1"/>
  <c r="M468" i="1"/>
  <c r="R467" i="1"/>
  <c r="Q467" i="1"/>
  <c r="P467" i="1"/>
  <c r="O467" i="1"/>
  <c r="M467" i="1"/>
  <c r="R466" i="1"/>
  <c r="Q466" i="1"/>
  <c r="P466" i="1"/>
  <c r="O466" i="1"/>
  <c r="M466" i="1"/>
  <c r="R465" i="1"/>
  <c r="Q465" i="1"/>
  <c r="P465" i="1"/>
  <c r="O465" i="1"/>
  <c r="M465" i="1"/>
  <c r="R464" i="1"/>
  <c r="Q464" i="1"/>
  <c r="P464" i="1"/>
  <c r="O464" i="1"/>
  <c r="M464" i="1"/>
  <c r="R463" i="1"/>
  <c r="Q463" i="1"/>
  <c r="P463" i="1"/>
  <c r="O463" i="1"/>
  <c r="M463" i="1"/>
  <c r="R462" i="1"/>
  <c r="Q462" i="1"/>
  <c r="P462" i="1"/>
  <c r="O462" i="1"/>
  <c r="M462" i="1"/>
  <c r="R461" i="1"/>
  <c r="Q461" i="1"/>
  <c r="P461" i="1"/>
  <c r="O461" i="1"/>
  <c r="M461" i="1"/>
  <c r="R460" i="1"/>
  <c r="Q460" i="1"/>
  <c r="P460" i="1"/>
  <c r="O460" i="1"/>
  <c r="M460" i="1"/>
  <c r="R459" i="1"/>
  <c r="Q459" i="1"/>
  <c r="P459" i="1"/>
  <c r="O459" i="1"/>
  <c r="M459" i="1"/>
  <c r="R458" i="1"/>
  <c r="Q458" i="1"/>
  <c r="P458" i="1"/>
  <c r="O458" i="1"/>
  <c r="M458" i="1"/>
  <c r="R457" i="1"/>
  <c r="Q457" i="1"/>
  <c r="P457" i="1"/>
  <c r="O457" i="1"/>
  <c r="M457" i="1"/>
  <c r="R456" i="1"/>
  <c r="Q456" i="1"/>
  <c r="P456" i="1"/>
  <c r="O456" i="1"/>
  <c r="M456" i="1"/>
  <c r="R455" i="1"/>
  <c r="Q455" i="1"/>
  <c r="P455" i="1"/>
  <c r="O455" i="1"/>
  <c r="M455" i="1"/>
  <c r="R454" i="1"/>
  <c r="Q454" i="1"/>
  <c r="P454" i="1"/>
  <c r="O454" i="1"/>
  <c r="M454" i="1"/>
  <c r="R453" i="1"/>
  <c r="Q453" i="1"/>
  <c r="P453" i="1"/>
  <c r="O453" i="1"/>
  <c r="M453" i="1"/>
  <c r="R452" i="1"/>
  <c r="Q452" i="1"/>
  <c r="P452" i="1"/>
  <c r="O452" i="1"/>
  <c r="M452" i="1"/>
  <c r="R451" i="1"/>
  <c r="Q451" i="1"/>
  <c r="P451" i="1"/>
  <c r="O451" i="1"/>
  <c r="M451" i="1"/>
  <c r="R450" i="1"/>
  <c r="Q450" i="1"/>
  <c r="P450" i="1"/>
  <c r="O450" i="1"/>
  <c r="M450" i="1"/>
  <c r="R449" i="1"/>
  <c r="Q449" i="1"/>
  <c r="P449" i="1"/>
  <c r="O449" i="1"/>
  <c r="M449" i="1"/>
  <c r="R448" i="1"/>
  <c r="Q448" i="1"/>
  <c r="P448" i="1"/>
  <c r="O448" i="1"/>
  <c r="M448" i="1"/>
  <c r="R447" i="1"/>
  <c r="Q447" i="1"/>
  <c r="P447" i="1"/>
  <c r="O447" i="1"/>
  <c r="M447" i="1"/>
  <c r="R446" i="1"/>
  <c r="Q446" i="1"/>
  <c r="P446" i="1"/>
  <c r="O446" i="1"/>
  <c r="M446" i="1"/>
  <c r="R445" i="1"/>
  <c r="Q445" i="1"/>
  <c r="P445" i="1"/>
  <c r="O445" i="1"/>
  <c r="M445" i="1"/>
  <c r="R444" i="1"/>
  <c r="Q444" i="1"/>
  <c r="P444" i="1"/>
  <c r="O444" i="1"/>
  <c r="M444" i="1"/>
  <c r="R443" i="1"/>
  <c r="Q443" i="1"/>
  <c r="P443" i="1"/>
  <c r="O443" i="1"/>
  <c r="M443" i="1"/>
  <c r="R442" i="1"/>
  <c r="Q442" i="1"/>
  <c r="P442" i="1"/>
  <c r="O442" i="1"/>
  <c r="M442" i="1"/>
  <c r="R441" i="1"/>
  <c r="Q441" i="1"/>
  <c r="P441" i="1"/>
  <c r="O441" i="1"/>
  <c r="M441" i="1"/>
  <c r="R440" i="1"/>
  <c r="Q440" i="1"/>
  <c r="P440" i="1"/>
  <c r="O440" i="1"/>
  <c r="M440" i="1"/>
  <c r="R439" i="1"/>
  <c r="Q439" i="1"/>
  <c r="P439" i="1"/>
  <c r="O439" i="1"/>
  <c r="M439" i="1"/>
  <c r="R438" i="1"/>
  <c r="Q438" i="1"/>
  <c r="P438" i="1"/>
  <c r="O438" i="1"/>
  <c r="M438" i="1"/>
  <c r="R437" i="1"/>
  <c r="Q437" i="1"/>
  <c r="P437" i="1"/>
  <c r="O437" i="1"/>
  <c r="M437" i="1"/>
  <c r="R436" i="1"/>
  <c r="Q436" i="1"/>
  <c r="P436" i="1"/>
  <c r="O436" i="1"/>
  <c r="M436" i="1"/>
  <c r="R435" i="1"/>
  <c r="Q435" i="1"/>
  <c r="P435" i="1"/>
  <c r="O435" i="1"/>
  <c r="M435" i="1"/>
  <c r="R434" i="1"/>
  <c r="Q434" i="1"/>
  <c r="P434" i="1"/>
  <c r="O434" i="1"/>
  <c r="M434" i="1"/>
  <c r="R433" i="1"/>
  <c r="Q433" i="1"/>
  <c r="P433" i="1"/>
  <c r="O433" i="1"/>
  <c r="M433" i="1"/>
  <c r="R432" i="1"/>
  <c r="Q432" i="1"/>
  <c r="P432" i="1"/>
  <c r="O432" i="1"/>
  <c r="M432" i="1"/>
  <c r="R431" i="1"/>
  <c r="Q431" i="1"/>
  <c r="P431" i="1"/>
  <c r="O431" i="1"/>
  <c r="M431" i="1"/>
  <c r="R430" i="1"/>
  <c r="Q430" i="1"/>
  <c r="P430" i="1"/>
  <c r="O430" i="1"/>
  <c r="M430" i="1"/>
  <c r="R429" i="1"/>
  <c r="Q429" i="1"/>
  <c r="P429" i="1"/>
  <c r="O429" i="1"/>
  <c r="M429" i="1"/>
  <c r="R428" i="1"/>
  <c r="Q428" i="1"/>
  <c r="P428" i="1"/>
  <c r="O428" i="1"/>
  <c r="M428" i="1"/>
  <c r="R427" i="1"/>
  <c r="Q427" i="1"/>
  <c r="P427" i="1"/>
  <c r="O427" i="1"/>
  <c r="M427" i="1"/>
  <c r="R426" i="1"/>
  <c r="Q426" i="1"/>
  <c r="P426" i="1"/>
  <c r="O426" i="1"/>
  <c r="M426" i="1"/>
  <c r="R425" i="1"/>
  <c r="Q425" i="1"/>
  <c r="P425" i="1"/>
  <c r="O425" i="1"/>
  <c r="M425" i="1"/>
  <c r="R424" i="1"/>
  <c r="Q424" i="1"/>
  <c r="P424" i="1"/>
  <c r="O424" i="1"/>
  <c r="M424" i="1"/>
  <c r="R423" i="1"/>
  <c r="Q423" i="1"/>
  <c r="P423" i="1"/>
  <c r="O423" i="1"/>
  <c r="M423" i="1"/>
  <c r="R422" i="1"/>
  <c r="Q422" i="1"/>
  <c r="P422" i="1"/>
  <c r="O422" i="1"/>
  <c r="M422" i="1"/>
  <c r="R421" i="1"/>
  <c r="Q421" i="1"/>
  <c r="P421" i="1"/>
  <c r="O421" i="1"/>
  <c r="M421" i="1"/>
  <c r="R420" i="1"/>
  <c r="Q420" i="1"/>
  <c r="P420" i="1"/>
  <c r="O420" i="1"/>
  <c r="M420" i="1"/>
  <c r="R419" i="1"/>
  <c r="Q419" i="1"/>
  <c r="P419" i="1"/>
  <c r="O419" i="1"/>
  <c r="M419" i="1"/>
  <c r="R418" i="1"/>
  <c r="Q418" i="1"/>
  <c r="P418" i="1"/>
  <c r="O418" i="1"/>
  <c r="M418" i="1"/>
  <c r="R417" i="1"/>
  <c r="Q417" i="1"/>
  <c r="P417" i="1"/>
  <c r="O417" i="1"/>
  <c r="M417" i="1"/>
  <c r="R416" i="1"/>
  <c r="Q416" i="1"/>
  <c r="P416" i="1"/>
  <c r="O416" i="1"/>
  <c r="M416" i="1"/>
  <c r="R415" i="1"/>
  <c r="Q415" i="1"/>
  <c r="P415" i="1"/>
  <c r="O415" i="1"/>
  <c r="M415" i="1"/>
  <c r="R414" i="1"/>
  <c r="Q414" i="1"/>
  <c r="P414" i="1"/>
  <c r="O414" i="1"/>
  <c r="M414" i="1"/>
  <c r="R413" i="1"/>
  <c r="Q413" i="1"/>
  <c r="P413" i="1"/>
  <c r="O413" i="1"/>
  <c r="M413" i="1"/>
  <c r="R412" i="1"/>
  <c r="Q412" i="1"/>
  <c r="P412" i="1"/>
  <c r="O412" i="1"/>
  <c r="M412" i="1"/>
  <c r="R411" i="1"/>
  <c r="Q411" i="1"/>
  <c r="P411" i="1"/>
  <c r="O411" i="1"/>
  <c r="M411" i="1"/>
  <c r="R410" i="1"/>
  <c r="Q410" i="1"/>
  <c r="P410" i="1"/>
  <c r="O410" i="1"/>
  <c r="M410" i="1"/>
  <c r="R409" i="1"/>
  <c r="Q409" i="1"/>
  <c r="P409" i="1"/>
  <c r="O409" i="1"/>
  <c r="M409" i="1"/>
  <c r="R408" i="1"/>
  <c r="Q408" i="1"/>
  <c r="P408" i="1"/>
  <c r="O408" i="1"/>
  <c r="M408" i="1"/>
  <c r="R407" i="1"/>
  <c r="Q407" i="1"/>
  <c r="P407" i="1"/>
  <c r="O407" i="1"/>
  <c r="M407" i="1"/>
  <c r="R406" i="1"/>
  <c r="Q406" i="1"/>
  <c r="P406" i="1"/>
  <c r="O406" i="1"/>
  <c r="M406" i="1"/>
  <c r="R405" i="1"/>
  <c r="Q405" i="1"/>
  <c r="P405" i="1"/>
  <c r="O405" i="1"/>
  <c r="M405" i="1"/>
  <c r="R404" i="1"/>
  <c r="Q404" i="1"/>
  <c r="P404" i="1"/>
  <c r="O404" i="1"/>
  <c r="M404" i="1"/>
  <c r="R403" i="1"/>
  <c r="Q403" i="1"/>
  <c r="P403" i="1"/>
  <c r="O403" i="1"/>
  <c r="M403" i="1"/>
  <c r="R402" i="1"/>
  <c r="Q402" i="1"/>
  <c r="P402" i="1"/>
  <c r="O402" i="1"/>
  <c r="M402" i="1"/>
  <c r="R401" i="1"/>
  <c r="Q401" i="1"/>
  <c r="P401" i="1"/>
  <c r="O401" i="1"/>
  <c r="M401" i="1"/>
  <c r="R400" i="1"/>
  <c r="Q400" i="1"/>
  <c r="P400" i="1"/>
  <c r="O400" i="1"/>
  <c r="M400" i="1"/>
  <c r="R399" i="1"/>
  <c r="Q399" i="1"/>
  <c r="P399" i="1"/>
  <c r="O399" i="1"/>
  <c r="M399" i="1"/>
  <c r="R398" i="1"/>
  <c r="Q398" i="1"/>
  <c r="P398" i="1"/>
  <c r="O398" i="1"/>
  <c r="M398" i="1"/>
  <c r="R397" i="1"/>
  <c r="Q397" i="1"/>
  <c r="P397" i="1"/>
  <c r="O397" i="1"/>
  <c r="M397" i="1"/>
  <c r="R396" i="1"/>
  <c r="Q396" i="1"/>
  <c r="P396" i="1"/>
  <c r="O396" i="1"/>
  <c r="M396" i="1"/>
  <c r="R395" i="1"/>
  <c r="Q395" i="1"/>
  <c r="P395" i="1"/>
  <c r="O395" i="1"/>
  <c r="M395" i="1"/>
  <c r="R394" i="1"/>
  <c r="Q394" i="1"/>
  <c r="P394" i="1"/>
  <c r="O394" i="1"/>
  <c r="M394" i="1"/>
  <c r="R393" i="1"/>
  <c r="Q393" i="1"/>
  <c r="P393" i="1"/>
  <c r="O393" i="1"/>
  <c r="M393" i="1"/>
  <c r="R392" i="1"/>
  <c r="Q392" i="1"/>
  <c r="P392" i="1"/>
  <c r="O392" i="1"/>
  <c r="M392" i="1"/>
  <c r="R391" i="1"/>
  <c r="Q391" i="1"/>
  <c r="P391" i="1"/>
  <c r="O391" i="1"/>
  <c r="M391" i="1"/>
  <c r="R390" i="1"/>
  <c r="Q390" i="1"/>
  <c r="P390" i="1"/>
  <c r="O390" i="1"/>
  <c r="M390" i="1"/>
  <c r="R389" i="1"/>
  <c r="Q389" i="1"/>
  <c r="P389" i="1"/>
  <c r="O389" i="1"/>
  <c r="M389" i="1"/>
  <c r="R388" i="1"/>
  <c r="Q388" i="1"/>
  <c r="P388" i="1"/>
  <c r="O388" i="1"/>
  <c r="M388" i="1"/>
  <c r="R387" i="1"/>
  <c r="Q387" i="1"/>
  <c r="P387" i="1"/>
  <c r="O387" i="1"/>
  <c r="M387" i="1"/>
  <c r="R386" i="1"/>
  <c r="Q386" i="1"/>
  <c r="P386" i="1"/>
  <c r="O386" i="1"/>
  <c r="M386" i="1"/>
  <c r="R385" i="1"/>
  <c r="Q385" i="1"/>
  <c r="P385" i="1"/>
  <c r="O385" i="1"/>
  <c r="M385" i="1"/>
  <c r="R384" i="1"/>
  <c r="Q384" i="1"/>
  <c r="P384" i="1"/>
  <c r="O384" i="1"/>
  <c r="M384" i="1"/>
  <c r="R383" i="1"/>
  <c r="Q383" i="1"/>
  <c r="P383" i="1"/>
  <c r="O383" i="1"/>
  <c r="M383" i="1"/>
  <c r="R382" i="1"/>
  <c r="Q382" i="1"/>
  <c r="P382" i="1"/>
  <c r="O382" i="1"/>
  <c r="M382" i="1"/>
  <c r="R381" i="1"/>
  <c r="Q381" i="1"/>
  <c r="P381" i="1"/>
  <c r="O381" i="1"/>
  <c r="M381" i="1"/>
  <c r="R380" i="1"/>
  <c r="Q380" i="1"/>
  <c r="P380" i="1"/>
  <c r="O380" i="1"/>
  <c r="M380" i="1"/>
  <c r="R379" i="1"/>
  <c r="Q379" i="1"/>
  <c r="P379" i="1"/>
  <c r="O379" i="1"/>
  <c r="M379" i="1"/>
  <c r="R378" i="1"/>
  <c r="Q378" i="1"/>
  <c r="P378" i="1"/>
  <c r="O378" i="1"/>
  <c r="M378" i="1"/>
  <c r="R377" i="1"/>
  <c r="Q377" i="1"/>
  <c r="P377" i="1"/>
  <c r="O377" i="1"/>
  <c r="M377" i="1"/>
  <c r="R376" i="1"/>
  <c r="Q376" i="1"/>
  <c r="P376" i="1"/>
  <c r="O376" i="1"/>
  <c r="M376" i="1"/>
  <c r="R375" i="1"/>
  <c r="Q375" i="1"/>
  <c r="P375" i="1"/>
  <c r="O375" i="1"/>
  <c r="M375" i="1"/>
  <c r="R374" i="1"/>
  <c r="Q374" i="1"/>
  <c r="P374" i="1"/>
  <c r="O374" i="1"/>
  <c r="M374" i="1"/>
  <c r="R373" i="1"/>
  <c r="Q373" i="1"/>
  <c r="P373" i="1"/>
  <c r="O373" i="1"/>
  <c r="M373" i="1"/>
  <c r="R372" i="1"/>
  <c r="Q372" i="1"/>
  <c r="P372" i="1"/>
  <c r="O372" i="1"/>
  <c r="M372" i="1"/>
  <c r="R371" i="1"/>
  <c r="Q371" i="1"/>
  <c r="P371" i="1"/>
  <c r="O371" i="1"/>
  <c r="M371" i="1"/>
  <c r="R370" i="1"/>
  <c r="Q370" i="1"/>
  <c r="P370" i="1"/>
  <c r="O370" i="1"/>
  <c r="M370" i="1"/>
  <c r="R369" i="1"/>
  <c r="Q369" i="1"/>
  <c r="P369" i="1"/>
  <c r="O369" i="1"/>
  <c r="M369" i="1"/>
  <c r="R368" i="1"/>
  <c r="Q368" i="1"/>
  <c r="P368" i="1"/>
  <c r="O368" i="1"/>
  <c r="M368" i="1"/>
  <c r="R367" i="1"/>
  <c r="Q367" i="1"/>
  <c r="P367" i="1"/>
  <c r="O367" i="1"/>
  <c r="M367" i="1"/>
  <c r="R366" i="1"/>
  <c r="Q366" i="1"/>
  <c r="P366" i="1"/>
  <c r="O366" i="1"/>
  <c r="M366" i="1"/>
  <c r="R365" i="1"/>
  <c r="Q365" i="1"/>
  <c r="P365" i="1"/>
  <c r="O365" i="1"/>
  <c r="M365" i="1"/>
  <c r="R364" i="1"/>
  <c r="Q364" i="1"/>
  <c r="P364" i="1"/>
  <c r="O364" i="1"/>
  <c r="M364" i="1"/>
  <c r="R363" i="1"/>
  <c r="Q363" i="1"/>
  <c r="P363" i="1"/>
  <c r="O363" i="1"/>
  <c r="M363" i="1"/>
  <c r="R362" i="1"/>
  <c r="Q362" i="1"/>
  <c r="P362" i="1"/>
  <c r="O362" i="1"/>
  <c r="M362" i="1"/>
  <c r="R361" i="1"/>
  <c r="Q361" i="1"/>
  <c r="P361" i="1"/>
  <c r="O361" i="1"/>
  <c r="M361" i="1"/>
  <c r="R360" i="1"/>
  <c r="Q360" i="1"/>
  <c r="P360" i="1"/>
  <c r="O360" i="1"/>
  <c r="M360" i="1"/>
  <c r="R359" i="1"/>
  <c r="Q359" i="1"/>
  <c r="P359" i="1"/>
  <c r="O359" i="1"/>
  <c r="M359" i="1"/>
  <c r="R358" i="1"/>
  <c r="Q358" i="1"/>
  <c r="P358" i="1"/>
  <c r="O358" i="1"/>
  <c r="M358" i="1"/>
  <c r="R357" i="1"/>
  <c r="Q357" i="1"/>
  <c r="P357" i="1"/>
  <c r="O357" i="1"/>
  <c r="M357" i="1"/>
  <c r="R356" i="1"/>
  <c r="Q356" i="1"/>
  <c r="P356" i="1"/>
  <c r="O356" i="1"/>
  <c r="M356" i="1"/>
  <c r="R355" i="1"/>
  <c r="Q355" i="1"/>
  <c r="P355" i="1"/>
  <c r="O355" i="1"/>
  <c r="M355" i="1"/>
  <c r="R354" i="1"/>
  <c r="Q354" i="1"/>
  <c r="P354" i="1"/>
  <c r="O354" i="1"/>
  <c r="M354" i="1"/>
  <c r="R353" i="1"/>
  <c r="Q353" i="1"/>
  <c r="P353" i="1"/>
  <c r="O353" i="1"/>
  <c r="M353" i="1"/>
  <c r="R352" i="1"/>
  <c r="Q352" i="1"/>
  <c r="P352" i="1"/>
  <c r="O352" i="1"/>
  <c r="M352" i="1"/>
  <c r="R351" i="1"/>
  <c r="Q351" i="1"/>
  <c r="P351" i="1"/>
  <c r="O351" i="1"/>
  <c r="M351" i="1"/>
  <c r="R350" i="1"/>
  <c r="Q350" i="1"/>
  <c r="P350" i="1"/>
  <c r="O350" i="1"/>
  <c r="M350" i="1"/>
  <c r="R349" i="1"/>
  <c r="Q349" i="1"/>
  <c r="P349" i="1"/>
  <c r="O349" i="1"/>
  <c r="M349" i="1"/>
  <c r="R348" i="1"/>
  <c r="Q348" i="1"/>
  <c r="P348" i="1"/>
  <c r="O348" i="1"/>
  <c r="M348" i="1"/>
  <c r="R347" i="1"/>
  <c r="Q347" i="1"/>
  <c r="P347" i="1"/>
  <c r="O347" i="1"/>
  <c r="M347" i="1"/>
  <c r="R346" i="1"/>
  <c r="Q346" i="1"/>
  <c r="P346" i="1"/>
  <c r="O346" i="1"/>
  <c r="M346" i="1"/>
  <c r="R345" i="1"/>
  <c r="Q345" i="1"/>
  <c r="P345" i="1"/>
  <c r="O345" i="1"/>
  <c r="M345" i="1"/>
  <c r="R344" i="1"/>
  <c r="Q344" i="1"/>
  <c r="P344" i="1"/>
  <c r="O344" i="1"/>
  <c r="M344" i="1"/>
  <c r="R343" i="1"/>
  <c r="Q343" i="1"/>
  <c r="P343" i="1"/>
  <c r="O343" i="1"/>
  <c r="M343" i="1"/>
  <c r="R342" i="1"/>
  <c r="Q342" i="1"/>
  <c r="P342" i="1"/>
  <c r="O342" i="1"/>
  <c r="M342" i="1"/>
  <c r="R341" i="1"/>
  <c r="Q341" i="1"/>
  <c r="P341" i="1"/>
  <c r="O341" i="1"/>
  <c r="M341" i="1"/>
  <c r="R340" i="1"/>
  <c r="Q340" i="1"/>
  <c r="P340" i="1"/>
  <c r="O340" i="1"/>
  <c r="M340" i="1"/>
  <c r="R339" i="1"/>
  <c r="Q339" i="1"/>
  <c r="P339" i="1"/>
  <c r="O339" i="1"/>
  <c r="M339" i="1"/>
  <c r="R338" i="1"/>
  <c r="Q338" i="1"/>
  <c r="P338" i="1"/>
  <c r="O338" i="1"/>
  <c r="M338" i="1"/>
  <c r="R337" i="1"/>
  <c r="Q337" i="1"/>
  <c r="P337" i="1"/>
  <c r="O337" i="1"/>
  <c r="M337" i="1"/>
  <c r="R336" i="1"/>
  <c r="Q336" i="1"/>
  <c r="P336" i="1"/>
  <c r="O336" i="1"/>
  <c r="M336" i="1"/>
  <c r="R335" i="1"/>
  <c r="Q335" i="1"/>
  <c r="P335" i="1"/>
  <c r="O335" i="1"/>
  <c r="M335" i="1"/>
  <c r="R334" i="1"/>
  <c r="Q334" i="1"/>
  <c r="P334" i="1"/>
  <c r="O334" i="1"/>
  <c r="M334" i="1"/>
  <c r="R333" i="1"/>
  <c r="Q333" i="1"/>
  <c r="P333" i="1"/>
  <c r="O333" i="1"/>
  <c r="M333" i="1"/>
  <c r="R332" i="1"/>
  <c r="Q332" i="1"/>
  <c r="P332" i="1"/>
  <c r="O332" i="1"/>
  <c r="M332" i="1"/>
  <c r="R331" i="1"/>
  <c r="Q331" i="1"/>
  <c r="P331" i="1"/>
  <c r="O331" i="1"/>
  <c r="M331" i="1"/>
  <c r="R330" i="1"/>
  <c r="Q330" i="1"/>
  <c r="P330" i="1"/>
  <c r="O330" i="1"/>
  <c r="M330" i="1"/>
  <c r="R329" i="1"/>
  <c r="Q329" i="1"/>
  <c r="P329" i="1"/>
  <c r="O329" i="1"/>
  <c r="M329" i="1"/>
  <c r="R328" i="1"/>
  <c r="Q328" i="1"/>
  <c r="P328" i="1"/>
  <c r="O328" i="1"/>
  <c r="M328" i="1"/>
  <c r="R327" i="1"/>
  <c r="Q327" i="1"/>
  <c r="P327" i="1"/>
  <c r="O327" i="1"/>
  <c r="M327" i="1"/>
  <c r="R326" i="1"/>
  <c r="Q326" i="1"/>
  <c r="P326" i="1"/>
  <c r="O326" i="1"/>
  <c r="M326" i="1"/>
  <c r="R325" i="1"/>
  <c r="Q325" i="1"/>
  <c r="P325" i="1"/>
  <c r="O325" i="1"/>
  <c r="M325" i="1"/>
  <c r="R324" i="1"/>
  <c r="Q324" i="1"/>
  <c r="P324" i="1"/>
  <c r="O324" i="1"/>
  <c r="M324" i="1"/>
  <c r="R323" i="1"/>
  <c r="Q323" i="1"/>
  <c r="P323" i="1"/>
  <c r="O323" i="1"/>
  <c r="M323" i="1"/>
  <c r="R322" i="1"/>
  <c r="Q322" i="1"/>
  <c r="P322" i="1"/>
  <c r="O322" i="1"/>
  <c r="M322" i="1"/>
  <c r="R321" i="1"/>
  <c r="Q321" i="1"/>
  <c r="P321" i="1"/>
  <c r="O321" i="1"/>
  <c r="M321" i="1"/>
  <c r="R320" i="1"/>
  <c r="Q320" i="1"/>
  <c r="P320" i="1"/>
  <c r="O320" i="1"/>
  <c r="M320" i="1"/>
  <c r="R319" i="1"/>
  <c r="Q319" i="1"/>
  <c r="P319" i="1"/>
  <c r="O319" i="1"/>
  <c r="M319" i="1"/>
  <c r="R318" i="1"/>
  <c r="Q318" i="1"/>
  <c r="P318" i="1"/>
  <c r="O318" i="1"/>
  <c r="M318" i="1"/>
  <c r="R317" i="1"/>
  <c r="Q317" i="1"/>
  <c r="P317" i="1"/>
  <c r="O317" i="1"/>
  <c r="M317" i="1"/>
  <c r="R316" i="1"/>
  <c r="Q316" i="1"/>
  <c r="P316" i="1"/>
  <c r="O316" i="1"/>
  <c r="M316" i="1"/>
  <c r="R315" i="1"/>
  <c r="Q315" i="1"/>
  <c r="P315" i="1"/>
  <c r="O315" i="1"/>
  <c r="M315" i="1"/>
  <c r="R314" i="1"/>
  <c r="Q314" i="1"/>
  <c r="P314" i="1"/>
  <c r="O314" i="1"/>
  <c r="M314" i="1"/>
  <c r="R313" i="1"/>
  <c r="Q313" i="1"/>
  <c r="P313" i="1"/>
  <c r="O313" i="1"/>
  <c r="M313" i="1"/>
  <c r="R312" i="1"/>
  <c r="Q312" i="1"/>
  <c r="P312" i="1"/>
  <c r="O312" i="1"/>
  <c r="M312" i="1"/>
  <c r="R311" i="1"/>
  <c r="Q311" i="1"/>
  <c r="P311" i="1"/>
  <c r="O311" i="1"/>
  <c r="M311" i="1"/>
  <c r="R310" i="1"/>
  <c r="Q310" i="1"/>
  <c r="P310" i="1"/>
  <c r="O310" i="1"/>
  <c r="M310" i="1"/>
  <c r="R309" i="1"/>
  <c r="Q309" i="1"/>
  <c r="P309" i="1"/>
  <c r="O309" i="1"/>
  <c r="M309" i="1"/>
  <c r="R308" i="1"/>
  <c r="Q308" i="1"/>
  <c r="P308" i="1"/>
  <c r="O308" i="1"/>
  <c r="M308" i="1"/>
  <c r="R307" i="1"/>
  <c r="Q307" i="1"/>
  <c r="P307" i="1"/>
  <c r="O307" i="1"/>
  <c r="M307" i="1"/>
  <c r="R306" i="1"/>
  <c r="Q306" i="1"/>
  <c r="P306" i="1"/>
  <c r="O306" i="1"/>
  <c r="M306" i="1"/>
  <c r="R305" i="1"/>
  <c r="Q305" i="1"/>
  <c r="P305" i="1"/>
  <c r="O305" i="1"/>
  <c r="M305" i="1"/>
  <c r="R304" i="1"/>
  <c r="Q304" i="1"/>
  <c r="P304" i="1"/>
  <c r="O304" i="1"/>
  <c r="M304" i="1"/>
  <c r="R303" i="1"/>
  <c r="Q303" i="1"/>
  <c r="P303" i="1"/>
  <c r="O303" i="1"/>
  <c r="M303" i="1"/>
  <c r="R302" i="1"/>
  <c r="Q302" i="1"/>
  <c r="P302" i="1"/>
  <c r="O302" i="1"/>
  <c r="M302" i="1"/>
  <c r="R301" i="1"/>
  <c r="Q301" i="1"/>
  <c r="P301" i="1"/>
  <c r="O301" i="1"/>
  <c r="M301" i="1"/>
  <c r="R300" i="1"/>
  <c r="Q300" i="1"/>
  <c r="P300" i="1"/>
  <c r="O300" i="1"/>
  <c r="M300" i="1"/>
  <c r="R299" i="1"/>
  <c r="Q299" i="1"/>
  <c r="P299" i="1"/>
  <c r="O299" i="1"/>
  <c r="M299" i="1"/>
  <c r="R298" i="1"/>
  <c r="Q298" i="1"/>
  <c r="P298" i="1"/>
  <c r="O298" i="1"/>
  <c r="M298" i="1"/>
  <c r="R297" i="1"/>
  <c r="Q297" i="1"/>
  <c r="P297" i="1"/>
  <c r="O297" i="1"/>
  <c r="M297" i="1"/>
  <c r="R296" i="1"/>
  <c r="Q296" i="1"/>
  <c r="P296" i="1"/>
  <c r="O296" i="1"/>
  <c r="M296" i="1"/>
  <c r="R295" i="1"/>
  <c r="Q295" i="1"/>
  <c r="P295" i="1"/>
  <c r="O295" i="1"/>
  <c r="M295" i="1"/>
  <c r="R294" i="1"/>
  <c r="Q294" i="1"/>
  <c r="P294" i="1"/>
  <c r="O294" i="1"/>
  <c r="M294" i="1"/>
  <c r="R293" i="1"/>
  <c r="Q293" i="1"/>
  <c r="P293" i="1"/>
  <c r="O293" i="1"/>
  <c r="M293" i="1"/>
  <c r="R292" i="1"/>
  <c r="Q292" i="1"/>
  <c r="P292" i="1"/>
  <c r="O292" i="1"/>
  <c r="M292" i="1"/>
  <c r="R291" i="1"/>
  <c r="Q291" i="1"/>
  <c r="P291" i="1"/>
  <c r="O291" i="1"/>
  <c r="M291" i="1"/>
  <c r="R290" i="1"/>
  <c r="Q290" i="1"/>
  <c r="P290" i="1"/>
  <c r="O290" i="1"/>
  <c r="M290" i="1"/>
  <c r="R289" i="1"/>
  <c r="Q289" i="1"/>
  <c r="P289" i="1"/>
  <c r="O289" i="1"/>
  <c r="M289" i="1"/>
  <c r="R288" i="1"/>
  <c r="Q288" i="1"/>
  <c r="P288" i="1"/>
  <c r="O288" i="1"/>
  <c r="M288" i="1"/>
  <c r="R287" i="1"/>
  <c r="Q287" i="1"/>
  <c r="P287" i="1"/>
  <c r="O287" i="1"/>
  <c r="M287" i="1"/>
  <c r="R286" i="1"/>
  <c r="Q286" i="1"/>
  <c r="P286" i="1"/>
  <c r="O286" i="1"/>
  <c r="M286" i="1"/>
  <c r="R285" i="1"/>
  <c r="Q285" i="1"/>
  <c r="P285" i="1"/>
  <c r="O285" i="1"/>
  <c r="M285" i="1"/>
  <c r="R284" i="1"/>
  <c r="Q284" i="1"/>
  <c r="P284" i="1"/>
  <c r="O284" i="1"/>
  <c r="M284" i="1"/>
  <c r="R283" i="1"/>
  <c r="Q283" i="1"/>
  <c r="P283" i="1"/>
  <c r="O283" i="1"/>
  <c r="M283" i="1"/>
  <c r="R282" i="1"/>
  <c r="Q282" i="1"/>
  <c r="P282" i="1"/>
  <c r="O282" i="1"/>
  <c r="M282" i="1"/>
  <c r="R281" i="1"/>
  <c r="Q281" i="1"/>
  <c r="P281" i="1"/>
  <c r="O281" i="1"/>
  <c r="M281" i="1"/>
  <c r="R280" i="1"/>
  <c r="Q280" i="1"/>
  <c r="P280" i="1"/>
  <c r="O280" i="1"/>
  <c r="M280" i="1"/>
  <c r="R279" i="1"/>
  <c r="Q279" i="1"/>
  <c r="P279" i="1"/>
  <c r="O279" i="1"/>
  <c r="M279" i="1"/>
  <c r="R278" i="1"/>
  <c r="Q278" i="1"/>
  <c r="P278" i="1"/>
  <c r="O278" i="1"/>
  <c r="M278" i="1"/>
  <c r="R277" i="1"/>
  <c r="Q277" i="1"/>
  <c r="P277" i="1"/>
  <c r="O277" i="1"/>
  <c r="M277" i="1"/>
  <c r="R276" i="1"/>
  <c r="Q276" i="1"/>
  <c r="P276" i="1"/>
  <c r="O276" i="1"/>
  <c r="M276" i="1"/>
  <c r="R275" i="1"/>
  <c r="Q275" i="1"/>
  <c r="P275" i="1"/>
  <c r="O275" i="1"/>
  <c r="M275" i="1"/>
  <c r="R274" i="1"/>
  <c r="Q274" i="1"/>
  <c r="P274" i="1"/>
  <c r="O274" i="1"/>
  <c r="M274" i="1"/>
  <c r="R273" i="1"/>
  <c r="Q273" i="1"/>
  <c r="P273" i="1"/>
  <c r="O273" i="1"/>
  <c r="M273" i="1"/>
  <c r="R272" i="1"/>
  <c r="Q272" i="1"/>
  <c r="P272" i="1"/>
  <c r="O272" i="1"/>
  <c r="M272" i="1"/>
  <c r="R271" i="1"/>
  <c r="Q271" i="1"/>
  <c r="P271" i="1"/>
  <c r="O271" i="1"/>
  <c r="M271" i="1"/>
  <c r="R270" i="1"/>
  <c r="Q270" i="1"/>
  <c r="P270" i="1"/>
  <c r="O270" i="1"/>
  <c r="M270" i="1"/>
  <c r="R269" i="1"/>
  <c r="Q269" i="1"/>
  <c r="P269" i="1"/>
  <c r="O269" i="1"/>
  <c r="M269" i="1"/>
  <c r="R268" i="1"/>
  <c r="Q268" i="1"/>
  <c r="P268" i="1"/>
  <c r="O268" i="1"/>
  <c r="M268" i="1"/>
  <c r="R267" i="1"/>
  <c r="Q267" i="1"/>
  <c r="P267" i="1"/>
  <c r="O267" i="1"/>
  <c r="M267" i="1"/>
  <c r="R266" i="1"/>
  <c r="Q266" i="1"/>
  <c r="P266" i="1"/>
  <c r="O266" i="1"/>
  <c r="M266" i="1"/>
  <c r="R265" i="1"/>
  <c r="Q265" i="1"/>
  <c r="P265" i="1"/>
  <c r="O265" i="1"/>
  <c r="M265" i="1"/>
  <c r="R264" i="1"/>
  <c r="Q264" i="1"/>
  <c r="P264" i="1"/>
  <c r="O264" i="1"/>
  <c r="M264" i="1"/>
  <c r="R263" i="1"/>
  <c r="Q263" i="1"/>
  <c r="P263" i="1"/>
  <c r="O263" i="1"/>
  <c r="M263" i="1"/>
  <c r="R262" i="1"/>
  <c r="Q262" i="1"/>
  <c r="P262" i="1"/>
  <c r="O262" i="1"/>
  <c r="M262" i="1"/>
  <c r="R261" i="1"/>
  <c r="Q261" i="1"/>
  <c r="P261" i="1"/>
  <c r="O261" i="1"/>
  <c r="M261" i="1"/>
  <c r="R260" i="1"/>
  <c r="Q260" i="1"/>
  <c r="P260" i="1"/>
  <c r="O260" i="1"/>
  <c r="M260" i="1"/>
  <c r="R259" i="1"/>
  <c r="Q259" i="1"/>
  <c r="P259" i="1"/>
  <c r="O259" i="1"/>
  <c r="M259" i="1"/>
  <c r="R258" i="1"/>
  <c r="Q258" i="1"/>
  <c r="P258" i="1"/>
  <c r="O258" i="1"/>
  <c r="M258" i="1"/>
  <c r="R257" i="1"/>
  <c r="Q257" i="1"/>
  <c r="P257" i="1"/>
  <c r="O257" i="1"/>
  <c r="M257" i="1"/>
  <c r="R256" i="1"/>
  <c r="Q256" i="1"/>
  <c r="P256" i="1"/>
  <c r="O256" i="1"/>
  <c r="M256" i="1"/>
  <c r="R255" i="1"/>
  <c r="Q255" i="1"/>
  <c r="P255" i="1"/>
  <c r="O255" i="1"/>
  <c r="M255" i="1"/>
  <c r="R254" i="1"/>
  <c r="Q254" i="1"/>
  <c r="P254" i="1"/>
  <c r="O254" i="1"/>
  <c r="M254" i="1"/>
  <c r="R253" i="1"/>
  <c r="Q253" i="1"/>
  <c r="P253" i="1"/>
  <c r="O253" i="1"/>
  <c r="M253" i="1"/>
  <c r="R252" i="1"/>
  <c r="Q252" i="1"/>
  <c r="P252" i="1"/>
  <c r="O252" i="1"/>
  <c r="M252" i="1"/>
  <c r="R251" i="1"/>
  <c r="Q251" i="1"/>
  <c r="P251" i="1"/>
  <c r="O251" i="1"/>
  <c r="M251" i="1"/>
  <c r="R250" i="1"/>
  <c r="Q250" i="1"/>
  <c r="P250" i="1"/>
  <c r="O250" i="1"/>
  <c r="M250" i="1"/>
  <c r="R249" i="1"/>
  <c r="Q249" i="1"/>
  <c r="P249" i="1"/>
  <c r="O249" i="1"/>
  <c r="M249" i="1"/>
  <c r="R248" i="1"/>
  <c r="Q248" i="1"/>
  <c r="P248" i="1"/>
  <c r="O248" i="1"/>
  <c r="M248" i="1"/>
  <c r="R247" i="1"/>
  <c r="Q247" i="1"/>
  <c r="P247" i="1"/>
  <c r="O247" i="1"/>
  <c r="M247" i="1"/>
  <c r="R246" i="1"/>
  <c r="Q246" i="1"/>
  <c r="P246" i="1"/>
  <c r="O246" i="1"/>
  <c r="M246" i="1"/>
  <c r="R245" i="1"/>
  <c r="Q245" i="1"/>
  <c r="P245" i="1"/>
  <c r="O245" i="1"/>
  <c r="M245" i="1"/>
  <c r="R244" i="1"/>
  <c r="Q244" i="1"/>
  <c r="P244" i="1"/>
  <c r="O244" i="1"/>
  <c r="M244" i="1"/>
  <c r="R243" i="1"/>
  <c r="Q243" i="1"/>
  <c r="P243" i="1"/>
  <c r="O243" i="1"/>
  <c r="M243" i="1"/>
  <c r="R242" i="1"/>
  <c r="Q242" i="1"/>
  <c r="P242" i="1"/>
  <c r="O242" i="1"/>
  <c r="M242" i="1"/>
  <c r="R241" i="1"/>
  <c r="Q241" i="1"/>
  <c r="P241" i="1"/>
  <c r="O241" i="1"/>
  <c r="M241" i="1"/>
  <c r="R240" i="1"/>
  <c r="Q240" i="1"/>
  <c r="P240" i="1"/>
  <c r="O240" i="1"/>
  <c r="M240" i="1"/>
  <c r="R239" i="1"/>
  <c r="Q239" i="1"/>
  <c r="P239" i="1"/>
  <c r="O239" i="1"/>
  <c r="M239" i="1"/>
  <c r="R238" i="1"/>
  <c r="Q238" i="1"/>
  <c r="P238" i="1"/>
  <c r="O238" i="1"/>
  <c r="M238" i="1"/>
  <c r="R237" i="1"/>
  <c r="Q237" i="1"/>
  <c r="P237" i="1"/>
  <c r="O237" i="1"/>
  <c r="M237" i="1"/>
  <c r="R236" i="1"/>
  <c r="Q236" i="1"/>
  <c r="P236" i="1"/>
  <c r="O236" i="1"/>
  <c r="M236" i="1"/>
  <c r="R235" i="1"/>
  <c r="Q235" i="1"/>
  <c r="P235" i="1"/>
  <c r="O235" i="1"/>
  <c r="M235" i="1"/>
  <c r="R234" i="1"/>
  <c r="Q234" i="1"/>
  <c r="P234" i="1"/>
  <c r="O234" i="1"/>
  <c r="M234" i="1"/>
  <c r="R233" i="1"/>
  <c r="Q233" i="1"/>
  <c r="P233" i="1"/>
  <c r="O233" i="1"/>
  <c r="M233" i="1"/>
  <c r="R232" i="1"/>
  <c r="Q232" i="1"/>
  <c r="P232" i="1"/>
  <c r="O232" i="1"/>
  <c r="M232" i="1"/>
  <c r="R231" i="1"/>
  <c r="Q231" i="1"/>
  <c r="P231" i="1"/>
  <c r="O231" i="1"/>
  <c r="M231" i="1"/>
  <c r="R230" i="1"/>
  <c r="Q230" i="1"/>
  <c r="P230" i="1"/>
  <c r="O230" i="1"/>
  <c r="M230" i="1"/>
  <c r="R229" i="1"/>
  <c r="Q229" i="1"/>
  <c r="P229" i="1"/>
  <c r="O229" i="1"/>
  <c r="M229" i="1"/>
  <c r="R228" i="1"/>
  <c r="Q228" i="1"/>
  <c r="P228" i="1"/>
  <c r="O228" i="1"/>
  <c r="M228" i="1"/>
  <c r="R227" i="1"/>
  <c r="Q227" i="1"/>
  <c r="P227" i="1"/>
  <c r="O227" i="1"/>
  <c r="M227" i="1"/>
  <c r="R226" i="1"/>
  <c r="Q226" i="1"/>
  <c r="P226" i="1"/>
  <c r="O226" i="1"/>
  <c r="M226" i="1"/>
  <c r="R225" i="1"/>
  <c r="Q225" i="1"/>
  <c r="P225" i="1"/>
  <c r="O225" i="1"/>
  <c r="M225" i="1"/>
  <c r="R224" i="1"/>
  <c r="Q224" i="1"/>
  <c r="P224" i="1"/>
  <c r="O224" i="1"/>
  <c r="M224" i="1"/>
  <c r="R223" i="1"/>
  <c r="Q223" i="1"/>
  <c r="P223" i="1"/>
  <c r="O223" i="1"/>
  <c r="M223" i="1"/>
  <c r="R222" i="1"/>
  <c r="Q222" i="1"/>
  <c r="P222" i="1"/>
  <c r="O222" i="1"/>
  <c r="M222" i="1"/>
  <c r="R221" i="1"/>
  <c r="Q221" i="1"/>
  <c r="P221" i="1"/>
  <c r="O221" i="1"/>
  <c r="M221" i="1"/>
  <c r="R220" i="1"/>
  <c r="Q220" i="1"/>
  <c r="P220" i="1"/>
  <c r="O220" i="1"/>
  <c r="M220" i="1"/>
  <c r="R219" i="1"/>
  <c r="Q219" i="1"/>
  <c r="P219" i="1"/>
  <c r="O219" i="1"/>
  <c r="M219" i="1"/>
  <c r="R218" i="1"/>
  <c r="Q218" i="1"/>
  <c r="P218" i="1"/>
  <c r="O218" i="1"/>
  <c r="M218" i="1"/>
  <c r="R217" i="1"/>
  <c r="Q217" i="1"/>
  <c r="P217" i="1"/>
  <c r="O217" i="1"/>
  <c r="M217" i="1"/>
  <c r="R216" i="1"/>
  <c r="Q216" i="1"/>
  <c r="P216" i="1"/>
  <c r="O216" i="1"/>
  <c r="M216" i="1"/>
  <c r="R215" i="1"/>
  <c r="Q215" i="1"/>
  <c r="P215" i="1"/>
  <c r="O215" i="1"/>
  <c r="M215" i="1"/>
  <c r="R214" i="1"/>
  <c r="Q214" i="1"/>
  <c r="P214" i="1"/>
  <c r="O214" i="1"/>
  <c r="M214" i="1"/>
  <c r="R213" i="1"/>
  <c r="Q213" i="1"/>
  <c r="P213" i="1"/>
  <c r="O213" i="1"/>
  <c r="M213" i="1"/>
  <c r="R212" i="1"/>
  <c r="Q212" i="1"/>
  <c r="P212" i="1"/>
  <c r="O212" i="1"/>
  <c r="M212" i="1"/>
  <c r="R211" i="1"/>
  <c r="Q211" i="1"/>
  <c r="P211" i="1"/>
  <c r="O211" i="1"/>
  <c r="M211" i="1"/>
  <c r="R210" i="1"/>
  <c r="Q210" i="1"/>
  <c r="P210" i="1"/>
  <c r="O210" i="1"/>
  <c r="M210" i="1"/>
  <c r="R209" i="1"/>
  <c r="Q209" i="1"/>
  <c r="P209" i="1"/>
  <c r="O209" i="1"/>
  <c r="M209" i="1"/>
  <c r="R208" i="1"/>
  <c r="Q208" i="1"/>
  <c r="P208" i="1"/>
  <c r="O208" i="1"/>
  <c r="M208" i="1"/>
  <c r="R207" i="1"/>
  <c r="Q207" i="1"/>
  <c r="P207" i="1"/>
  <c r="O207" i="1"/>
  <c r="M207" i="1"/>
  <c r="R206" i="1"/>
  <c r="Q206" i="1"/>
  <c r="P206" i="1"/>
  <c r="O206" i="1"/>
  <c r="M206" i="1"/>
  <c r="R205" i="1"/>
  <c r="Q205" i="1"/>
  <c r="P205" i="1"/>
  <c r="O205" i="1"/>
  <c r="M205" i="1"/>
  <c r="R204" i="1"/>
  <c r="Q204" i="1"/>
  <c r="P204" i="1"/>
  <c r="O204" i="1"/>
  <c r="M204" i="1"/>
  <c r="R203" i="1"/>
  <c r="Q203" i="1"/>
  <c r="P203" i="1"/>
  <c r="O203" i="1"/>
  <c r="M203" i="1"/>
  <c r="R202" i="1"/>
  <c r="Q202" i="1"/>
  <c r="P202" i="1"/>
  <c r="O202" i="1"/>
  <c r="M202" i="1"/>
  <c r="R201" i="1"/>
  <c r="Q201" i="1"/>
  <c r="P201" i="1"/>
  <c r="O201" i="1"/>
  <c r="M201" i="1"/>
  <c r="R200" i="1"/>
  <c r="Q200" i="1"/>
  <c r="P200" i="1"/>
  <c r="O200" i="1"/>
  <c r="M200" i="1"/>
  <c r="R199" i="1"/>
  <c r="Q199" i="1"/>
  <c r="P199" i="1"/>
  <c r="O199" i="1"/>
  <c r="M199" i="1"/>
  <c r="R198" i="1"/>
  <c r="Q198" i="1"/>
  <c r="P198" i="1"/>
  <c r="O198" i="1"/>
  <c r="M198" i="1"/>
  <c r="R197" i="1"/>
  <c r="Q197" i="1"/>
  <c r="P197" i="1"/>
  <c r="O197" i="1"/>
  <c r="M197" i="1"/>
  <c r="R196" i="1"/>
  <c r="Q196" i="1"/>
  <c r="P196" i="1"/>
  <c r="O196" i="1"/>
  <c r="M196" i="1"/>
  <c r="R195" i="1"/>
  <c r="Q195" i="1"/>
  <c r="P195" i="1"/>
  <c r="O195" i="1"/>
  <c r="M195" i="1"/>
  <c r="R194" i="1"/>
  <c r="Q194" i="1"/>
  <c r="P194" i="1"/>
  <c r="O194" i="1"/>
  <c r="M194" i="1"/>
  <c r="R193" i="1"/>
  <c r="Q193" i="1"/>
  <c r="P193" i="1"/>
  <c r="O193" i="1"/>
  <c r="M193" i="1"/>
  <c r="R192" i="1"/>
  <c r="Q192" i="1"/>
  <c r="P192" i="1"/>
  <c r="O192" i="1"/>
  <c r="M192" i="1"/>
  <c r="R191" i="1"/>
  <c r="Q191" i="1"/>
  <c r="P191" i="1"/>
  <c r="O191" i="1"/>
  <c r="M191" i="1"/>
  <c r="R190" i="1"/>
  <c r="Q190" i="1"/>
  <c r="P190" i="1"/>
  <c r="O190" i="1"/>
  <c r="M190" i="1"/>
  <c r="R189" i="1"/>
  <c r="Q189" i="1"/>
  <c r="P189" i="1"/>
  <c r="O189" i="1"/>
  <c r="M189" i="1"/>
  <c r="R188" i="1"/>
  <c r="Q188" i="1"/>
  <c r="P188" i="1"/>
  <c r="O188" i="1"/>
  <c r="M188" i="1"/>
  <c r="R187" i="1"/>
  <c r="Q187" i="1"/>
  <c r="P187" i="1"/>
  <c r="O187" i="1"/>
  <c r="M187" i="1"/>
  <c r="R186" i="1"/>
  <c r="Q186" i="1"/>
  <c r="P186" i="1"/>
  <c r="O186" i="1"/>
  <c r="M186" i="1"/>
  <c r="R185" i="1"/>
  <c r="Q185" i="1"/>
  <c r="P185" i="1"/>
  <c r="O185" i="1"/>
  <c r="M185" i="1"/>
  <c r="R184" i="1"/>
  <c r="Q184" i="1"/>
  <c r="P184" i="1"/>
  <c r="O184" i="1"/>
  <c r="M184" i="1"/>
  <c r="R183" i="1"/>
  <c r="Q183" i="1"/>
  <c r="P183" i="1"/>
  <c r="O183" i="1"/>
  <c r="M183" i="1"/>
  <c r="R182" i="1"/>
  <c r="Q182" i="1"/>
  <c r="P182" i="1"/>
  <c r="O182" i="1"/>
  <c r="M182" i="1"/>
  <c r="R181" i="1"/>
  <c r="Q181" i="1"/>
  <c r="P181" i="1"/>
  <c r="O181" i="1"/>
  <c r="M181" i="1"/>
  <c r="R180" i="1"/>
  <c r="Q180" i="1"/>
  <c r="P180" i="1"/>
  <c r="O180" i="1"/>
  <c r="M180" i="1"/>
  <c r="R179" i="1"/>
  <c r="Q179" i="1"/>
  <c r="P179" i="1"/>
  <c r="O179" i="1"/>
  <c r="M179" i="1"/>
  <c r="R178" i="1"/>
  <c r="Q178" i="1"/>
  <c r="P178" i="1"/>
  <c r="O178" i="1"/>
  <c r="M178" i="1"/>
  <c r="R177" i="1"/>
  <c r="Q177" i="1"/>
  <c r="P177" i="1"/>
  <c r="O177" i="1"/>
  <c r="M177" i="1"/>
  <c r="R176" i="1"/>
  <c r="Q176" i="1"/>
  <c r="P176" i="1"/>
  <c r="O176" i="1"/>
  <c r="M176" i="1"/>
  <c r="R175" i="1"/>
  <c r="Q175" i="1"/>
  <c r="P175" i="1"/>
  <c r="O175" i="1"/>
  <c r="M175" i="1"/>
  <c r="R174" i="1"/>
  <c r="Q174" i="1"/>
  <c r="P174" i="1"/>
  <c r="O174" i="1"/>
  <c r="M174" i="1"/>
  <c r="R173" i="1"/>
  <c r="Q173" i="1"/>
  <c r="P173" i="1"/>
  <c r="O173" i="1"/>
  <c r="M173" i="1"/>
  <c r="R172" i="1"/>
  <c r="Q172" i="1"/>
  <c r="P172" i="1"/>
  <c r="O172" i="1"/>
  <c r="M172" i="1"/>
  <c r="R171" i="1"/>
  <c r="Q171" i="1"/>
  <c r="P171" i="1"/>
  <c r="O171" i="1"/>
  <c r="M171" i="1"/>
  <c r="R170" i="1"/>
  <c r="Q170" i="1"/>
  <c r="P170" i="1"/>
  <c r="O170" i="1"/>
  <c r="M170" i="1"/>
  <c r="R169" i="1"/>
  <c r="Q169" i="1"/>
  <c r="P169" i="1"/>
  <c r="O169" i="1"/>
  <c r="M169" i="1"/>
  <c r="R168" i="1"/>
  <c r="Q168" i="1"/>
  <c r="P168" i="1"/>
  <c r="O168" i="1"/>
  <c r="M168" i="1"/>
  <c r="R167" i="1"/>
  <c r="Q167" i="1"/>
  <c r="P167" i="1"/>
  <c r="O167" i="1"/>
  <c r="M167" i="1"/>
  <c r="R166" i="1"/>
  <c r="Q166" i="1"/>
  <c r="P166" i="1"/>
  <c r="O166" i="1"/>
  <c r="M166" i="1"/>
  <c r="R165" i="1"/>
  <c r="Q165" i="1"/>
  <c r="P165" i="1"/>
  <c r="O165" i="1"/>
  <c r="M165" i="1"/>
  <c r="R164" i="1"/>
  <c r="Q164" i="1"/>
  <c r="P164" i="1"/>
  <c r="O164" i="1"/>
  <c r="M164" i="1"/>
  <c r="R163" i="1"/>
  <c r="Q163" i="1"/>
  <c r="P163" i="1"/>
  <c r="O163" i="1"/>
  <c r="M163" i="1"/>
  <c r="R162" i="1"/>
  <c r="Q162" i="1"/>
  <c r="P162" i="1"/>
  <c r="O162" i="1"/>
  <c r="M162" i="1"/>
  <c r="R161" i="1"/>
  <c r="Q161" i="1"/>
  <c r="P161" i="1"/>
  <c r="O161" i="1"/>
  <c r="M161" i="1"/>
  <c r="R160" i="1"/>
  <c r="Q160" i="1"/>
  <c r="P160" i="1"/>
  <c r="O160" i="1"/>
  <c r="M160" i="1"/>
  <c r="R159" i="1"/>
  <c r="Q159" i="1"/>
  <c r="P159" i="1"/>
  <c r="O159" i="1"/>
  <c r="M159" i="1"/>
  <c r="R158" i="1"/>
  <c r="Q158" i="1"/>
  <c r="P158" i="1"/>
  <c r="O158" i="1"/>
  <c r="M158" i="1"/>
  <c r="R157" i="1"/>
  <c r="Q157" i="1"/>
  <c r="P157" i="1"/>
  <c r="O157" i="1"/>
  <c r="M157" i="1"/>
  <c r="R156" i="1"/>
  <c r="Q156" i="1"/>
  <c r="P156" i="1"/>
  <c r="O156" i="1"/>
  <c r="M156" i="1"/>
  <c r="R155" i="1"/>
  <c r="Q155" i="1"/>
  <c r="P155" i="1"/>
  <c r="O155" i="1"/>
  <c r="M155" i="1"/>
  <c r="R154" i="1"/>
  <c r="Q154" i="1"/>
  <c r="P154" i="1"/>
  <c r="O154" i="1"/>
  <c r="M154" i="1"/>
  <c r="R153" i="1"/>
  <c r="Q153" i="1"/>
  <c r="P153" i="1"/>
  <c r="O153" i="1"/>
  <c r="M153" i="1"/>
  <c r="R152" i="1"/>
  <c r="Q152" i="1"/>
  <c r="P152" i="1"/>
  <c r="O152" i="1"/>
  <c r="M152" i="1"/>
  <c r="R151" i="1"/>
  <c r="Q151" i="1"/>
  <c r="P151" i="1"/>
  <c r="O151" i="1"/>
  <c r="M151" i="1"/>
  <c r="R150" i="1"/>
  <c r="Q150" i="1"/>
  <c r="P150" i="1"/>
  <c r="O150" i="1"/>
  <c r="M150" i="1"/>
  <c r="R149" i="1"/>
  <c r="Q149" i="1"/>
  <c r="P149" i="1"/>
  <c r="O149" i="1"/>
  <c r="M149" i="1"/>
  <c r="R148" i="1"/>
  <c r="Q148" i="1"/>
  <c r="P148" i="1"/>
  <c r="O148" i="1"/>
  <c r="M148" i="1"/>
  <c r="R147" i="1"/>
  <c r="Q147" i="1"/>
  <c r="P147" i="1"/>
  <c r="O147" i="1"/>
  <c r="M147" i="1"/>
  <c r="R146" i="1"/>
  <c r="Q146" i="1"/>
  <c r="P146" i="1"/>
  <c r="O146" i="1"/>
  <c r="M146" i="1"/>
  <c r="R145" i="1"/>
  <c r="Q145" i="1"/>
  <c r="P145" i="1"/>
  <c r="O145" i="1"/>
  <c r="M145" i="1"/>
  <c r="R144" i="1"/>
  <c r="Q144" i="1"/>
  <c r="P144" i="1"/>
  <c r="O144" i="1"/>
  <c r="M144" i="1"/>
  <c r="R143" i="1"/>
  <c r="Q143" i="1"/>
  <c r="P143" i="1"/>
  <c r="O143" i="1"/>
  <c r="M143" i="1"/>
  <c r="R142" i="1"/>
  <c r="Q142" i="1"/>
  <c r="P142" i="1"/>
  <c r="O142" i="1"/>
  <c r="M142" i="1"/>
  <c r="R141" i="1"/>
  <c r="Q141" i="1"/>
  <c r="P141" i="1"/>
  <c r="O141" i="1"/>
  <c r="M141" i="1"/>
  <c r="R140" i="1"/>
  <c r="Q140" i="1"/>
  <c r="P140" i="1"/>
  <c r="O140" i="1"/>
  <c r="M140" i="1"/>
  <c r="R139" i="1"/>
  <c r="Q139" i="1"/>
  <c r="P139" i="1"/>
  <c r="O139" i="1"/>
  <c r="M139" i="1"/>
  <c r="R138" i="1"/>
  <c r="Q138" i="1"/>
  <c r="P138" i="1"/>
  <c r="O138" i="1"/>
  <c r="M138" i="1"/>
  <c r="R137" i="1"/>
  <c r="Q137" i="1"/>
  <c r="P137" i="1"/>
  <c r="O137" i="1"/>
  <c r="M137" i="1"/>
  <c r="R136" i="1"/>
  <c r="Q136" i="1"/>
  <c r="P136" i="1"/>
  <c r="O136" i="1"/>
  <c r="M136" i="1"/>
  <c r="R135" i="1"/>
  <c r="Q135" i="1"/>
  <c r="P135" i="1"/>
  <c r="O135" i="1"/>
  <c r="M135" i="1"/>
  <c r="R134" i="1"/>
  <c r="Q134" i="1"/>
  <c r="P134" i="1"/>
  <c r="O134" i="1"/>
  <c r="M134" i="1"/>
  <c r="R133" i="1"/>
  <c r="Q133" i="1"/>
  <c r="P133" i="1"/>
  <c r="O133" i="1"/>
  <c r="M133" i="1"/>
  <c r="R132" i="1"/>
  <c r="Q132" i="1"/>
  <c r="P132" i="1"/>
  <c r="O132" i="1"/>
  <c r="M132" i="1"/>
  <c r="R131" i="1"/>
  <c r="Q131" i="1"/>
  <c r="P131" i="1"/>
  <c r="O131" i="1"/>
  <c r="M131" i="1"/>
  <c r="R130" i="1"/>
  <c r="Q130" i="1"/>
  <c r="P130" i="1"/>
  <c r="O130" i="1"/>
  <c r="M130" i="1"/>
  <c r="R129" i="1"/>
  <c r="Q129" i="1"/>
  <c r="P129" i="1"/>
  <c r="O129" i="1"/>
  <c r="M129" i="1"/>
  <c r="R128" i="1"/>
  <c r="Q128" i="1"/>
  <c r="P128" i="1"/>
  <c r="O128" i="1"/>
  <c r="M128" i="1"/>
  <c r="R127" i="1"/>
  <c r="Q127" i="1"/>
  <c r="P127" i="1"/>
  <c r="O127" i="1"/>
  <c r="M127" i="1"/>
  <c r="R126" i="1"/>
  <c r="Q126" i="1"/>
  <c r="P126" i="1"/>
  <c r="O126" i="1"/>
  <c r="M126" i="1"/>
  <c r="R125" i="1"/>
  <c r="Q125" i="1"/>
  <c r="P125" i="1"/>
  <c r="O125" i="1"/>
  <c r="M125" i="1"/>
  <c r="R124" i="1"/>
  <c r="Q124" i="1"/>
  <c r="P124" i="1"/>
  <c r="O124" i="1"/>
  <c r="M124" i="1"/>
  <c r="R123" i="1"/>
  <c r="Q123" i="1"/>
  <c r="P123" i="1"/>
  <c r="O123" i="1"/>
  <c r="M123" i="1"/>
  <c r="R122" i="1"/>
  <c r="Q122" i="1"/>
  <c r="P122" i="1"/>
  <c r="O122" i="1"/>
  <c r="M122" i="1"/>
  <c r="R121" i="1"/>
  <c r="Q121" i="1"/>
  <c r="P121" i="1"/>
  <c r="O121" i="1"/>
  <c r="M121" i="1"/>
  <c r="R120" i="1"/>
  <c r="Q120" i="1"/>
  <c r="P120" i="1"/>
  <c r="O120" i="1"/>
  <c r="M120" i="1"/>
  <c r="R119" i="1"/>
  <c r="Q119" i="1"/>
  <c r="P119" i="1"/>
  <c r="O119" i="1"/>
  <c r="M119" i="1"/>
  <c r="R118" i="1"/>
  <c r="Q118" i="1"/>
  <c r="P118" i="1"/>
  <c r="O118" i="1"/>
  <c r="M118" i="1"/>
  <c r="R117" i="1"/>
  <c r="Q117" i="1"/>
  <c r="P117" i="1"/>
  <c r="O117" i="1"/>
  <c r="M117" i="1"/>
  <c r="R116" i="1"/>
  <c r="Q116" i="1"/>
  <c r="P116" i="1"/>
  <c r="O116" i="1"/>
  <c r="M116" i="1"/>
  <c r="R115" i="1"/>
  <c r="Q115" i="1"/>
  <c r="P115" i="1"/>
  <c r="O115" i="1"/>
  <c r="M115" i="1"/>
  <c r="R114" i="1"/>
  <c r="Q114" i="1"/>
  <c r="P114" i="1"/>
  <c r="O114" i="1"/>
  <c r="M114" i="1"/>
  <c r="R113" i="1"/>
  <c r="Q113" i="1"/>
  <c r="P113" i="1"/>
  <c r="O113" i="1"/>
  <c r="M113" i="1"/>
  <c r="R112" i="1"/>
  <c r="Q112" i="1"/>
  <c r="P112" i="1"/>
  <c r="O112" i="1"/>
  <c r="M112" i="1"/>
  <c r="R111" i="1"/>
  <c r="Q111" i="1"/>
  <c r="P111" i="1"/>
  <c r="O111" i="1"/>
  <c r="M111" i="1"/>
  <c r="R110" i="1"/>
  <c r="Q110" i="1"/>
  <c r="P110" i="1"/>
  <c r="O110" i="1"/>
  <c r="M110" i="1"/>
  <c r="R109" i="1"/>
  <c r="Q109" i="1"/>
  <c r="P109" i="1"/>
  <c r="O109" i="1"/>
  <c r="M109" i="1"/>
  <c r="R108" i="1"/>
  <c r="Q108" i="1"/>
  <c r="P108" i="1"/>
  <c r="O108" i="1"/>
  <c r="M108" i="1"/>
  <c r="R107" i="1"/>
  <c r="Q107" i="1"/>
  <c r="P107" i="1"/>
  <c r="O107" i="1"/>
  <c r="M107" i="1"/>
  <c r="BG106" i="1"/>
  <c r="K106" i="1"/>
  <c r="P106" i="1" s="1"/>
  <c r="F106" i="1"/>
  <c r="C106" i="1"/>
  <c r="A106" i="1"/>
  <c r="K105" i="1"/>
  <c r="I105" i="1" s="1"/>
  <c r="J105" i="1"/>
  <c r="Y104" i="1"/>
  <c r="K104" i="1"/>
  <c r="O104" i="1" s="1"/>
  <c r="A104" i="1"/>
  <c r="K103" i="1"/>
  <c r="T103" i="1" s="1"/>
  <c r="J103" i="1"/>
  <c r="K102" i="1"/>
  <c r="J102" i="1" s="1"/>
  <c r="I102" i="1"/>
  <c r="K101" i="1"/>
  <c r="G101" i="1" s="1"/>
  <c r="K100" i="1"/>
  <c r="E100" i="1" s="1"/>
  <c r="J100" i="1"/>
  <c r="F100" i="1"/>
  <c r="Z99" i="1"/>
  <c r="Y99" i="1"/>
  <c r="U99" i="1"/>
  <c r="Q99" i="1"/>
  <c r="K99" i="1"/>
  <c r="P99" i="1" s="1"/>
  <c r="J99" i="1"/>
  <c r="A99" i="1"/>
  <c r="K98" i="1"/>
  <c r="R98" i="1" s="1"/>
  <c r="U97" i="1"/>
  <c r="T97" i="1"/>
  <c r="R97" i="1"/>
  <c r="Q97" i="1"/>
  <c r="P97" i="1"/>
  <c r="K97" i="1"/>
  <c r="I97" i="1"/>
  <c r="K96" i="1"/>
  <c r="D96" i="1" s="1"/>
  <c r="K95" i="1"/>
  <c r="BG95" i="1" s="1"/>
  <c r="J95" i="1"/>
  <c r="K94" i="1"/>
  <c r="P94" i="1" s="1"/>
  <c r="H94" i="1"/>
  <c r="K93" i="1"/>
  <c r="O93" i="1" s="1"/>
  <c r="K92" i="1"/>
  <c r="M92" i="1" s="1"/>
  <c r="K91" i="1"/>
  <c r="E91" i="1" s="1"/>
  <c r="A91" i="1"/>
  <c r="K90" i="1"/>
  <c r="I90" i="1" s="1"/>
  <c r="T89" i="1"/>
  <c r="I89" i="1"/>
  <c r="C89" i="1"/>
  <c r="G88" i="1"/>
  <c r="Q87" i="1"/>
  <c r="Q85" i="1"/>
  <c r="E85" i="1"/>
  <c r="D85" i="1"/>
  <c r="C85" i="1"/>
  <c r="G80" i="1"/>
  <c r="AA76" i="1"/>
  <c r="R75" i="1"/>
  <c r="Z74" i="1"/>
  <c r="G73" i="1"/>
  <c r="J73" i="1"/>
  <c r="Z71" i="1"/>
  <c r="Y69" i="1"/>
  <c r="Z66" i="1"/>
  <c r="H64" i="1"/>
  <c r="A59" i="1"/>
  <c r="BG58" i="1"/>
  <c r="G57" i="1"/>
  <c r="BG56" i="1"/>
  <c r="G56" i="1"/>
  <c r="F56" i="1"/>
  <c r="A55" i="1"/>
  <c r="A48" i="1"/>
  <c r="I45" i="1"/>
  <c r="J42" i="1"/>
  <c r="H42" i="1"/>
  <c r="F41" i="1"/>
  <c r="P40" i="1"/>
  <c r="C40" i="1"/>
  <c r="AC39" i="1"/>
  <c r="I27" i="1"/>
  <c r="O26" i="1"/>
  <c r="U25" i="1"/>
  <c r="J24" i="1"/>
  <c r="U23" i="1"/>
  <c r="A23" i="1"/>
  <c r="P22" i="1"/>
  <c r="D21" i="1"/>
  <c r="AB16" i="1"/>
  <c r="M13" i="1"/>
  <c r="I13" i="1"/>
  <c r="BG12" i="1"/>
  <c r="H12" i="1"/>
  <c r="Z11" i="1"/>
  <c r="Y11" i="1"/>
  <c r="D11" i="1"/>
  <c r="C11" i="1"/>
  <c r="A11" i="1"/>
  <c r="Q10" i="1"/>
  <c r="D10" i="1"/>
  <c r="BG9" i="1"/>
  <c r="AC9" i="1"/>
  <c r="AB9" i="1"/>
  <c r="AA9" i="1"/>
  <c r="Z9" i="1"/>
  <c r="Y9" i="1"/>
  <c r="Q9" i="1"/>
  <c r="P9" i="1"/>
  <c r="O9" i="1"/>
  <c r="D9" i="1"/>
  <c r="J9" i="1"/>
  <c r="I9" i="1"/>
  <c r="H9" i="1"/>
  <c r="G9" i="1"/>
  <c r="F9" i="1"/>
  <c r="E9" i="1"/>
  <c r="C9" i="1"/>
  <c r="AC8" i="1"/>
  <c r="AB8" i="1"/>
  <c r="AA8" i="1"/>
  <c r="Z8" i="1"/>
  <c r="U8" i="1"/>
  <c r="R8" i="1"/>
  <c r="O8" i="1"/>
  <c r="I8" i="1"/>
  <c r="F8" i="1"/>
  <c r="D8" i="1"/>
  <c r="C8" i="1"/>
  <c r="A8" i="1"/>
  <c r="BG7" i="1"/>
  <c r="G8" i="1" l="1"/>
  <c r="H8" i="1"/>
  <c r="P8" i="1"/>
  <c r="Q8" i="1"/>
  <c r="N15" i="1"/>
  <c r="N14" i="1"/>
  <c r="P13" i="1"/>
  <c r="N29" i="1"/>
  <c r="I20" i="1"/>
  <c r="N17" i="1"/>
  <c r="J47" i="1"/>
  <c r="N30" i="1"/>
  <c r="B50" i="1"/>
  <c r="W50" i="1" s="1"/>
  <c r="B49" i="1"/>
  <c r="W49" i="1" s="1"/>
  <c r="N47" i="1"/>
  <c r="J27" i="1"/>
  <c r="Q32" i="1"/>
  <c r="J54" i="1"/>
  <c r="B34" i="1"/>
  <c r="W34" i="1" s="1"/>
  <c r="B32" i="1"/>
  <c r="W32" i="1" s="1"/>
  <c r="N33" i="1"/>
  <c r="B29" i="1"/>
  <c r="W29" i="1" s="1"/>
  <c r="B33" i="1"/>
  <c r="W33" i="1" s="1"/>
  <c r="P34" i="1"/>
  <c r="B28" i="1"/>
  <c r="W28" i="1" s="1"/>
  <c r="M37" i="1"/>
  <c r="BG38" i="1"/>
  <c r="N31" i="1"/>
  <c r="B27" i="1"/>
  <c r="W27" i="1" s="1"/>
  <c r="N77" i="1"/>
  <c r="B66" i="1"/>
  <c r="W66" i="1" s="1"/>
  <c r="B60" i="1"/>
  <c r="W60" i="1" s="1"/>
  <c r="E77" i="1"/>
  <c r="N63" i="1"/>
  <c r="N62" i="1"/>
  <c r="J60" i="1"/>
  <c r="O78" i="1"/>
  <c r="N81" i="1"/>
  <c r="B82" i="1"/>
  <c r="W82" i="1" s="1"/>
  <c r="N80" i="1"/>
  <c r="U62" i="1"/>
  <c r="C82" i="1"/>
  <c r="N79" i="1"/>
  <c r="N78" i="1"/>
  <c r="E19" i="1"/>
  <c r="P31" i="1"/>
  <c r="B84" i="1"/>
  <c r="W84" i="1" s="1"/>
  <c r="B68" i="1"/>
  <c r="W68" i="1" s="1"/>
  <c r="B52" i="1"/>
  <c r="W52" i="1" s="1"/>
  <c r="B36" i="1"/>
  <c r="W36" i="1" s="1"/>
  <c r="B20" i="1"/>
  <c r="W20" i="1" s="1"/>
  <c r="E20" i="1"/>
  <c r="I46" i="1"/>
  <c r="B83" i="1"/>
  <c r="W83" i="1" s="1"/>
  <c r="B67" i="1"/>
  <c r="W67" i="1" s="1"/>
  <c r="B51" i="1"/>
  <c r="W51" i="1" s="1"/>
  <c r="B35" i="1"/>
  <c r="W35" i="1" s="1"/>
  <c r="B19" i="1"/>
  <c r="W19" i="1" s="1"/>
  <c r="C35" i="1"/>
  <c r="J63" i="1"/>
  <c r="C13" i="1"/>
  <c r="H36" i="1"/>
  <c r="BG50" i="1"/>
  <c r="BG79" i="1"/>
  <c r="N44" i="1"/>
  <c r="N28" i="1"/>
  <c r="N12" i="1"/>
  <c r="B15" i="1"/>
  <c r="W15" i="1" s="1"/>
  <c r="D13" i="1"/>
  <c r="AC51" i="1"/>
  <c r="N43" i="1"/>
  <c r="N27" i="1"/>
  <c r="N11" i="1"/>
  <c r="B30" i="1"/>
  <c r="W30" i="1" s="1"/>
  <c r="B14" i="1"/>
  <c r="W14" i="1" s="1"/>
  <c r="E11" i="1"/>
  <c r="AC13" i="1"/>
  <c r="N85" i="1"/>
  <c r="N69" i="1"/>
  <c r="N53" i="1"/>
  <c r="N37" i="1"/>
  <c r="N21" i="1"/>
  <c r="J52" i="1"/>
  <c r="J67" i="1"/>
  <c r="N86" i="1"/>
  <c r="N38" i="1"/>
  <c r="N84" i="1"/>
  <c r="Q13" i="1"/>
  <c r="N70" i="1"/>
  <c r="T11" i="1"/>
  <c r="AC86" i="1"/>
  <c r="N83" i="1"/>
  <c r="B70" i="1"/>
  <c r="W70" i="1" s="1"/>
  <c r="B54" i="1"/>
  <c r="W54" i="1" s="1"/>
  <c r="B22" i="1"/>
  <c r="W22" i="1" s="1"/>
  <c r="F11" i="1"/>
  <c r="AB18" i="1"/>
  <c r="A13" i="1"/>
  <c r="J13" i="1"/>
  <c r="R13" i="1"/>
  <c r="I12" i="1"/>
  <c r="T13" i="1"/>
  <c r="J12" i="1"/>
  <c r="U13" i="1"/>
  <c r="AB63" i="1"/>
  <c r="I29" i="1"/>
  <c r="A72" i="1"/>
  <c r="Y41" i="1"/>
  <c r="J31" i="1"/>
  <c r="E27" i="1"/>
  <c r="H27" i="1"/>
  <c r="H58" i="1"/>
  <c r="E64" i="1"/>
  <c r="G27" i="1"/>
  <c r="A32" i="1"/>
  <c r="J58" i="1"/>
  <c r="F64" i="1"/>
  <c r="A85" i="1"/>
  <c r="AB72" i="1"/>
  <c r="J18" i="1"/>
  <c r="F82" i="1"/>
  <c r="I43" i="1"/>
  <c r="P18" i="1"/>
  <c r="C58" i="1"/>
  <c r="G58" i="1"/>
  <c r="D64" i="1"/>
  <c r="I17" i="1"/>
  <c r="F27" i="1"/>
  <c r="I31" i="1"/>
  <c r="E42" i="1"/>
  <c r="H54" i="1"/>
  <c r="E58" i="1"/>
  <c r="W85" i="1"/>
  <c r="W23" i="1"/>
  <c r="I23" i="1"/>
  <c r="E56" i="1"/>
  <c r="G64" i="1"/>
  <c r="R69" i="1"/>
  <c r="Z69" i="1"/>
  <c r="AC28" i="1"/>
  <c r="O44" i="1"/>
  <c r="G51" i="1"/>
  <c r="I65" i="1"/>
  <c r="AA69" i="1"/>
  <c r="T69" i="1"/>
  <c r="G20" i="1"/>
  <c r="BG28" i="1"/>
  <c r="J45" i="1"/>
  <c r="A57" i="1"/>
  <c r="AC69" i="1"/>
  <c r="J20" i="1"/>
  <c r="O41" i="1"/>
  <c r="U69" i="1"/>
  <c r="F36" i="1"/>
  <c r="P41" i="1"/>
  <c r="O57" i="1"/>
  <c r="W21" i="1"/>
  <c r="C27" i="1"/>
  <c r="J36" i="1"/>
  <c r="P57" i="1"/>
  <c r="H63" i="1"/>
  <c r="I67" i="1"/>
  <c r="D78" i="1"/>
  <c r="F31" i="1"/>
  <c r="W38" i="1"/>
  <c r="J50" i="1"/>
  <c r="A54" i="1"/>
  <c r="F60" i="1"/>
  <c r="J69" i="1"/>
  <c r="D76" i="1"/>
  <c r="I92" i="1"/>
  <c r="F102" i="1"/>
  <c r="G31" i="1"/>
  <c r="J38" i="1"/>
  <c r="D54" i="1"/>
  <c r="G60" i="1"/>
  <c r="A64" i="1"/>
  <c r="A73" i="1"/>
  <c r="J76" i="1"/>
  <c r="H102" i="1"/>
  <c r="AA23" i="1"/>
  <c r="O30" i="1"/>
  <c r="U38" i="1"/>
  <c r="T51" i="1"/>
  <c r="AB64" i="1"/>
  <c r="BG68" i="1"/>
  <c r="Y73" i="1"/>
  <c r="AA100" i="1"/>
  <c r="BG54" i="1"/>
  <c r="U77" i="1"/>
  <c r="Y100" i="1"/>
  <c r="Z21" i="1"/>
  <c r="AB23" i="1"/>
  <c r="AB30" i="1"/>
  <c r="BG51" i="1"/>
  <c r="M59" i="1"/>
  <c r="M63" i="1"/>
  <c r="AC64" i="1"/>
  <c r="A69" i="1"/>
  <c r="Z73" i="1"/>
  <c r="H78" i="1"/>
  <c r="G82" i="1"/>
  <c r="C91" i="1"/>
  <c r="AB100" i="1"/>
  <c r="R35" i="1"/>
  <c r="U60" i="1"/>
  <c r="R80" i="1"/>
  <c r="M105" i="1"/>
  <c r="Z35" i="1"/>
  <c r="M51" i="1"/>
  <c r="AA35" i="1"/>
  <c r="P38" i="1"/>
  <c r="R73" i="1"/>
  <c r="AC31" i="1"/>
  <c r="R38" i="1"/>
  <c r="P51" i="1"/>
  <c r="Z23" i="1"/>
  <c r="BG31" i="1"/>
  <c r="T38" i="1"/>
  <c r="Z64" i="1"/>
  <c r="AB21" i="1"/>
  <c r="BG23" i="1"/>
  <c r="BG30" i="1"/>
  <c r="BG64" i="1"/>
  <c r="C69" i="1"/>
  <c r="J78" i="1"/>
  <c r="H82" i="1"/>
  <c r="BG85" i="1"/>
  <c r="J91" i="1"/>
  <c r="AC100" i="1"/>
  <c r="P104" i="1"/>
  <c r="D106" i="1"/>
  <c r="AC21" i="1"/>
  <c r="D28" i="1"/>
  <c r="C31" i="1"/>
  <c r="P59" i="1"/>
  <c r="O63" i="1"/>
  <c r="E69" i="1"/>
  <c r="Q104" i="1"/>
  <c r="M38" i="1"/>
  <c r="P14" i="1"/>
  <c r="O38" i="1"/>
  <c r="O73" i="1"/>
  <c r="T80" i="1"/>
  <c r="Z31" i="1"/>
  <c r="O77" i="1"/>
  <c r="U80" i="1"/>
  <c r="O105" i="1"/>
  <c r="P29" i="1"/>
  <c r="AB31" i="1"/>
  <c r="AB35" i="1"/>
  <c r="Q38" i="1"/>
  <c r="O51" i="1"/>
  <c r="AA68" i="1"/>
  <c r="T73" i="1"/>
  <c r="Q77" i="1"/>
  <c r="Y23" i="1"/>
  <c r="AC35" i="1"/>
  <c r="AB68" i="1"/>
  <c r="U73" i="1"/>
  <c r="Y105" i="1"/>
  <c r="R51" i="1"/>
  <c r="AC68" i="1"/>
  <c r="AC105" i="1"/>
  <c r="G22" i="1"/>
  <c r="E28" i="1"/>
  <c r="D31" i="1"/>
  <c r="J40" i="1"/>
  <c r="E44" i="1"/>
  <c r="I57" i="1"/>
  <c r="Y59" i="1"/>
  <c r="P63" i="1"/>
  <c r="F69" i="1"/>
  <c r="R99" i="1"/>
  <c r="R104" i="1"/>
  <c r="I22" i="1"/>
  <c r="G25" i="1"/>
  <c r="F28" i="1"/>
  <c r="E31" i="1"/>
  <c r="J34" i="1"/>
  <c r="A38" i="1"/>
  <c r="G44" i="1"/>
  <c r="D60" i="1"/>
  <c r="Z63" i="1"/>
  <c r="G69" i="1"/>
  <c r="I79" i="1"/>
  <c r="J83" i="1"/>
  <c r="Q91" i="1"/>
  <c r="T99" i="1"/>
  <c r="D102" i="1"/>
  <c r="T104" i="1"/>
  <c r="Z37" i="1"/>
  <c r="W17" i="1"/>
  <c r="A28" i="1"/>
  <c r="Z28" i="1"/>
  <c r="H34" i="1"/>
  <c r="H37" i="1"/>
  <c r="H50" i="1"/>
  <c r="I71" i="1"/>
  <c r="G79" i="1"/>
  <c r="G92" i="1"/>
  <c r="BG92" i="1"/>
  <c r="H95" i="1"/>
  <c r="F96" i="1"/>
  <c r="H103" i="1"/>
  <c r="H17" i="1"/>
  <c r="AA28" i="1"/>
  <c r="I34" i="1"/>
  <c r="I37" i="1"/>
  <c r="I50" i="1"/>
  <c r="J71" i="1"/>
  <c r="A76" i="1"/>
  <c r="H79" i="1"/>
  <c r="H92" i="1"/>
  <c r="I95" i="1"/>
  <c r="J96" i="1"/>
  <c r="I103" i="1"/>
  <c r="M96" i="1"/>
  <c r="O37" i="1"/>
  <c r="O55" i="1"/>
  <c r="AB71" i="1"/>
  <c r="G28" i="1"/>
  <c r="Q34" i="1"/>
  <c r="U37" i="1"/>
  <c r="R50" i="1"/>
  <c r="P55" i="1"/>
  <c r="Q79" i="1"/>
  <c r="O87" i="1"/>
  <c r="P92" i="1"/>
  <c r="R95" i="1"/>
  <c r="O96" i="1"/>
  <c r="Y103" i="1"/>
  <c r="M20" i="1"/>
  <c r="H28" i="1"/>
  <c r="C32" i="1"/>
  <c r="T34" i="1"/>
  <c r="Z41" i="1"/>
  <c r="U50" i="1"/>
  <c r="Z55" i="1"/>
  <c r="I58" i="1"/>
  <c r="F70" i="1"/>
  <c r="O76" i="1"/>
  <c r="T79" i="1"/>
  <c r="P87" i="1"/>
  <c r="Q92" i="1"/>
  <c r="O94" i="1"/>
  <c r="U95" i="1"/>
  <c r="P96" i="1"/>
  <c r="BG103" i="1"/>
  <c r="U104" i="1"/>
  <c r="U34" i="1"/>
  <c r="Q29" i="1"/>
  <c r="AB44" i="1"/>
  <c r="Y50" i="1"/>
  <c r="Q76" i="1"/>
  <c r="T92" i="1"/>
  <c r="Q94" i="1"/>
  <c r="T96" i="1"/>
  <c r="Q18" i="1"/>
  <c r="Y20" i="1"/>
  <c r="O28" i="1"/>
  <c r="R29" i="1"/>
  <c r="Y34" i="1"/>
  <c r="AB37" i="1"/>
  <c r="BG44" i="1"/>
  <c r="Z50" i="1"/>
  <c r="P70" i="1"/>
  <c r="T76" i="1"/>
  <c r="Y79" i="1"/>
  <c r="AC91" i="1"/>
  <c r="U92" i="1"/>
  <c r="R94" i="1"/>
  <c r="Z95" i="1"/>
  <c r="C104" i="1"/>
  <c r="Z104" i="1"/>
  <c r="P76" i="1"/>
  <c r="U79" i="1"/>
  <c r="R96" i="1"/>
  <c r="BG60" i="1"/>
  <c r="T18" i="1"/>
  <c r="AA20" i="1"/>
  <c r="C23" i="1"/>
  <c r="P28" i="1"/>
  <c r="AA34" i="1"/>
  <c r="A37" i="1"/>
  <c r="AC37" i="1"/>
  <c r="M42" i="1"/>
  <c r="A50" i="1"/>
  <c r="AA50" i="1"/>
  <c r="AB58" i="1"/>
  <c r="AA70" i="1"/>
  <c r="W73" i="1"/>
  <c r="AA73" i="1"/>
  <c r="Z79" i="1"/>
  <c r="A92" i="1"/>
  <c r="A95" i="1"/>
  <c r="AA95" i="1"/>
  <c r="AB96" i="1"/>
  <c r="C99" i="1"/>
  <c r="AA99" i="1"/>
  <c r="D104" i="1"/>
  <c r="AB104" i="1"/>
  <c r="U18" i="1"/>
  <c r="AB20" i="1"/>
  <c r="D23" i="1"/>
  <c r="Z27" i="1"/>
  <c r="Q28" i="1"/>
  <c r="Y29" i="1"/>
  <c r="AB34" i="1"/>
  <c r="W37" i="1"/>
  <c r="BG37" i="1"/>
  <c r="C50" i="1"/>
  <c r="AB50" i="1"/>
  <c r="M69" i="1"/>
  <c r="AC70" i="1"/>
  <c r="C73" i="1"/>
  <c r="AC73" i="1"/>
  <c r="Y76" i="1"/>
  <c r="W79" i="1"/>
  <c r="AA79" i="1"/>
  <c r="W92" i="1"/>
  <c r="Y92" i="1"/>
  <c r="C95" i="1"/>
  <c r="AB95" i="1"/>
  <c r="AC96" i="1"/>
  <c r="D99" i="1"/>
  <c r="AB99" i="1"/>
  <c r="E104" i="1"/>
  <c r="AC104" i="1"/>
  <c r="AC20" i="1"/>
  <c r="E23" i="1"/>
  <c r="I25" i="1"/>
  <c r="AA27" i="1"/>
  <c r="R28" i="1"/>
  <c r="C34" i="1"/>
  <c r="AC34" i="1"/>
  <c r="C37" i="1"/>
  <c r="Q42" i="1"/>
  <c r="D50" i="1"/>
  <c r="AC50" i="1"/>
  <c r="A62" i="1"/>
  <c r="W71" i="1"/>
  <c r="D73" i="1"/>
  <c r="Z76" i="1"/>
  <c r="C79" i="1"/>
  <c r="AB79" i="1"/>
  <c r="M82" i="1"/>
  <c r="E89" i="1"/>
  <c r="C92" i="1"/>
  <c r="Z92" i="1"/>
  <c r="D95" i="1"/>
  <c r="AC95" i="1"/>
  <c r="BG96" i="1"/>
  <c r="E99" i="1"/>
  <c r="BG99" i="1"/>
  <c r="F104" i="1"/>
  <c r="BG104" i="1"/>
  <c r="H106" i="1"/>
  <c r="R92" i="1"/>
  <c r="U20" i="1"/>
  <c r="AA37" i="1"/>
  <c r="R91" i="1"/>
  <c r="Y95" i="1"/>
  <c r="Y18" i="1"/>
  <c r="F23" i="1"/>
  <c r="AB27" i="1"/>
  <c r="T28" i="1"/>
  <c r="E30" i="1"/>
  <c r="Q31" i="1"/>
  <c r="D34" i="1"/>
  <c r="BG34" i="1"/>
  <c r="D37" i="1"/>
  <c r="BG42" i="1"/>
  <c r="A46" i="1"/>
  <c r="E50" i="1"/>
  <c r="O69" i="1"/>
  <c r="D71" i="1"/>
  <c r="E73" i="1"/>
  <c r="AC76" i="1"/>
  <c r="D79" i="1"/>
  <c r="AC79" i="1"/>
  <c r="R85" i="1"/>
  <c r="D92" i="1"/>
  <c r="AA92" i="1"/>
  <c r="E95" i="1"/>
  <c r="W96" i="1"/>
  <c r="F99" i="1"/>
  <c r="G104" i="1"/>
  <c r="D105" i="1"/>
  <c r="J106" i="1"/>
  <c r="Y16" i="1"/>
  <c r="AC18" i="1"/>
  <c r="C21" i="1"/>
  <c r="G23" i="1"/>
  <c r="AC27" i="1"/>
  <c r="G30" i="1"/>
  <c r="E34" i="1"/>
  <c r="E37" i="1"/>
  <c r="H41" i="1"/>
  <c r="G43" i="1"/>
  <c r="W46" i="1"/>
  <c r="F50" i="1"/>
  <c r="J51" i="1"/>
  <c r="I54" i="1"/>
  <c r="P68" i="1"/>
  <c r="P69" i="1"/>
  <c r="F71" i="1"/>
  <c r="F73" i="1"/>
  <c r="I75" i="1"/>
  <c r="F77" i="1"/>
  <c r="E79" i="1"/>
  <c r="H80" i="1"/>
  <c r="AB82" i="1"/>
  <c r="Y85" i="1"/>
  <c r="E92" i="1"/>
  <c r="AB92" i="1"/>
  <c r="F95" i="1"/>
  <c r="C96" i="1"/>
  <c r="G99" i="1"/>
  <c r="A103" i="1"/>
  <c r="I104" i="1"/>
  <c r="H105" i="1"/>
  <c r="J19" i="1"/>
  <c r="H23" i="1"/>
  <c r="BG27" i="1"/>
  <c r="Y28" i="1"/>
  <c r="Y31" i="1"/>
  <c r="F34" i="1"/>
  <c r="G37" i="1"/>
  <c r="J41" i="1"/>
  <c r="H43" i="1"/>
  <c r="G50" i="1"/>
  <c r="O59" i="1"/>
  <c r="F63" i="1"/>
  <c r="Z68" i="1"/>
  <c r="Q69" i="1"/>
  <c r="G71" i="1"/>
  <c r="J77" i="1"/>
  <c r="F79" i="1"/>
  <c r="J80" i="1"/>
  <c r="I83" i="1"/>
  <c r="Z85" i="1"/>
  <c r="F92" i="1"/>
  <c r="AC92" i="1"/>
  <c r="G95" i="1"/>
  <c r="H99" i="1"/>
  <c r="G103" i="1"/>
  <c r="J104" i="1"/>
  <c r="A16" i="1"/>
  <c r="U16" i="1"/>
  <c r="T16" i="1"/>
  <c r="O16" i="1"/>
  <c r="AC16" i="1"/>
  <c r="E16" i="1"/>
  <c r="AA16" i="1"/>
  <c r="C16" i="1"/>
  <c r="I33" i="1"/>
  <c r="H47" i="1"/>
  <c r="H52" i="1"/>
  <c r="AA61" i="1"/>
  <c r="Z61" i="1"/>
  <c r="Y61" i="1"/>
  <c r="P61" i="1"/>
  <c r="O61" i="1"/>
  <c r="C61" i="1"/>
  <c r="BG61" i="1"/>
  <c r="W65" i="1"/>
  <c r="F90" i="1"/>
  <c r="I98" i="1"/>
  <c r="C98" i="1"/>
  <c r="D14" i="1"/>
  <c r="H14" i="1"/>
  <c r="G14" i="1"/>
  <c r="F14" i="1"/>
  <c r="E14" i="1"/>
  <c r="AC14" i="1"/>
  <c r="AB14" i="1"/>
  <c r="J14" i="1"/>
  <c r="I39" i="1"/>
  <c r="AC87" i="1"/>
  <c r="H87" i="1"/>
  <c r="T87" i="1"/>
  <c r="AB87" i="1"/>
  <c r="G87" i="1"/>
  <c r="AA87" i="1"/>
  <c r="F87" i="1"/>
  <c r="Z87" i="1"/>
  <c r="E87" i="1"/>
  <c r="Y87" i="1"/>
  <c r="D87" i="1"/>
  <c r="W87" i="1"/>
  <c r="M87" i="1"/>
  <c r="J87" i="1"/>
  <c r="M16" i="1"/>
  <c r="E25" i="1"/>
  <c r="J39" i="1"/>
  <c r="AA14" i="1"/>
  <c r="O22" i="1"/>
  <c r="P25" i="1"/>
  <c r="P32" i="1"/>
  <c r="BG36" i="1"/>
  <c r="Y36" i="1"/>
  <c r="E36" i="1"/>
  <c r="D36" i="1"/>
  <c r="U36" i="1"/>
  <c r="C36" i="1"/>
  <c r="T36" i="1"/>
  <c r="R36" i="1"/>
  <c r="A36" i="1"/>
  <c r="Q36" i="1"/>
  <c r="AC36" i="1"/>
  <c r="I36" i="1"/>
  <c r="AA36" i="1"/>
  <c r="G36" i="1"/>
  <c r="AB39" i="1"/>
  <c r="Z48" i="1"/>
  <c r="J48" i="1"/>
  <c r="I48" i="1"/>
  <c r="H48" i="1"/>
  <c r="BG48" i="1"/>
  <c r="G48" i="1"/>
  <c r="AC48" i="1"/>
  <c r="F48" i="1"/>
  <c r="AB48" i="1"/>
  <c r="C48" i="1"/>
  <c r="O48" i="1"/>
  <c r="M48" i="1"/>
  <c r="T62" i="1"/>
  <c r="Q75" i="1"/>
  <c r="BG52" i="1"/>
  <c r="AC52" i="1"/>
  <c r="AB52" i="1"/>
  <c r="R52" i="1"/>
  <c r="F52" i="1"/>
  <c r="C52" i="1"/>
  <c r="E101" i="1"/>
  <c r="R101" i="1"/>
  <c r="BG101" i="1"/>
  <c r="AA101" i="1"/>
  <c r="Y101" i="1"/>
  <c r="M39" i="1"/>
  <c r="F65" i="1"/>
  <c r="Z65" i="1"/>
  <c r="Y65" i="1"/>
  <c r="U65" i="1"/>
  <c r="T65" i="1"/>
  <c r="R65" i="1"/>
  <c r="Q65" i="1"/>
  <c r="M36" i="1"/>
  <c r="BG46" i="1"/>
  <c r="AB46" i="1"/>
  <c r="H46" i="1"/>
  <c r="AA46" i="1"/>
  <c r="G46" i="1"/>
  <c r="Z46" i="1"/>
  <c r="F46" i="1"/>
  <c r="Y46" i="1"/>
  <c r="E46" i="1"/>
  <c r="D46" i="1"/>
  <c r="U46" i="1"/>
  <c r="C46" i="1"/>
  <c r="M46" i="1"/>
  <c r="J46" i="1"/>
  <c r="J84" i="1"/>
  <c r="I84" i="1"/>
  <c r="H84" i="1"/>
  <c r="F84" i="1"/>
  <c r="C84" i="1"/>
  <c r="R84" i="1"/>
  <c r="I88" i="1"/>
  <c r="F88" i="1"/>
  <c r="AA33" i="1"/>
  <c r="C33" i="1"/>
  <c r="Z33" i="1"/>
  <c r="Y33" i="1"/>
  <c r="Q33" i="1"/>
  <c r="P33" i="1"/>
  <c r="G33" i="1"/>
  <c r="AC33" i="1"/>
  <c r="E33" i="1"/>
  <c r="T39" i="1"/>
  <c r="A39" i="1"/>
  <c r="R39" i="1"/>
  <c r="Q39" i="1"/>
  <c r="P39" i="1"/>
  <c r="O39" i="1"/>
  <c r="Z39" i="1"/>
  <c r="E39" i="1"/>
  <c r="C39" i="1"/>
  <c r="I47" i="1"/>
  <c r="G47" i="1"/>
  <c r="D90" i="1"/>
  <c r="BG90" i="1"/>
  <c r="C90" i="1"/>
  <c r="A90" i="1"/>
  <c r="J90" i="1"/>
  <c r="G90" i="1"/>
  <c r="BG22" i="1"/>
  <c r="AA22" i="1"/>
  <c r="F22" i="1"/>
  <c r="Z22" i="1"/>
  <c r="D22" i="1"/>
  <c r="Y22" i="1"/>
  <c r="C22" i="1"/>
  <c r="U22" i="1"/>
  <c r="T22" i="1"/>
  <c r="A22" i="1"/>
  <c r="R22" i="1"/>
  <c r="J22" i="1"/>
  <c r="AC22" i="1"/>
  <c r="H22" i="1"/>
  <c r="BG25" i="1"/>
  <c r="C25" i="1"/>
  <c r="AB25" i="1"/>
  <c r="W25" i="1"/>
  <c r="AA25" i="1"/>
  <c r="A25" i="1"/>
  <c r="Z25" i="1"/>
  <c r="Y25" i="1"/>
  <c r="H25" i="1"/>
  <c r="F25" i="1"/>
  <c r="O33" i="1"/>
  <c r="BG47" i="1"/>
  <c r="Q52" i="1"/>
  <c r="H62" i="1"/>
  <c r="AB62" i="1"/>
  <c r="I62" i="1"/>
  <c r="H83" i="1"/>
  <c r="C83" i="1"/>
  <c r="R90" i="1"/>
  <c r="Q101" i="1"/>
  <c r="Y14" i="1"/>
  <c r="BG16" i="1"/>
  <c r="M22" i="1"/>
  <c r="J32" i="1"/>
  <c r="BG32" i="1"/>
  <c r="I32" i="1"/>
  <c r="AC32" i="1"/>
  <c r="H32" i="1"/>
  <c r="AB32" i="1"/>
  <c r="F32" i="1"/>
  <c r="AA32" i="1"/>
  <c r="E32" i="1"/>
  <c r="Y32" i="1"/>
  <c r="D32" i="1"/>
  <c r="O32" i="1"/>
  <c r="M32" i="1"/>
  <c r="AB33" i="1"/>
  <c r="U39" i="1"/>
  <c r="AB43" i="1"/>
  <c r="AA43" i="1"/>
  <c r="R43" i="1"/>
  <c r="E43" i="1"/>
  <c r="AA65" i="1"/>
  <c r="F75" i="1"/>
  <c r="E75" i="1"/>
  <c r="D75" i="1"/>
  <c r="C75" i="1"/>
  <c r="J75" i="1"/>
  <c r="AC78" i="1"/>
  <c r="C78" i="1"/>
  <c r="AA78" i="1"/>
  <c r="W78" i="1"/>
  <c r="Z78" i="1"/>
  <c r="A78" i="1"/>
  <c r="U78" i="1"/>
  <c r="R78" i="1"/>
  <c r="I78" i="1"/>
  <c r="E78" i="1"/>
  <c r="R87" i="1"/>
  <c r="U90" i="1"/>
  <c r="Z14" i="1"/>
  <c r="O25" i="1"/>
  <c r="BG33" i="1"/>
  <c r="Y39" i="1"/>
  <c r="M78" i="1"/>
  <c r="T83" i="1"/>
  <c r="BG87" i="1"/>
  <c r="AC90" i="1"/>
  <c r="H93" i="1"/>
  <c r="BG93" i="1"/>
  <c r="G93" i="1"/>
  <c r="F93" i="1"/>
  <c r="E93" i="1"/>
  <c r="P93" i="1"/>
  <c r="J17" i="1"/>
  <c r="C20" i="1"/>
  <c r="Q22" i="1"/>
  <c r="I30" i="1"/>
  <c r="R32" i="1"/>
  <c r="BG39" i="1"/>
  <c r="I44" i="1"/>
  <c r="P48" i="1"/>
  <c r="G54" i="1"/>
  <c r="AA58" i="1"/>
  <c r="Z58" i="1"/>
  <c r="Y58" i="1"/>
  <c r="U58" i="1"/>
  <c r="R58" i="1"/>
  <c r="P58" i="1"/>
  <c r="F58" i="1"/>
  <c r="AC58" i="1"/>
  <c r="D58" i="1"/>
  <c r="Z62" i="1"/>
  <c r="H70" i="1"/>
  <c r="AA75" i="1"/>
  <c r="P78" i="1"/>
  <c r="A86" i="1"/>
  <c r="T93" i="1"/>
  <c r="H97" i="1"/>
  <c r="Y97" i="1"/>
  <c r="BG97" i="1"/>
  <c r="G97" i="1"/>
  <c r="AC97" i="1"/>
  <c r="F97" i="1"/>
  <c r="AB97" i="1"/>
  <c r="D97" i="1"/>
  <c r="AA97" i="1"/>
  <c r="C97" i="1"/>
  <c r="Z97" i="1"/>
  <c r="W97" i="1"/>
  <c r="J97" i="1"/>
  <c r="Q62" i="1"/>
  <c r="W16" i="1"/>
  <c r="J21" i="1"/>
  <c r="I21" i="1"/>
  <c r="H21" i="1"/>
  <c r="G21" i="1"/>
  <c r="F21" i="1"/>
  <c r="BG21" i="1"/>
  <c r="E21" i="1"/>
  <c r="O21" i="1"/>
  <c r="M21" i="1"/>
  <c r="AB22" i="1"/>
  <c r="T32" i="1"/>
  <c r="O36" i="1"/>
  <c r="AA42" i="1"/>
  <c r="D42" i="1"/>
  <c r="Y42" i="1"/>
  <c r="W42" i="1"/>
  <c r="A42" i="1"/>
  <c r="U42" i="1"/>
  <c r="T42" i="1"/>
  <c r="R42" i="1"/>
  <c r="I42" i="1"/>
  <c r="AC42" i="1"/>
  <c r="F42" i="1"/>
  <c r="O46" i="1"/>
  <c r="Q48" i="1"/>
  <c r="W61" i="1"/>
  <c r="U67" i="1"/>
  <c r="F67" i="1"/>
  <c r="AB75" i="1"/>
  <c r="BG78" i="1"/>
  <c r="O84" i="1"/>
  <c r="W86" i="1"/>
  <c r="Y88" i="1"/>
  <c r="Y93" i="1"/>
  <c r="Z102" i="1"/>
  <c r="C102" i="1"/>
  <c r="P102" i="1"/>
  <c r="Y102" i="1"/>
  <c r="A102" i="1"/>
  <c r="U102" i="1"/>
  <c r="T102" i="1"/>
  <c r="R102" i="1"/>
  <c r="BG102" i="1"/>
  <c r="G102" i="1"/>
  <c r="AB102" i="1"/>
  <c r="E102" i="1"/>
  <c r="D16" i="1"/>
  <c r="Y30" i="1"/>
  <c r="D30" i="1"/>
  <c r="T30" i="1"/>
  <c r="A30" i="1"/>
  <c r="R30" i="1"/>
  <c r="Q30" i="1"/>
  <c r="P30" i="1"/>
  <c r="AC30" i="1"/>
  <c r="H30" i="1"/>
  <c r="AA30" i="1"/>
  <c r="F30" i="1"/>
  <c r="U32" i="1"/>
  <c r="J35" i="1"/>
  <c r="I35" i="1"/>
  <c r="H35" i="1"/>
  <c r="G35" i="1"/>
  <c r="E35" i="1"/>
  <c r="BG35" i="1"/>
  <c r="D35" i="1"/>
  <c r="Q35" i="1"/>
  <c r="P36" i="1"/>
  <c r="Y44" i="1"/>
  <c r="D44" i="1"/>
  <c r="C44" i="1"/>
  <c r="U44" i="1"/>
  <c r="W44" i="1"/>
  <c r="T44" i="1"/>
  <c r="Q44" i="1"/>
  <c r="P44" i="1"/>
  <c r="AC44" i="1"/>
  <c r="H44" i="1"/>
  <c r="AA44" i="1"/>
  <c r="F44" i="1"/>
  <c r="P46" i="1"/>
  <c r="T48" i="1"/>
  <c r="D61" i="1"/>
  <c r="O70" i="1"/>
  <c r="Z70" i="1"/>
  <c r="E70" i="1"/>
  <c r="Y70" i="1"/>
  <c r="D70" i="1"/>
  <c r="C70" i="1"/>
  <c r="U70" i="1"/>
  <c r="T70" i="1"/>
  <c r="A70" i="1"/>
  <c r="R70" i="1"/>
  <c r="BG70" i="1"/>
  <c r="I70" i="1"/>
  <c r="AB70" i="1"/>
  <c r="G70" i="1"/>
  <c r="BG75" i="1"/>
  <c r="T84" i="1"/>
  <c r="Z93" i="1"/>
  <c r="F16" i="1"/>
  <c r="H20" i="1"/>
  <c r="U21" i="1"/>
  <c r="C24" i="1"/>
  <c r="M30" i="1"/>
  <c r="Z36" i="1"/>
  <c r="W39" i="1"/>
  <c r="M44" i="1"/>
  <c r="Q46" i="1"/>
  <c r="U48" i="1"/>
  <c r="D57" i="1"/>
  <c r="E61" i="1"/>
  <c r="A68" i="1"/>
  <c r="M70" i="1"/>
  <c r="AC84" i="1"/>
  <c r="AA93" i="1"/>
  <c r="AA102" i="1"/>
  <c r="H16" i="1"/>
  <c r="D33" i="1"/>
  <c r="P35" i="1"/>
  <c r="AB36" i="1"/>
  <c r="D39" i="1"/>
  <c r="P42" i="1"/>
  <c r="R46" i="1"/>
  <c r="Z54" i="1"/>
  <c r="Y54" i="1"/>
  <c r="T54" i="1"/>
  <c r="R54" i="1"/>
  <c r="P54" i="1"/>
  <c r="E54" i="1"/>
  <c r="AC54" i="1"/>
  <c r="C54" i="1"/>
  <c r="F61" i="1"/>
  <c r="BG63" i="1"/>
  <c r="Y63" i="1"/>
  <c r="E63" i="1"/>
  <c r="D63" i="1"/>
  <c r="U63" i="1"/>
  <c r="C63" i="1"/>
  <c r="T63" i="1"/>
  <c r="W63" i="1"/>
  <c r="R63" i="1"/>
  <c r="A63" i="1"/>
  <c r="Q63" i="1"/>
  <c r="AC63" i="1"/>
  <c r="I63" i="1"/>
  <c r="AA63" i="1"/>
  <c r="G63" i="1"/>
  <c r="AA82" i="1"/>
  <c r="Z82" i="1"/>
  <c r="U82" i="1"/>
  <c r="T82" i="1"/>
  <c r="R82" i="1"/>
  <c r="O82" i="1"/>
  <c r="E82" i="1"/>
  <c r="A82" i="1"/>
  <c r="BG84" i="1"/>
  <c r="AB93" i="1"/>
  <c r="AC102" i="1"/>
  <c r="I16" i="1"/>
  <c r="Q24" i="1"/>
  <c r="O24" i="1"/>
  <c r="F33" i="1"/>
  <c r="F39" i="1"/>
  <c r="T46" i="1"/>
  <c r="AA48" i="1"/>
  <c r="D52" i="1"/>
  <c r="G61" i="1"/>
  <c r="I68" i="1"/>
  <c r="H68" i="1"/>
  <c r="G68" i="1"/>
  <c r="F68" i="1"/>
  <c r="E68" i="1"/>
  <c r="C68" i="1"/>
  <c r="Q68" i="1"/>
  <c r="A87" i="1"/>
  <c r="I14" i="1"/>
  <c r="J16" i="1"/>
  <c r="BG20" i="1"/>
  <c r="T20" i="1"/>
  <c r="R20" i="1"/>
  <c r="A20" i="1"/>
  <c r="Q20" i="1"/>
  <c r="P20" i="1"/>
  <c r="O20" i="1"/>
  <c r="Z20" i="1"/>
  <c r="F20" i="1"/>
  <c r="D20" i="1"/>
  <c r="AA21" i="1"/>
  <c r="M24" i="1"/>
  <c r="G29" i="1"/>
  <c r="F29" i="1"/>
  <c r="E29" i="1"/>
  <c r="BG29" i="1"/>
  <c r="D29" i="1"/>
  <c r="AC29" i="1"/>
  <c r="C29" i="1"/>
  <c r="AB29" i="1"/>
  <c r="J29" i="1"/>
  <c r="Z30" i="1"/>
  <c r="H33" i="1"/>
  <c r="G39" i="1"/>
  <c r="AB42" i="1"/>
  <c r="Z44" i="1"/>
  <c r="AC46" i="1"/>
  <c r="G52" i="1"/>
  <c r="AA54" i="1"/>
  <c r="BG57" i="1"/>
  <c r="AC57" i="1"/>
  <c r="AA57" i="1"/>
  <c r="Z57" i="1"/>
  <c r="Q57" i="1"/>
  <c r="E57" i="1"/>
  <c r="C57" i="1"/>
  <c r="I61" i="1"/>
  <c r="Q70" i="1"/>
  <c r="I87" i="1"/>
  <c r="AC94" i="1"/>
  <c r="BG94" i="1"/>
  <c r="G94" i="1"/>
  <c r="T94" i="1"/>
  <c r="AB94" i="1"/>
  <c r="E94" i="1"/>
  <c r="AA94" i="1"/>
  <c r="D94" i="1"/>
  <c r="Z94" i="1"/>
  <c r="C94" i="1"/>
  <c r="W94" i="1"/>
  <c r="U94" i="1"/>
  <c r="A94" i="1"/>
  <c r="M94" i="1"/>
  <c r="J94" i="1"/>
  <c r="I41" i="1"/>
  <c r="T50" i="1"/>
  <c r="I51" i="1"/>
  <c r="AA64" i="1"/>
  <c r="BG71" i="1"/>
  <c r="G77" i="1"/>
  <c r="A79" i="1"/>
  <c r="R79" i="1"/>
  <c r="I80" i="1"/>
  <c r="W95" i="1"/>
  <c r="T95" i="1"/>
  <c r="AC103" i="1"/>
  <c r="BG18" i="1"/>
  <c r="C38" i="1"/>
  <c r="Y38" i="1"/>
  <c r="AB41" i="1"/>
  <c r="A51" i="1"/>
  <c r="U51" i="1"/>
  <c r="J64" i="1"/>
  <c r="C76" i="1"/>
  <c r="AB76" i="1"/>
  <c r="Y77" i="1"/>
  <c r="J79" i="1"/>
  <c r="A80" i="1"/>
  <c r="Z80" i="1"/>
  <c r="J89" i="1"/>
  <c r="W18" i="1"/>
  <c r="D38" i="1"/>
  <c r="Z38" i="1"/>
  <c r="A41" i="1"/>
  <c r="AC41" i="1"/>
  <c r="M50" i="1"/>
  <c r="Z77" i="1"/>
  <c r="W80" i="1"/>
  <c r="AA80" i="1"/>
  <c r="M95" i="1"/>
  <c r="O103" i="1"/>
  <c r="E15" i="1"/>
  <c r="C18" i="1"/>
  <c r="M23" i="1"/>
  <c r="P27" i="1"/>
  <c r="J28" i="1"/>
  <c r="M34" i="1"/>
  <c r="J37" i="1"/>
  <c r="F38" i="1"/>
  <c r="AA38" i="1"/>
  <c r="C41" i="1"/>
  <c r="BG41" i="1"/>
  <c r="C51" i="1"/>
  <c r="Y51" i="1"/>
  <c r="I56" i="1"/>
  <c r="H60" i="1"/>
  <c r="M64" i="1"/>
  <c r="P71" i="1"/>
  <c r="F76" i="1"/>
  <c r="BG76" i="1"/>
  <c r="AB77" i="1"/>
  <c r="M79" i="1"/>
  <c r="C80" i="1"/>
  <c r="AB80" i="1"/>
  <c r="H85" i="1"/>
  <c r="J92" i="1"/>
  <c r="P103" i="1"/>
  <c r="D18" i="1"/>
  <c r="Q27" i="1"/>
  <c r="G38" i="1"/>
  <c r="AB38" i="1"/>
  <c r="D41" i="1"/>
  <c r="O50" i="1"/>
  <c r="D51" i="1"/>
  <c r="Z51" i="1"/>
  <c r="Q71" i="1"/>
  <c r="G76" i="1"/>
  <c r="W77" i="1"/>
  <c r="E80" i="1"/>
  <c r="AC80" i="1"/>
  <c r="O95" i="1"/>
  <c r="M99" i="1"/>
  <c r="Q103" i="1"/>
  <c r="M104" i="1"/>
  <c r="M106" i="1"/>
  <c r="E18" i="1"/>
  <c r="O23" i="1"/>
  <c r="O31" i="1"/>
  <c r="O34" i="1"/>
  <c r="H38" i="1"/>
  <c r="AC38" i="1"/>
  <c r="E41" i="1"/>
  <c r="P50" i="1"/>
  <c r="E51" i="1"/>
  <c r="AA51" i="1"/>
  <c r="O64" i="1"/>
  <c r="R71" i="1"/>
  <c r="H76" i="1"/>
  <c r="C77" i="1"/>
  <c r="O79" i="1"/>
  <c r="F80" i="1"/>
  <c r="BG80" i="1"/>
  <c r="P95" i="1"/>
  <c r="R100" i="1"/>
  <c r="R103" i="1"/>
  <c r="I18" i="1"/>
  <c r="I38" i="1"/>
  <c r="Q50" i="1"/>
  <c r="F51" i="1"/>
  <c r="I76" i="1"/>
  <c r="P79" i="1"/>
  <c r="O92" i="1"/>
  <c r="Q95" i="1"/>
  <c r="O99" i="1"/>
  <c r="U100" i="1"/>
  <c r="E81" i="1"/>
  <c r="U81" i="1"/>
  <c r="W81" i="1"/>
  <c r="AB81" i="1"/>
  <c r="G81" i="1"/>
  <c r="AA81" i="1"/>
  <c r="F81" i="1"/>
  <c r="P81" i="1"/>
  <c r="I81" i="1"/>
  <c r="H81" i="1"/>
  <c r="AC81" i="1"/>
  <c r="D81" i="1"/>
  <c r="C81" i="1"/>
  <c r="BG81" i="1"/>
  <c r="A81" i="1"/>
  <c r="Y81" i="1"/>
  <c r="Q81" i="1"/>
  <c r="T81" i="1"/>
  <c r="R81" i="1"/>
  <c r="M81" i="1"/>
  <c r="P10" i="1"/>
  <c r="AA19" i="1"/>
  <c r="R26" i="1"/>
  <c r="O40" i="1"/>
  <c r="G45" i="1"/>
  <c r="Z53" i="1"/>
  <c r="I74" i="1"/>
  <c r="A12" i="1"/>
  <c r="O15" i="1"/>
  <c r="O17" i="1"/>
  <c r="AB19" i="1"/>
  <c r="E24" i="1"/>
  <c r="P24" i="1"/>
  <c r="BG24" i="1"/>
  <c r="I24" i="1"/>
  <c r="AA24" i="1"/>
  <c r="F24" i="1"/>
  <c r="D24" i="1"/>
  <c r="AC24" i="1"/>
  <c r="H24" i="1"/>
  <c r="AB24" i="1"/>
  <c r="G24" i="1"/>
  <c r="Z24" i="1"/>
  <c r="W24" i="1"/>
  <c r="U24" i="1"/>
  <c r="A24" i="1"/>
  <c r="R24" i="1"/>
  <c r="T24" i="1"/>
  <c r="Y26" i="1"/>
  <c r="M43" i="1"/>
  <c r="BG43" i="1"/>
  <c r="J43" i="1"/>
  <c r="D43" i="1"/>
  <c r="Z43" i="1"/>
  <c r="C43" i="1"/>
  <c r="Y43" i="1"/>
  <c r="W43" i="1"/>
  <c r="A43" i="1"/>
  <c r="U43" i="1"/>
  <c r="T43" i="1"/>
  <c r="Q43" i="1"/>
  <c r="P43" i="1"/>
  <c r="O43" i="1"/>
  <c r="AC53" i="1"/>
  <c r="AA56" i="1"/>
  <c r="H56" i="1"/>
  <c r="Q56" i="1"/>
  <c r="R56" i="1"/>
  <c r="T56" i="1"/>
  <c r="J56" i="1"/>
  <c r="AC56" i="1"/>
  <c r="D56" i="1"/>
  <c r="Y56" i="1"/>
  <c r="AB56" i="1"/>
  <c r="C56" i="1"/>
  <c r="Z56" i="1"/>
  <c r="W56" i="1"/>
  <c r="A56" i="1"/>
  <c r="U56" i="1"/>
  <c r="P56" i="1"/>
  <c r="O56" i="1"/>
  <c r="M56" i="1"/>
  <c r="D67" i="1"/>
  <c r="J74" i="1"/>
  <c r="AC66" i="1"/>
  <c r="J66" i="1"/>
  <c r="R66" i="1"/>
  <c r="Q66" i="1"/>
  <c r="AB66" i="1"/>
  <c r="F66" i="1"/>
  <c r="I66" i="1"/>
  <c r="D66" i="1"/>
  <c r="H66" i="1"/>
  <c r="G66" i="1"/>
  <c r="BG66" i="1"/>
  <c r="E66" i="1"/>
  <c r="AA66" i="1"/>
  <c r="Y66" i="1"/>
  <c r="A66" i="1"/>
  <c r="U66" i="1"/>
  <c r="T66" i="1"/>
  <c r="M26" i="1"/>
  <c r="O66" i="1"/>
  <c r="AB10" i="1"/>
  <c r="I10" i="1"/>
  <c r="BG10" i="1"/>
  <c r="J10" i="1"/>
  <c r="AC10" i="1"/>
  <c r="H10" i="1"/>
  <c r="Z10" i="1"/>
  <c r="F10" i="1"/>
  <c r="Y10" i="1"/>
  <c r="E10" i="1"/>
  <c r="AA10" i="1"/>
  <c r="G10" i="1"/>
  <c r="C10" i="1"/>
  <c r="U10" i="1"/>
  <c r="W10" i="1"/>
  <c r="R10" i="1"/>
  <c r="T10" i="1"/>
  <c r="A10" i="1"/>
  <c r="M10" i="1"/>
  <c r="Z40" i="1"/>
  <c r="G40" i="1"/>
  <c r="R40" i="1"/>
  <c r="A40" i="1"/>
  <c r="BG40" i="1"/>
  <c r="I40" i="1"/>
  <c r="Y40" i="1"/>
  <c r="AC40" i="1"/>
  <c r="H40" i="1"/>
  <c r="AB40" i="1"/>
  <c r="F40" i="1"/>
  <c r="AA40" i="1"/>
  <c r="E40" i="1"/>
  <c r="D40" i="1"/>
  <c r="W40" i="1"/>
  <c r="U40" i="1"/>
  <c r="Q40" i="1"/>
  <c r="T40" i="1"/>
  <c r="R7" i="1"/>
  <c r="M15" i="1"/>
  <c r="Q26" i="1"/>
  <c r="AA89" i="1"/>
  <c r="H89" i="1"/>
  <c r="O89" i="1"/>
  <c r="AB89" i="1"/>
  <c r="G89" i="1"/>
  <c r="Z89" i="1"/>
  <c r="F89" i="1"/>
  <c r="BG89" i="1"/>
  <c r="D89" i="1"/>
  <c r="AC89" i="1"/>
  <c r="W89" i="1"/>
  <c r="U89" i="1"/>
  <c r="Y89" i="1"/>
  <c r="A89" i="1"/>
  <c r="R89" i="1"/>
  <c r="Q89" i="1"/>
  <c r="P89" i="1"/>
  <c r="M89" i="1"/>
  <c r="AB7" i="1"/>
  <c r="AC19" i="1"/>
  <c r="AB17" i="1"/>
  <c r="Y45" i="1"/>
  <c r="F45" i="1"/>
  <c r="AB45" i="1"/>
  <c r="H45" i="1"/>
  <c r="T45" i="1"/>
  <c r="A45" i="1"/>
  <c r="AC45" i="1"/>
  <c r="E45" i="1"/>
  <c r="AA45" i="1"/>
  <c r="D45" i="1"/>
  <c r="Z45" i="1"/>
  <c r="C45" i="1"/>
  <c r="W45" i="1"/>
  <c r="R45" i="1"/>
  <c r="Q45" i="1"/>
  <c r="P45" i="1"/>
  <c r="O45" i="1"/>
  <c r="Y49" i="1"/>
  <c r="F49" i="1"/>
  <c r="M49" i="1"/>
  <c r="O49" i="1"/>
  <c r="J49" i="1"/>
  <c r="AC49" i="1"/>
  <c r="E49" i="1"/>
  <c r="I49" i="1"/>
  <c r="H49" i="1"/>
  <c r="BG49" i="1"/>
  <c r="G49" i="1"/>
  <c r="AA49" i="1"/>
  <c r="C49" i="1"/>
  <c r="Z49" i="1"/>
  <c r="A49" i="1"/>
  <c r="U49" i="1"/>
  <c r="M74" i="1"/>
  <c r="AC17" i="1"/>
  <c r="M45" i="1"/>
  <c r="AC7" i="1"/>
  <c r="J7" i="1"/>
  <c r="E7" i="1"/>
  <c r="D7" i="1"/>
  <c r="U7" i="1"/>
  <c r="B7" i="1"/>
  <c r="W7" i="1" s="1"/>
  <c r="A7" i="1"/>
  <c r="C7" i="1"/>
  <c r="P7" i="1"/>
  <c r="M66" i="1"/>
  <c r="Q19" i="1"/>
  <c r="Y24" i="1"/>
  <c r="AC43" i="1"/>
  <c r="U45" i="1"/>
  <c r="Q47" i="1"/>
  <c r="D47" i="1"/>
  <c r="O47" i="1"/>
  <c r="AB47" i="1"/>
  <c r="F47" i="1"/>
  <c r="A47" i="1"/>
  <c r="AA47" i="1"/>
  <c r="E47" i="1"/>
  <c r="Z47" i="1"/>
  <c r="C47" i="1"/>
  <c r="Y47" i="1"/>
  <c r="W47" i="1"/>
  <c r="T47" i="1"/>
  <c r="R47" i="1"/>
  <c r="P47" i="1"/>
  <c r="Q49" i="1"/>
  <c r="O86" i="1"/>
  <c r="D86" i="1"/>
  <c r="AA86" i="1"/>
  <c r="F86" i="1"/>
  <c r="R86" i="1"/>
  <c r="Q86" i="1"/>
  <c r="M86" i="1"/>
  <c r="BG86" i="1"/>
  <c r="E86" i="1"/>
  <c r="U86" i="1"/>
  <c r="T86" i="1"/>
  <c r="P86" i="1"/>
  <c r="J86" i="1"/>
  <c r="I86" i="1"/>
  <c r="G86" i="1"/>
  <c r="C86" i="1"/>
  <c r="H86" i="1"/>
  <c r="P49" i="1"/>
  <c r="AA72" i="1"/>
  <c r="H72" i="1"/>
  <c r="AC72" i="1"/>
  <c r="I72" i="1"/>
  <c r="R72" i="1"/>
  <c r="Z72" i="1"/>
  <c r="D72" i="1"/>
  <c r="Q72" i="1"/>
  <c r="T72" i="1"/>
  <c r="P72" i="1"/>
  <c r="O72" i="1"/>
  <c r="M72" i="1"/>
  <c r="J72" i="1"/>
  <c r="G72" i="1"/>
  <c r="BG72" i="1"/>
  <c r="F72" i="1"/>
  <c r="E72" i="1"/>
  <c r="C72" i="1"/>
  <c r="F7" i="1"/>
  <c r="BG45" i="1"/>
  <c r="M47" i="1"/>
  <c r="R49" i="1"/>
  <c r="U55" i="1"/>
  <c r="C55" i="1"/>
  <c r="AC55" i="1"/>
  <c r="I55" i="1"/>
  <c r="AB55" i="1"/>
  <c r="G55" i="1"/>
  <c r="AA55" i="1"/>
  <c r="E55" i="1"/>
  <c r="R55" i="1"/>
  <c r="J55" i="1"/>
  <c r="BG55" i="1"/>
  <c r="H55" i="1"/>
  <c r="F55" i="1"/>
  <c r="D55" i="1"/>
  <c r="W55" i="1"/>
  <c r="Y55" i="1"/>
  <c r="Q55" i="1"/>
  <c r="T55" i="1"/>
  <c r="U72" i="1"/>
  <c r="AA88" i="1"/>
  <c r="H88" i="1"/>
  <c r="T88" i="1"/>
  <c r="A88" i="1"/>
  <c r="Z88" i="1"/>
  <c r="E88" i="1"/>
  <c r="Q88" i="1"/>
  <c r="P88" i="1"/>
  <c r="U88" i="1"/>
  <c r="J88" i="1"/>
  <c r="D88" i="1"/>
  <c r="AB88" i="1"/>
  <c r="C88" i="1"/>
  <c r="BG88" i="1"/>
  <c r="W88" i="1"/>
  <c r="AC88" i="1"/>
  <c r="R88" i="1"/>
  <c r="O88" i="1"/>
  <c r="G98" i="1"/>
  <c r="P26" i="1"/>
  <c r="AB26" i="1"/>
  <c r="I26" i="1"/>
  <c r="J26" i="1"/>
  <c r="F26" i="1"/>
  <c r="Z26" i="1"/>
  <c r="BG26" i="1"/>
  <c r="H26" i="1"/>
  <c r="AC26" i="1"/>
  <c r="G26" i="1"/>
  <c r="AA26" i="1"/>
  <c r="E26" i="1"/>
  <c r="C26" i="1"/>
  <c r="W26" i="1"/>
  <c r="T26" i="1"/>
  <c r="U26" i="1"/>
  <c r="A26" i="1"/>
  <c r="AB53" i="1"/>
  <c r="I53" i="1"/>
  <c r="M53" i="1"/>
  <c r="AA53" i="1"/>
  <c r="F53" i="1"/>
  <c r="A53" i="1"/>
  <c r="O53" i="1"/>
  <c r="T53" i="1"/>
  <c r="R53" i="1"/>
  <c r="Q53" i="1"/>
  <c r="P53" i="1"/>
  <c r="J53" i="1"/>
  <c r="H53" i="1"/>
  <c r="E53" i="1"/>
  <c r="BG53" i="1"/>
  <c r="G53" i="1"/>
  <c r="Y19" i="1"/>
  <c r="F19" i="1"/>
  <c r="D19" i="1"/>
  <c r="T19" i="1"/>
  <c r="A19" i="1"/>
  <c r="C19" i="1"/>
  <c r="U19" i="1"/>
  <c r="R19" i="1"/>
  <c r="P19" i="1"/>
  <c r="O19" i="1"/>
  <c r="M19" i="1"/>
  <c r="Q7" i="1"/>
  <c r="T15" i="1"/>
  <c r="BG15" i="1"/>
  <c r="J15" i="1"/>
  <c r="AA15" i="1"/>
  <c r="F15" i="1"/>
  <c r="AC15" i="1"/>
  <c r="I15" i="1"/>
  <c r="AB15" i="1"/>
  <c r="H15" i="1"/>
  <c r="G15" i="1"/>
  <c r="Z15" i="1"/>
  <c r="D15" i="1"/>
  <c r="C15" i="1"/>
  <c r="R15" i="1"/>
  <c r="U15" i="1"/>
  <c r="A15" i="1"/>
  <c r="M40" i="1"/>
  <c r="O10" i="1"/>
  <c r="Y53" i="1"/>
  <c r="Z81" i="1"/>
  <c r="U12" i="1"/>
  <c r="C12" i="1"/>
  <c r="AA12" i="1"/>
  <c r="G12" i="1"/>
  <c r="Z12" i="1"/>
  <c r="F12" i="1"/>
  <c r="W12" i="1"/>
  <c r="Y12" i="1"/>
  <c r="E12" i="1"/>
  <c r="D12" i="1"/>
  <c r="R12" i="1"/>
  <c r="Q12" i="1"/>
  <c r="O12" i="1"/>
  <c r="P12" i="1"/>
  <c r="G7" i="1"/>
  <c r="T12" i="1"/>
  <c r="G19" i="1"/>
  <c r="T49" i="1"/>
  <c r="W53" i="1"/>
  <c r="M55" i="1"/>
  <c r="Y86" i="1"/>
  <c r="M88" i="1"/>
  <c r="H98" i="1"/>
  <c r="U53" i="1"/>
  <c r="O81" i="1"/>
  <c r="M17" i="1"/>
  <c r="AA17" i="1"/>
  <c r="G17" i="1"/>
  <c r="D17" i="1"/>
  <c r="C17" i="1"/>
  <c r="Z17" i="1"/>
  <c r="F17" i="1"/>
  <c r="Y17" i="1"/>
  <c r="E17" i="1"/>
  <c r="T17" i="1"/>
  <c r="A17" i="1"/>
  <c r="R17" i="1"/>
  <c r="P17" i="1"/>
  <c r="Q17" i="1"/>
  <c r="Z19" i="1"/>
  <c r="P66" i="1"/>
  <c r="P15" i="1"/>
  <c r="U17" i="1"/>
  <c r="T74" i="1"/>
  <c r="W74" i="1"/>
  <c r="Y74" i="1"/>
  <c r="E74" i="1"/>
  <c r="Q74" i="1"/>
  <c r="BG74" i="1"/>
  <c r="H74" i="1"/>
  <c r="G74" i="1"/>
  <c r="A74" i="1"/>
  <c r="F74" i="1"/>
  <c r="AC74" i="1"/>
  <c r="D74" i="1"/>
  <c r="AB74" i="1"/>
  <c r="C74" i="1"/>
  <c r="AA74" i="1"/>
  <c r="U74" i="1"/>
  <c r="R74" i="1"/>
  <c r="P74" i="1"/>
  <c r="O74" i="1"/>
  <c r="Q15" i="1"/>
  <c r="BG19" i="1"/>
  <c r="P67" i="1"/>
  <c r="AA67" i="1"/>
  <c r="G67" i="1"/>
  <c r="AC67" i="1"/>
  <c r="H67" i="1"/>
  <c r="AB67" i="1"/>
  <c r="E67" i="1"/>
  <c r="T67" i="1"/>
  <c r="BG67" i="1"/>
  <c r="C67" i="1"/>
  <c r="Z67" i="1"/>
  <c r="Y67" i="1"/>
  <c r="A67" i="1"/>
  <c r="R67" i="1"/>
  <c r="Q67" i="1"/>
  <c r="M67" i="1"/>
  <c r="O67" i="1"/>
  <c r="H7" i="1"/>
  <c r="O11" i="1"/>
  <c r="R11" i="1"/>
  <c r="Q11" i="1"/>
  <c r="M11" i="1"/>
  <c r="P11" i="1"/>
  <c r="BG11" i="1"/>
  <c r="J11" i="1"/>
  <c r="AC11" i="1"/>
  <c r="I11" i="1"/>
  <c r="AA11" i="1"/>
  <c r="AB11" i="1"/>
  <c r="H11" i="1"/>
  <c r="G11" i="1"/>
  <c r="AB12" i="1"/>
  <c r="H19" i="1"/>
  <c r="U47" i="1"/>
  <c r="AB49" i="1"/>
  <c r="C53" i="1"/>
  <c r="Z86" i="1"/>
  <c r="I7" i="1"/>
  <c r="AC12" i="1"/>
  <c r="I19" i="1"/>
  <c r="D26" i="1"/>
  <c r="AC47" i="1"/>
  <c r="D53" i="1"/>
  <c r="Z59" i="1"/>
  <c r="G59" i="1"/>
  <c r="U59" i="1"/>
  <c r="W59" i="1"/>
  <c r="AC59" i="1"/>
  <c r="H59" i="1"/>
  <c r="AB59" i="1"/>
  <c r="E59" i="1"/>
  <c r="J59" i="1"/>
  <c r="AA59" i="1"/>
  <c r="I59" i="1"/>
  <c r="F59" i="1"/>
  <c r="BG59" i="1"/>
  <c r="D59" i="1"/>
  <c r="C59" i="1"/>
  <c r="Q59" i="1"/>
  <c r="T59" i="1"/>
  <c r="R59" i="1"/>
  <c r="C66" i="1"/>
  <c r="Y72" i="1"/>
  <c r="J81" i="1"/>
  <c r="AB86" i="1"/>
  <c r="AC98" i="1"/>
  <c r="J98" i="1"/>
  <c r="D98" i="1"/>
  <c r="U98" i="1"/>
  <c r="W98" i="1"/>
  <c r="AB98" i="1"/>
  <c r="F98" i="1"/>
  <c r="AA98" i="1"/>
  <c r="E98" i="1"/>
  <c r="A98" i="1"/>
  <c r="T98" i="1"/>
  <c r="BG98" i="1"/>
  <c r="Z98" i="1"/>
  <c r="Y98" i="1"/>
  <c r="Q98" i="1"/>
  <c r="P98" i="1"/>
  <c r="M98" i="1"/>
  <c r="O98" i="1"/>
  <c r="M60" i="1"/>
  <c r="AC60" i="1"/>
  <c r="I60" i="1"/>
  <c r="R60" i="1"/>
  <c r="AA60" i="1"/>
  <c r="E60" i="1"/>
  <c r="T60" i="1"/>
  <c r="P83" i="1"/>
  <c r="R83" i="1"/>
  <c r="AB83" i="1"/>
  <c r="G83" i="1"/>
  <c r="AA83" i="1"/>
  <c r="F83" i="1"/>
  <c r="BG83" i="1"/>
  <c r="E83" i="1"/>
  <c r="U83" i="1"/>
  <c r="Y52" i="1"/>
  <c r="E52" i="1"/>
  <c r="P52" i="1"/>
  <c r="I52" i="1"/>
  <c r="C62" i="1"/>
  <c r="AC62" i="1"/>
  <c r="Z75" i="1"/>
  <c r="G75" i="1"/>
  <c r="M75" i="1"/>
  <c r="AC75" i="1"/>
  <c r="H75" i="1"/>
  <c r="U75" i="1"/>
  <c r="M83" i="1"/>
  <c r="Z91" i="1"/>
  <c r="G91" i="1"/>
  <c r="AA91" i="1"/>
  <c r="F91" i="1"/>
  <c r="D91" i="1"/>
  <c r="P91" i="1"/>
  <c r="I91" i="1"/>
  <c r="BG91" i="1"/>
  <c r="H91" i="1"/>
  <c r="W91" i="1"/>
  <c r="T91" i="1"/>
  <c r="E13" i="1"/>
  <c r="Y13" i="1"/>
  <c r="M14" i="1"/>
  <c r="F18" i="1"/>
  <c r="Z18" i="1"/>
  <c r="O29" i="1"/>
  <c r="AA29" i="1"/>
  <c r="H29" i="1"/>
  <c r="AA31" i="1"/>
  <c r="H31" i="1"/>
  <c r="T31" i="1"/>
  <c r="W31" i="1"/>
  <c r="M35" i="1"/>
  <c r="Y35" i="1"/>
  <c r="F35" i="1"/>
  <c r="M52" i="1"/>
  <c r="Y57" i="1"/>
  <c r="F57" i="1"/>
  <c r="AB57" i="1"/>
  <c r="H57" i="1"/>
  <c r="J57" i="1"/>
  <c r="W57" i="1"/>
  <c r="O60" i="1"/>
  <c r="D62" i="1"/>
  <c r="BG62" i="1"/>
  <c r="C65" i="1"/>
  <c r="AC65" i="1"/>
  <c r="U71" i="1"/>
  <c r="C71" i="1"/>
  <c r="T71" i="1"/>
  <c r="A71" i="1"/>
  <c r="AC71" i="1"/>
  <c r="H71" i="1"/>
  <c r="M71" i="1"/>
  <c r="AA71" i="1"/>
  <c r="E71" i="1"/>
  <c r="D84" i="1"/>
  <c r="AA84" i="1"/>
  <c r="G84" i="1"/>
  <c r="Z84" i="1"/>
  <c r="E84" i="1"/>
  <c r="Q84" i="1"/>
  <c r="P84" i="1"/>
  <c r="Y84" i="1"/>
  <c r="T90" i="1"/>
  <c r="W90" i="1"/>
  <c r="O90" i="1"/>
  <c r="Z90" i="1"/>
  <c r="E90" i="1"/>
  <c r="Q90" i="1"/>
  <c r="P90" i="1"/>
  <c r="H90" i="1"/>
  <c r="Y90" i="1"/>
  <c r="M91" i="1"/>
  <c r="W100" i="1"/>
  <c r="W101" i="1"/>
  <c r="BG14" i="1"/>
  <c r="E8" i="1"/>
  <c r="Y8" i="1"/>
  <c r="M9" i="1"/>
  <c r="F13" i="1"/>
  <c r="Z13" i="1"/>
  <c r="G18" i="1"/>
  <c r="AA18" i="1"/>
  <c r="AC25" i="1"/>
  <c r="J25" i="1"/>
  <c r="D25" i="1"/>
  <c r="D27" i="1"/>
  <c r="O27" i="1"/>
  <c r="M29" i="1"/>
  <c r="M31" i="1"/>
  <c r="T33" i="1"/>
  <c r="M33" i="1"/>
  <c r="T41" i="1"/>
  <c r="W41" i="1"/>
  <c r="AA41" i="1"/>
  <c r="G41" i="1"/>
  <c r="M57" i="1"/>
  <c r="P60" i="1"/>
  <c r="R61" i="1"/>
  <c r="A61" i="1"/>
  <c r="Q61" i="1"/>
  <c r="AC61" i="1"/>
  <c r="H61" i="1"/>
  <c r="T61" i="1"/>
  <c r="J61" i="1"/>
  <c r="E62" i="1"/>
  <c r="D65" i="1"/>
  <c r="D68" i="1"/>
  <c r="O68" i="1"/>
  <c r="R68" i="1"/>
  <c r="T68" i="1"/>
  <c r="J68" i="1"/>
  <c r="O75" i="1"/>
  <c r="O83" i="1"/>
  <c r="M84" i="1"/>
  <c r="AB85" i="1"/>
  <c r="I85" i="1"/>
  <c r="O85" i="1"/>
  <c r="P85" i="1"/>
  <c r="AC85" i="1"/>
  <c r="G85" i="1"/>
  <c r="AA85" i="1"/>
  <c r="F85" i="1"/>
  <c r="T85" i="1"/>
  <c r="J85" i="1"/>
  <c r="M90" i="1"/>
  <c r="C100" i="1"/>
  <c r="C101" i="1"/>
  <c r="G13" i="1"/>
  <c r="AB13" i="1"/>
  <c r="O14" i="1"/>
  <c r="Z16" i="1"/>
  <c r="G16" i="1"/>
  <c r="H18" i="1"/>
  <c r="Y21" i="1"/>
  <c r="Q21" i="1"/>
  <c r="Q23" i="1"/>
  <c r="AC23" i="1"/>
  <c r="J23" i="1"/>
  <c r="M25" i="1"/>
  <c r="M27" i="1"/>
  <c r="O35" i="1"/>
  <c r="Y37" i="1"/>
  <c r="F37" i="1"/>
  <c r="Q37" i="1"/>
  <c r="M41" i="1"/>
  <c r="O52" i="1"/>
  <c r="Q60" i="1"/>
  <c r="M61" i="1"/>
  <c r="Q64" i="1"/>
  <c r="C64" i="1"/>
  <c r="P64" i="1"/>
  <c r="I64" i="1"/>
  <c r="Y64" i="1"/>
  <c r="W64" i="1"/>
  <c r="M68" i="1"/>
  <c r="O71" i="1"/>
  <c r="P75" i="1"/>
  <c r="Q83" i="1"/>
  <c r="M85" i="1"/>
  <c r="O91" i="1"/>
  <c r="U105" i="1"/>
  <c r="C105" i="1"/>
  <c r="R105" i="1"/>
  <c r="A105" i="1"/>
  <c r="AB105" i="1"/>
  <c r="G105" i="1"/>
  <c r="AA105" i="1"/>
  <c r="F105" i="1"/>
  <c r="BG105" i="1"/>
  <c r="E105" i="1"/>
  <c r="Z105" i="1"/>
  <c r="W105" i="1"/>
  <c r="T105" i="1"/>
  <c r="T106" i="1"/>
  <c r="W106" i="1"/>
  <c r="AC106" i="1"/>
  <c r="I106" i="1"/>
  <c r="AA106" i="1"/>
  <c r="G106" i="1"/>
  <c r="AB106" i="1"/>
  <c r="E106" i="1"/>
  <c r="R106" i="1"/>
  <c r="Q106" i="1"/>
  <c r="Z106" i="1"/>
  <c r="O106" i="1"/>
  <c r="Y62" i="1"/>
  <c r="F62" i="1"/>
  <c r="AA62" i="1"/>
  <c r="G62" i="1"/>
  <c r="R62" i="1"/>
  <c r="J62" i="1"/>
  <c r="W62" i="1"/>
  <c r="AB101" i="1"/>
  <c r="I101" i="1"/>
  <c r="AC101" i="1"/>
  <c r="H101" i="1"/>
  <c r="Z101" i="1"/>
  <c r="F101" i="1"/>
  <c r="J101" i="1"/>
  <c r="A101" i="1"/>
  <c r="U101" i="1"/>
  <c r="D101" i="1"/>
  <c r="T101" i="1"/>
  <c r="R18" i="1"/>
  <c r="A18" i="1"/>
  <c r="T52" i="1"/>
  <c r="M62" i="1"/>
  <c r="E65" i="1"/>
  <c r="BG65" i="1"/>
  <c r="J65" i="1"/>
  <c r="AB65" i="1"/>
  <c r="G65" i="1"/>
  <c r="A65" i="1"/>
  <c r="O65" i="1"/>
  <c r="T75" i="1"/>
  <c r="U91" i="1"/>
  <c r="D100" i="1"/>
  <c r="T100" i="1"/>
  <c r="A100" i="1"/>
  <c r="Q100" i="1"/>
  <c r="P100" i="1"/>
  <c r="I100" i="1"/>
  <c r="BG100" i="1"/>
  <c r="H100" i="1"/>
  <c r="G100" i="1"/>
  <c r="Z100" i="1"/>
  <c r="M101" i="1"/>
  <c r="J8" i="1"/>
  <c r="BG8" i="1"/>
  <c r="R9" i="1"/>
  <c r="T14" i="1"/>
  <c r="P16" i="1"/>
  <c r="M18" i="1"/>
  <c r="P21" i="1"/>
  <c r="P23" i="1"/>
  <c r="Q25" i="1"/>
  <c r="R27" i="1"/>
  <c r="T29" i="1"/>
  <c r="R31" i="1"/>
  <c r="R33" i="1"/>
  <c r="T35" i="1"/>
  <c r="P37" i="1"/>
  <c r="Q41" i="1"/>
  <c r="U52" i="1"/>
  <c r="R57" i="1"/>
  <c r="T58" i="1"/>
  <c r="W58" i="1"/>
  <c r="M58" i="1"/>
  <c r="Q58" i="1"/>
  <c r="A58" i="1"/>
  <c r="A60" i="1"/>
  <c r="Y60" i="1"/>
  <c r="U61" i="1"/>
  <c r="R64" i="1"/>
  <c r="M65" i="1"/>
  <c r="U68" i="1"/>
  <c r="Y83" i="1"/>
  <c r="U84" i="1"/>
  <c r="U85" i="1"/>
  <c r="M100" i="1"/>
  <c r="P105" i="1"/>
  <c r="U106" i="1"/>
  <c r="C14" i="1"/>
  <c r="U14" i="1"/>
  <c r="Q16" i="1"/>
  <c r="R21" i="1"/>
  <c r="R23" i="1"/>
  <c r="R25" i="1"/>
  <c r="T27" i="1"/>
  <c r="A29" i="1"/>
  <c r="U29" i="1"/>
  <c r="U31" i="1"/>
  <c r="U33" i="1"/>
  <c r="A35" i="1"/>
  <c r="U35" i="1"/>
  <c r="R37" i="1"/>
  <c r="R41" i="1"/>
  <c r="Z52" i="1"/>
  <c r="O54" i="1"/>
  <c r="U54" i="1"/>
  <c r="Q54" i="1"/>
  <c r="M54" i="1"/>
  <c r="AB54" i="1"/>
  <c r="F54" i="1"/>
  <c r="T57" i="1"/>
  <c r="Z60" i="1"/>
  <c r="O62" i="1"/>
  <c r="T64" i="1"/>
  <c r="P73" i="1"/>
  <c r="AB73" i="1"/>
  <c r="H73" i="1"/>
  <c r="Q73" i="1"/>
  <c r="BG73" i="1"/>
  <c r="I73" i="1"/>
  <c r="A75" i="1"/>
  <c r="R77" i="1"/>
  <c r="A77" i="1"/>
  <c r="AC77" i="1"/>
  <c r="I77" i="1"/>
  <c r="P77" i="1"/>
  <c r="BG77" i="1"/>
  <c r="H77" i="1"/>
  <c r="AA77" i="1"/>
  <c r="D77" i="1"/>
  <c r="T77" i="1"/>
  <c r="A83" i="1"/>
  <c r="Z83" i="1"/>
  <c r="AA90" i="1"/>
  <c r="Y91" i="1"/>
  <c r="O101" i="1"/>
  <c r="Q105" i="1"/>
  <c r="AA13" i="1"/>
  <c r="H13" i="1"/>
  <c r="A14" i="1"/>
  <c r="R14" i="1"/>
  <c r="A9" i="1"/>
  <c r="T9" i="1"/>
  <c r="M8" i="1"/>
  <c r="W9" i="1"/>
  <c r="U9" i="1"/>
  <c r="O13" i="1"/>
  <c r="R16" i="1"/>
  <c r="O18" i="1"/>
  <c r="A21" i="1"/>
  <c r="T21" i="1"/>
  <c r="T23" i="1"/>
  <c r="T25" i="1"/>
  <c r="A27" i="1"/>
  <c r="U27" i="1"/>
  <c r="AB28" i="1"/>
  <c r="I28" i="1"/>
  <c r="U28" i="1"/>
  <c r="C28" i="1"/>
  <c r="U30" i="1"/>
  <c r="C30" i="1"/>
  <c r="A31" i="1"/>
  <c r="Z32" i="1"/>
  <c r="G32" i="1"/>
  <c r="A33" i="1"/>
  <c r="Z34" i="1"/>
  <c r="G34" i="1"/>
  <c r="R34" i="1"/>
  <c r="A34" i="1"/>
  <c r="T37" i="1"/>
  <c r="U41" i="1"/>
  <c r="Z42" i="1"/>
  <c r="G42" i="1"/>
  <c r="C42" i="1"/>
  <c r="O42" i="1"/>
  <c r="A52" i="1"/>
  <c r="AA52" i="1"/>
  <c r="U57" i="1"/>
  <c r="O58" i="1"/>
  <c r="C60" i="1"/>
  <c r="AB60" i="1"/>
  <c r="P62" i="1"/>
  <c r="U64" i="1"/>
  <c r="P65" i="1"/>
  <c r="Y68" i="1"/>
  <c r="Y71" i="1"/>
  <c r="M73" i="1"/>
  <c r="W75" i="1"/>
  <c r="Y75" i="1"/>
  <c r="M77" i="1"/>
  <c r="AC83" i="1"/>
  <c r="AB84" i="1"/>
  <c r="AB90" i="1"/>
  <c r="AB91" i="1"/>
  <c r="R93" i="1"/>
  <c r="A93" i="1"/>
  <c r="D93" i="1"/>
  <c r="U93" i="1"/>
  <c r="W93" i="1"/>
  <c r="Q93" i="1"/>
  <c r="J93" i="1"/>
  <c r="I93" i="1"/>
  <c r="M93" i="1"/>
  <c r="AC93" i="1"/>
  <c r="C93" i="1"/>
  <c r="Q96" i="1"/>
  <c r="AA96" i="1"/>
  <c r="G96" i="1"/>
  <c r="Y96" i="1"/>
  <c r="E96" i="1"/>
  <c r="I96" i="1"/>
  <c r="A96" i="1"/>
  <c r="U96" i="1"/>
  <c r="H96" i="1"/>
  <c r="Z96" i="1"/>
  <c r="O100" i="1"/>
  <c r="P101" i="1"/>
  <c r="Y106" i="1"/>
  <c r="E22" i="1"/>
  <c r="E38" i="1"/>
  <c r="AA39" i="1"/>
  <c r="H39" i="1"/>
  <c r="R44" i="1"/>
  <c r="A44" i="1"/>
  <c r="D48" i="1"/>
  <c r="Q51" i="1"/>
  <c r="AB51" i="1"/>
  <c r="H51" i="1"/>
  <c r="W69" i="1"/>
  <c r="E76" i="1"/>
  <c r="Y78" i="1"/>
  <c r="F78" i="1"/>
  <c r="Q78" i="1"/>
  <c r="AB78" i="1"/>
  <c r="G78" i="1"/>
  <c r="T78" i="1"/>
  <c r="Q80" i="1"/>
  <c r="M80" i="1"/>
  <c r="Y80" i="1"/>
  <c r="D80" i="1"/>
  <c r="P80" i="1"/>
  <c r="O80" i="1"/>
  <c r="U103" i="1"/>
  <c r="C103" i="1"/>
  <c r="Z103" i="1"/>
  <c r="F103" i="1"/>
  <c r="D103" i="1"/>
  <c r="M103" i="1"/>
  <c r="AB103" i="1"/>
  <c r="E103" i="1"/>
  <c r="AA103" i="1"/>
  <c r="W103" i="1"/>
  <c r="R48" i="1"/>
  <c r="Y48" i="1"/>
  <c r="E48" i="1"/>
  <c r="AB69" i="1"/>
  <c r="I69" i="1"/>
  <c r="D69" i="1"/>
  <c r="BG69" i="1"/>
  <c r="H69" i="1"/>
  <c r="M76" i="1"/>
  <c r="U76" i="1"/>
  <c r="W76" i="1"/>
  <c r="R76" i="1"/>
  <c r="AC82" i="1"/>
  <c r="J82" i="1"/>
  <c r="BG82" i="1"/>
  <c r="I82" i="1"/>
  <c r="Y82" i="1"/>
  <c r="D82" i="1"/>
  <c r="Q82" i="1"/>
  <c r="P82" i="1"/>
  <c r="E97" i="1"/>
  <c r="O97" i="1"/>
  <c r="M97" i="1"/>
  <c r="O102" i="1"/>
  <c r="Q102" i="1"/>
  <c r="M102" i="1"/>
  <c r="A97" i="1"/>
  <c r="W102" i="1"/>
  <c r="U87" i="1"/>
  <c r="C87" i="1"/>
  <c r="I94" i="1"/>
  <c r="I99" i="1"/>
  <c r="AC99" i="1"/>
  <c r="AA104" i="1"/>
  <c r="H104" i="1"/>
  <c r="Y94" i="1"/>
  <c r="F94" i="1"/>
</calcChain>
</file>

<file path=xl/sharedStrings.xml><?xml version="1.0" encoding="utf-8"?>
<sst xmlns="http://schemas.openxmlformats.org/spreadsheetml/2006/main" count="5829" uniqueCount="3033">
  <si>
    <t>엑셀 업로드 양식(전자세금계산서-일반(영세율)) - 100건 이하</t>
  </si>
  <si>
    <t>○ 필수항목(주황색)은 반드시 입력하셔야 합니다.
     &gt; 아래 '항목설명' 및 '올바른 예시' 시트를 참고하여 작성하시기 바랍니다.</t>
  </si>
  <si>
    <t>○ 임의로 양식을 변경[행 또는 열 추가 삭제 등]하는 경우 발급시 오류가 발생할 수 있으므로, 정해진 양식으로 작성하시기 바랍니다
     &gt; 실제 업로드할 DATA는 7행부터 입력하여야 하며, 최대 100건까지 입력이 가능합니다.(100건 초과 자료는 처리 안되며, 발급은 최대 50건씩 처리가능합니다)</t>
  </si>
  <si>
    <t xml:space="preserve">     &gt; 거래한 재화 또는 용역에 맞는 전자(세금)계산서 종류코드(01, 02)를 정확히 입력하셔야 합니다.
     &gt; 품목은 1건 이상 입력해야 합니다.
     &gt; 공급받는자 등록번호는 사업자등록번호, 주민등록번호를 입력할 수 있습니다. 
        외국인의 경우 공급받는자 등록번호(C열)에 '9999999999999'를 입력하시고, 비고란(N열)에  외국인등록번호 또는 여권번호를 입력하시기 바랍니다.
     &gt; 마지막 열(오른쪽 끝)의 '영수(01), 청구(02)'는 필수 항목이니 누락하지 마시기 바랍니다.(영수 : 대가를 받은 경우, 청구 : 대가를 아직 못 받은 경우)</t>
  </si>
  <si>
    <t>○ 처음 사용자께서는 '올바른 예시' 시트에 있는 내용을 복사ᆞ붙여넣기 하신 후 내용을 수정하시면 오류 없이 쉽게 발급하실 수 있습니다.
     &gt; 오류발생시 '잘못된 예시' 시트에 있는 내용들을 참고하시면 대표적인 오류 원인을 확인할 수 있습니다. 
○ 발급가능한 파일 확장자는 XLS, XLSX 입니다.
○ 일괄발급에 도움을 받고자 하시면 국세상담센터(국번없이 126번→ 1번 → 2번)로 문의주시기 바랍니다.</t>
  </si>
  <si>
    <t>전자(세금)계산서 종류
(01:일반, 02:영세율)</t>
  </si>
  <si>
    <t>작성일자</t>
  </si>
  <si>
    <t>공급자 등록번호
("-" 없이 입력)</t>
  </si>
  <si>
    <t>공급자
 종사업장번호</t>
  </si>
  <si>
    <t>공급자 상호</t>
  </si>
  <si>
    <t>공급자 성명</t>
  </si>
  <si>
    <t>공급자 사업장주소</t>
  </si>
  <si>
    <t>공급자 업태</t>
  </si>
  <si>
    <t>공급자 종목</t>
  </si>
  <si>
    <t>공급자 이메일</t>
  </si>
  <si>
    <t>공급받는자 등록번호
("-" 없이 입력)</t>
  </si>
  <si>
    <t>공급받는자 
종사업장번호</t>
  </si>
  <si>
    <t xml:space="preserve">공급받는자 상호 </t>
  </si>
  <si>
    <t>공급받는자 성명</t>
  </si>
  <si>
    <t>공급받는자 사업장주소</t>
  </si>
  <si>
    <t>공급받는자 업태</t>
  </si>
  <si>
    <t>공급받는자 종목</t>
  </si>
  <si>
    <t>공급받는자 이메일1</t>
  </si>
  <si>
    <t>공급받는자 이메일2</t>
  </si>
  <si>
    <t>공급가액
합계</t>
  </si>
  <si>
    <t>세액
합계</t>
  </si>
  <si>
    <t>비고</t>
  </si>
  <si>
    <t>일자1
(2자리, 작성년월 제외)</t>
  </si>
  <si>
    <t>품목1</t>
  </si>
  <si>
    <t>규격1</t>
  </si>
  <si>
    <t>수량1</t>
  </si>
  <si>
    <t>단가1</t>
  </si>
  <si>
    <t>공급가액1</t>
  </si>
  <si>
    <t>세액1</t>
  </si>
  <si>
    <t>품목비고1</t>
  </si>
  <si>
    <t>일자2
(2자리, 작성년월 제외)</t>
  </si>
  <si>
    <t>품목2</t>
  </si>
  <si>
    <t>규격2</t>
  </si>
  <si>
    <t>수량2</t>
  </si>
  <si>
    <t>단가2</t>
  </si>
  <si>
    <t>공급가액2</t>
  </si>
  <si>
    <t>세액2</t>
  </si>
  <si>
    <t>품목비고2</t>
  </si>
  <si>
    <t>일자3
(2자리, 작성년월 제외)</t>
  </si>
  <si>
    <t>품목3</t>
  </si>
  <si>
    <t>규격3</t>
  </si>
  <si>
    <t>수량3</t>
  </si>
  <si>
    <t>단가3</t>
  </si>
  <si>
    <t>공급가액3</t>
  </si>
  <si>
    <t>세액3</t>
  </si>
  <si>
    <t>품목비고3</t>
  </si>
  <si>
    <t>일자4
(2자리, 작성년월 제외)</t>
  </si>
  <si>
    <t>품목4</t>
  </si>
  <si>
    <t>규격4</t>
  </si>
  <si>
    <t>수량4</t>
  </si>
  <si>
    <t>단가4</t>
  </si>
  <si>
    <t>공급가액4</t>
  </si>
  <si>
    <t>세액4</t>
  </si>
  <si>
    <t>품목비고4</t>
  </si>
  <si>
    <t>현금</t>
  </si>
  <si>
    <t>수표</t>
  </si>
  <si>
    <t>어음</t>
  </si>
  <si>
    <t>외상미수금</t>
  </si>
  <si>
    <t>영수(01),
청구(02)</t>
  </si>
  <si>
    <t xml:space="preserve">거래처명 </t>
  </si>
  <si>
    <t>대표자(성명)</t>
  </si>
  <si>
    <t>사업장주소</t>
  </si>
  <si>
    <t>업태</t>
  </si>
  <si>
    <t>종목</t>
  </si>
  <si>
    <t>이메일1</t>
  </si>
  <si>
    <t>이메일2(선택)</t>
  </si>
  <si>
    <t>담당자(선택)</t>
  </si>
  <si>
    <t>휴대폰(선택)</t>
  </si>
  <si>
    <t>전화(선택)</t>
  </si>
  <si>
    <t>메모(선택)</t>
  </si>
  <si>
    <t>사용여부(Y/N) *</t>
  </si>
  <si>
    <t>등록일(선택)</t>
  </si>
  <si>
    <t>검증_등록번호</t>
  </si>
  <si>
    <t>검증_중복</t>
  </si>
  <si>
    <t>검증_이메일</t>
  </si>
  <si>
    <t>(주)아토종합건설</t>
  </si>
  <si>
    <t>최성복</t>
  </si>
  <si>
    <t>전북 전주시 덕진구 만성중앙로 54-47, 601호(만성동, 스타타워)</t>
  </si>
  <si>
    <t>건설업</t>
  </si>
  <si>
    <t>건축공사업</t>
  </si>
  <si>
    <t>ato456@naver.com</t>
  </si>
  <si>
    <t>y</t>
  </si>
  <si>
    <t>(주)아주산업개발</t>
  </si>
  <si>
    <t>허경무</t>
  </si>
  <si>
    <t>전라북도 익산시 황등면 탑천로 165-5</t>
  </si>
  <si>
    <t>금속구조물,창호,온실공사업</t>
  </si>
  <si>
    <t>iksan-aju@naver.com</t>
  </si>
  <si>
    <t>(주)신트리온</t>
  </si>
  <si>
    <t>신석문</t>
  </si>
  <si>
    <t>전북 군산시 서수면 남산로 280</t>
  </si>
  <si>
    <t>제조/건설</t>
  </si>
  <si>
    <t>경미한공사</t>
  </si>
  <si>
    <t>tr030607@hometax.go.kr</t>
  </si>
  <si>
    <t>(주)신영건설산업</t>
  </si>
  <si>
    <t>신현자</t>
  </si>
  <si>
    <t>전라북도 익산시 동천로 13길 51</t>
  </si>
  <si>
    <t>도장공사업,안전용품</t>
  </si>
  <si>
    <t>csd0164@hanmail.net</t>
  </si>
  <si>
    <t>(주)신성건설</t>
  </si>
  <si>
    <t>이용호</t>
  </si>
  <si>
    <t>전북 전주시 덕진구 전주천동로 473, 4층(금암동, 르네블루빌딩)</t>
  </si>
  <si>
    <t>토목건축공사,산림토목</t>
  </si>
  <si>
    <t>nowandone@naver.com</t>
  </si>
  <si>
    <t>(주)신개산업</t>
  </si>
  <si>
    <t>이환배</t>
  </si>
  <si>
    <t>대전광역시 서구 월평새뜸로 8번길 12</t>
  </si>
  <si>
    <t>건설</t>
  </si>
  <si>
    <t>창호공사/도장</t>
  </si>
  <si>
    <t>sin4308@daum.net</t>
  </si>
  <si>
    <t>(주)수현우드</t>
  </si>
  <si>
    <t>김태호</t>
  </si>
  <si>
    <t>전라북도 익산시 선화로 281(마동)</t>
  </si>
  <si>
    <t>제조업</t>
  </si>
  <si>
    <t>건축자재임가공</t>
  </si>
  <si>
    <t>lyh7062@hanmail.net</t>
  </si>
  <si>
    <t>(주)수림건설</t>
  </si>
  <si>
    <t>이승귀</t>
  </si>
  <si>
    <t>서울특별시 마포구 백범로 99,5층(대흥동)</t>
  </si>
  <si>
    <t>상하수도설비,전기공사</t>
  </si>
  <si>
    <t>soolim513@nate.com</t>
  </si>
  <si>
    <t>(주)소호하임</t>
  </si>
  <si>
    <t>양병환</t>
  </si>
  <si>
    <t>전북 순창군 순창읍 옥천로 45,2층</t>
  </si>
  <si>
    <t>토목공사업</t>
  </si>
  <si>
    <t>sohoheim@naver.com</t>
  </si>
  <si>
    <t>(주)소라디자인</t>
  </si>
  <si>
    <t>이준성</t>
  </si>
  <si>
    <t>전북특별자치도 익산시 중앙로 7길 47,1층</t>
  </si>
  <si>
    <t>실내건축공사</t>
  </si>
  <si>
    <t>lejs0123@naver.com</t>
  </si>
  <si>
    <t>(유)금성기업</t>
  </si>
  <si>
    <t>이석찬</t>
  </si>
  <si>
    <t>전북 전주시 완산구 춘향로 5309(대성동)</t>
  </si>
  <si>
    <t>철물공사</t>
  </si>
  <si>
    <t>lsch1810@hanmail.net</t>
  </si>
  <si>
    <t>(주)세원에프앤피</t>
  </si>
  <si>
    <t>박윤경</t>
  </si>
  <si>
    <t>서울특별시 금천구 시흥대로 97, 3동 222호(시흥동, 시흥유통상가)</t>
  </si>
  <si>
    <t>인테리어시공</t>
  </si>
  <si>
    <t>yk2783@hanmail.net</t>
  </si>
  <si>
    <t>(주)성원건설</t>
  </si>
  <si>
    <t>김나연</t>
  </si>
  <si>
    <t>전라북도 익산시 평동로6길 38</t>
  </si>
  <si>
    <t>철근콘크리트공사</t>
  </si>
  <si>
    <t>sw8342504@hanmail.net</t>
  </si>
  <si>
    <t>(주)성보이엔티</t>
  </si>
  <si>
    <t>정미옥</t>
  </si>
  <si>
    <t>경남 김해시 상동면 매리 973-14</t>
  </si>
  <si>
    <t>제조</t>
  </si>
  <si>
    <t>산업기계</t>
  </si>
  <si>
    <t>(주)성도이엔지</t>
  </si>
  <si>
    <t>이언웅, 정영용</t>
  </si>
  <si>
    <t>서울특별시 강남구 영동대로 106길 42(삼성동)</t>
  </si>
  <si>
    <t>반도체장비설비공사</t>
  </si>
  <si>
    <t>vkslr222@sungdokorea.com</t>
  </si>
  <si>
    <t>sungdo4000@bill36524.com</t>
  </si>
  <si>
    <t>(주)선웅씨앤티</t>
  </si>
  <si>
    <t>백영호</t>
  </si>
  <si>
    <t>서울특별시 송파구 백제고분로 378,4층</t>
  </si>
  <si>
    <t>일반건축</t>
  </si>
  <si>
    <t>sw05520@naver.com</t>
  </si>
  <si>
    <t>(주)선웅건설</t>
  </si>
  <si>
    <t>김진호</t>
  </si>
  <si>
    <t>전북 전주시 덕진구 건산로 216, 3층(인후동1가)</t>
  </si>
  <si>
    <t>hit588@nate.com</t>
  </si>
  <si>
    <t>(주)서홍건설</t>
  </si>
  <si>
    <t>김태완</t>
  </si>
  <si>
    <t>전북특별자치도 군산시 동아로7, 102호(산북동)</t>
  </si>
  <si>
    <t>도소매업</t>
  </si>
  <si>
    <t>실내건축ㄱ공사업</t>
  </si>
  <si>
    <t>raum3366@daum.net</t>
  </si>
  <si>
    <t>(유)국제종합상사</t>
  </si>
  <si>
    <t>김용은</t>
  </si>
  <si>
    <t>전북특별자치도 군산시 백릉로 31</t>
  </si>
  <si>
    <t>도소매</t>
  </si>
  <si>
    <t>철물, 금속수공구도매업</t>
  </si>
  <si>
    <t>sangsa2225@daum.net</t>
  </si>
  <si>
    <t>흥일기업</t>
  </si>
  <si>
    <t>김성곤</t>
  </si>
  <si>
    <t>인천광역시 남동구 구월동20 구월힐스테이트 3103-2204 19/4</t>
  </si>
  <si>
    <t>창호시공</t>
  </si>
  <si>
    <t>heungil@eagon.com</t>
  </si>
  <si>
    <t>흥신</t>
  </si>
  <si>
    <t>이윤희</t>
  </si>
  <si>
    <t>전주시 덕진구 전진로 34</t>
  </si>
  <si>
    <t>도/소매</t>
  </si>
  <si>
    <t>철물/공구</t>
  </si>
  <si>
    <t>hsi1164@hanmail.net</t>
  </si>
  <si>
    <t>휴먼라이프</t>
  </si>
  <si>
    <t>심미용</t>
  </si>
  <si>
    <t>전북 익산시 목천로2길 20(평화동)</t>
  </si>
  <si>
    <t>전자상거래</t>
  </si>
  <si>
    <t>loveme5301@naver.com</t>
  </si>
  <si>
    <t>후작팜</t>
  </si>
  <si>
    <t>안강훈</t>
  </si>
  <si>
    <t>전라북도</t>
  </si>
  <si>
    <t>효성에너지발전소</t>
  </si>
  <si>
    <t>이도훈</t>
  </si>
  <si>
    <t>서울특별시 영등포구 버드나루로 18길 5</t>
  </si>
  <si>
    <t>전기사업</t>
  </si>
  <si>
    <t>태양광발전소</t>
  </si>
  <si>
    <t>효문H&amp;B</t>
  </si>
  <si>
    <t>박기민</t>
  </si>
  <si>
    <t>전북 익산시 익산대로 19길 17-1(모현동1가)</t>
  </si>
  <si>
    <t>gimin4130@daum.net</t>
  </si>
  <si>
    <t>황산농자재</t>
  </si>
  <si>
    <t>박길남</t>
  </si>
  <si>
    <t>충남 논산시 강경읍 계백로87</t>
  </si>
  <si>
    <t>철물/농자재</t>
  </si>
  <si>
    <t>sqr4704@hanmail.net</t>
  </si>
  <si>
    <t>황등철물열쇠</t>
  </si>
  <si>
    <t>최호원</t>
  </si>
  <si>
    <t>전북 익산시 황등면 황등로 133-1</t>
  </si>
  <si>
    <t>소매,서비스</t>
  </si>
  <si>
    <t>열쇠,철물</t>
  </si>
  <si>
    <t>(주)백유</t>
  </si>
  <si>
    <t>하재영</t>
  </si>
  <si>
    <t>전남 무안군 무안읍 영산로 3081</t>
  </si>
  <si>
    <t>조경식재/조경시설물공사</t>
  </si>
  <si>
    <t>nowandone@hanmail.net</t>
  </si>
  <si>
    <t>황금장식철물설비</t>
  </si>
  <si>
    <t>김문용</t>
  </si>
  <si>
    <t>전북 익산시 선화로 298,1층(마동)</t>
  </si>
  <si>
    <t>철물</t>
  </si>
  <si>
    <t>황금어장</t>
  </si>
  <si>
    <t>강종민</t>
  </si>
  <si>
    <t>전북 김제시 백산면 조종리 354-5</t>
  </si>
  <si>
    <t>수산물</t>
  </si>
  <si>
    <t>minminn@hanmail.net</t>
  </si>
  <si>
    <t>환웅코리아</t>
  </si>
  <si>
    <t>최영수</t>
  </si>
  <si>
    <t>전북 익산시 인화동</t>
  </si>
  <si>
    <t>철물공구/볼트/원활유</t>
  </si>
  <si>
    <t>whanwoongkr@hanmail.net</t>
  </si>
  <si>
    <t>화이트플랜</t>
  </si>
  <si>
    <t>전병근</t>
  </si>
  <si>
    <t>충청남도 천안시 동남구 대흥로 250</t>
  </si>
  <si>
    <t>실내건축공사업</t>
  </si>
  <si>
    <t>whiteplanceo@naver.com</t>
  </si>
  <si>
    <t>화신철물</t>
  </si>
  <si>
    <t>김성숙</t>
  </si>
  <si>
    <t>전북 익산시 선화로31길 54(남중동)</t>
  </si>
  <si>
    <t>소매</t>
  </si>
  <si>
    <t>철물/잡자재</t>
  </si>
  <si>
    <t>화신이엔지</t>
  </si>
  <si>
    <t>조경회</t>
  </si>
  <si>
    <t>충청북도 음성군 금왕읍 무곡로 218</t>
  </si>
  <si>
    <t>서비스</t>
  </si>
  <si>
    <t>하도급토목설계</t>
  </si>
  <si>
    <t>jo7999@hanmail.net</t>
  </si>
  <si>
    <t>화신공구</t>
  </si>
  <si>
    <t>허천욱</t>
  </si>
  <si>
    <t>전북 익산시 인화동 1가 203</t>
  </si>
  <si>
    <t>철물공구</t>
  </si>
  <si>
    <t>hsdr3569@hanmail.net</t>
  </si>
  <si>
    <t>화목건설</t>
  </si>
  <si>
    <t>이은정</t>
  </si>
  <si>
    <t>전북 김제시 백구면 황토로 1010</t>
  </si>
  <si>
    <t>금속구조물,경미한공사</t>
  </si>
  <si>
    <t>hwamok7273@naver.com</t>
  </si>
  <si>
    <t>호연건설주식회사</t>
  </si>
  <si>
    <t>최관호</t>
  </si>
  <si>
    <t>전북 완주군 용진읍 원구억1길 17-1, 2층</t>
  </si>
  <si>
    <t>hy6953@hanmail.net</t>
  </si>
  <si>
    <t>(주)미래안전산업</t>
  </si>
  <si>
    <t>공진숙</t>
  </si>
  <si>
    <t>대구광역시 서구 와룡로83길 18(이현동)</t>
  </si>
  <si>
    <t>산업안전용품</t>
  </si>
  <si>
    <t>su10720@hanmail.net</t>
  </si>
  <si>
    <t>호남농약사</t>
  </si>
  <si>
    <t>장진호</t>
  </si>
  <si>
    <t>전북 익산시 인화동 1가 72-28</t>
  </si>
  <si>
    <t>농자재</t>
  </si>
  <si>
    <t>honam1999@naver.com</t>
  </si>
  <si>
    <t>호남공구</t>
  </si>
  <si>
    <t>배재섭</t>
  </si>
  <si>
    <t>익산시 평화동 12-8</t>
  </si>
  <si>
    <t>일반철물</t>
  </si>
  <si>
    <t>honam09@hotmail.com</t>
  </si>
  <si>
    <t>형제건설</t>
  </si>
  <si>
    <t>이유정</t>
  </si>
  <si>
    <t>전북 익산시 무왕로1길 57(모현동2가)</t>
  </si>
  <si>
    <t>도매업</t>
  </si>
  <si>
    <t>kyoungwan08@naver.com</t>
  </si>
  <si>
    <t>협신안전물산</t>
  </si>
  <si>
    <t>황정구</t>
  </si>
  <si>
    <t>익산시 갈산동 200-14</t>
  </si>
  <si>
    <t>hyupsin8710@hanmail.net</t>
  </si>
  <si>
    <t>현대홈샤시</t>
  </si>
  <si>
    <t>김문희 외 1명</t>
  </si>
  <si>
    <t>전라북도익산시평동로800,동산동</t>
  </si>
  <si>
    <t>제조업,건설업</t>
  </si>
  <si>
    <t>샤시 외 경미한공사</t>
  </si>
  <si>
    <t>dongbu3796@naver.com</t>
  </si>
  <si>
    <t>현대철물공구상사</t>
  </si>
  <si>
    <t>이남순</t>
  </si>
  <si>
    <t>전북 전주시 덕진구 동부대로 729-1(우아동3가)</t>
  </si>
  <si>
    <t>hd2911915@naver.com</t>
  </si>
  <si>
    <t>현대철물건재</t>
  </si>
  <si>
    <t>조공순 외 1명</t>
  </si>
  <si>
    <t>전북 군산시 번영로 50(경장동)</t>
  </si>
  <si>
    <t>앵글,진열장,철물/청소용품</t>
  </si>
  <si>
    <t>bsg5933@naver.com</t>
  </si>
  <si>
    <t>(주)문경종합건설</t>
  </si>
  <si>
    <t>조민정</t>
  </si>
  <si>
    <t>경기도 성남시 분당구 황새울로 234, 863호</t>
  </si>
  <si>
    <t>s01196045335@nate.com</t>
  </si>
  <si>
    <t>현대철물 안전공구</t>
  </si>
  <si>
    <t>박흥수</t>
  </si>
  <si>
    <t>전북 익산시 모현동 1가 1</t>
  </si>
  <si>
    <t>공구*철물</t>
  </si>
  <si>
    <t>현대종합전기</t>
  </si>
  <si>
    <t>장영미</t>
  </si>
  <si>
    <t>전북 익산시 팔봉동 402-7</t>
  </si>
  <si>
    <t>전선,전기자재</t>
  </si>
  <si>
    <t>gi338@hanmail.net</t>
  </si>
  <si>
    <t>현대종합상사</t>
  </si>
  <si>
    <t>신상무</t>
  </si>
  <si>
    <t>전북 군산시 새만금북로 263, 104호 105호(오식도동)</t>
  </si>
  <si>
    <t>sin61140@naver.com</t>
  </si>
  <si>
    <t>현대종합건재</t>
  </si>
  <si>
    <t>강은미</t>
  </si>
  <si>
    <t>전라북도 무주군 무주읍 한풍루로 399</t>
  </si>
  <si>
    <t>철물,건재,잡화,안전용품</t>
  </si>
  <si>
    <t>정석원</t>
  </si>
  <si>
    <t>전북 익산시 서동로 12</t>
  </si>
  <si>
    <t>PVC건자재</t>
  </si>
  <si>
    <t>hd94929@hanmail.net</t>
  </si>
  <si>
    <t>현대전기철물</t>
  </si>
  <si>
    <t>김복희</t>
  </si>
  <si>
    <t>전북 익산시 동서로51길 33(영등동)</t>
  </si>
  <si>
    <t>소매업</t>
  </si>
  <si>
    <t>hdeng5989@naver.com</t>
  </si>
  <si>
    <t>현대농자재</t>
  </si>
  <si>
    <t>김은정</t>
  </si>
  <si>
    <t>전북 익산시 신동 817-29</t>
  </si>
  <si>
    <t>농자재/앵글</t>
  </si>
  <si>
    <t>jowo66@hanmail.net</t>
  </si>
  <si>
    <t>(주)무등토건자재백화점</t>
  </si>
  <si>
    <t>김종순외1명</t>
  </si>
  <si>
    <t>제주 특별자치도 제주시 아연로 343</t>
  </si>
  <si>
    <t>도매 및 소매업</t>
  </si>
  <si>
    <t>가설가재,단열재,농자재,산업안전용품,에어컨</t>
  </si>
  <si>
    <t>mudeung6201@nate.com</t>
  </si>
  <si>
    <t>현대기공주식회사</t>
  </si>
  <si>
    <t>유성훈</t>
  </si>
  <si>
    <t>전북 익산시 오산면 오산로 122</t>
  </si>
  <si>
    <t>동력전달장치 외.</t>
  </si>
  <si>
    <t>hdchain0981@hanmail.net</t>
  </si>
  <si>
    <t>현대공구철물</t>
  </si>
  <si>
    <t>안은정</t>
  </si>
  <si>
    <t>전라북도김제시동서로95</t>
  </si>
  <si>
    <t>공구,철물,안전용품,담배</t>
  </si>
  <si>
    <t>ej5241@naver.com</t>
  </si>
  <si>
    <t>현대공구</t>
  </si>
  <si>
    <t>김의환</t>
  </si>
  <si>
    <t>전북 익산시 익산대로 114</t>
  </si>
  <si>
    <t>hd2178@hanmail.net</t>
  </si>
  <si>
    <t>현대건재철물</t>
  </si>
  <si>
    <t>정현욱</t>
  </si>
  <si>
    <t>전주시 덕진구 덕진동2가 66-28</t>
  </si>
  <si>
    <t>도.소매</t>
  </si>
  <si>
    <t>철물.건재</t>
  </si>
  <si>
    <t>suyoung8500@naver.com</t>
  </si>
  <si>
    <t>해성기업</t>
  </si>
  <si>
    <t>이동근</t>
  </si>
  <si>
    <t>대구광역시 북구 구리로250.102-1303(국우동,그린빌1단지)</t>
  </si>
  <si>
    <t>창호시공.유리시공</t>
  </si>
  <si>
    <t>dlghwn7668@esero.go.kr</t>
  </si>
  <si>
    <t>해성가설비계 주식회사</t>
  </si>
  <si>
    <t>홍권표</t>
  </si>
  <si>
    <t>전북특별자치도 익산시 춘포로 29-12(금강동)</t>
  </si>
  <si>
    <t>비계,구조물해체공사,석면해체제거</t>
  </si>
  <si>
    <t>hs554130@kakao.com</t>
  </si>
  <si>
    <t>해군2 함대사령부</t>
  </si>
  <si>
    <t>김태엽</t>
  </si>
  <si>
    <t>경기도 평택시 포승읍 원정리 산 109-30</t>
  </si>
  <si>
    <t>shape7473@mnd.go.kr</t>
  </si>
  <si>
    <t>합동공구철물</t>
  </si>
  <si>
    <t>박민호</t>
  </si>
  <si>
    <t>전북 완주군 삼례읍리 930-39</t>
  </si>
  <si>
    <t>한일건재</t>
  </si>
  <si>
    <t>김성우</t>
  </si>
  <si>
    <t>전라북도 김제시 신풍길 18</t>
  </si>
  <si>
    <t>철물건재경미한공사</t>
  </si>
  <si>
    <t>hanil1254@naver.com</t>
  </si>
  <si>
    <t>한영철물</t>
  </si>
  <si>
    <t>최순조</t>
  </si>
  <si>
    <t>전주시 완산구 평화동2가 849-2</t>
  </si>
  <si>
    <t>도매</t>
  </si>
  <si>
    <t>일반철물/수공구</t>
  </si>
  <si>
    <t>hyjb09@hanmail.net</t>
  </si>
  <si>
    <t>(주)라인이앤지</t>
  </si>
  <si>
    <t>이윤원</t>
  </si>
  <si>
    <t>경기도 광주시 초월읍 동막골길 3, 2층 201호(선동빌딩)</t>
  </si>
  <si>
    <t>실내장식</t>
  </si>
  <si>
    <t>lsw090209@naver.com</t>
  </si>
  <si>
    <t>한양전기철물</t>
  </si>
  <si>
    <t>문권수</t>
  </si>
  <si>
    <t>전라북도 익산시 익산대로4길 31(인화동1가) 101호상가</t>
  </si>
  <si>
    <t>소매/건설</t>
  </si>
  <si>
    <t>철물/잡화</t>
  </si>
  <si>
    <t>0031HY@naver.com</t>
  </si>
  <si>
    <t>한성공구</t>
  </si>
  <si>
    <t>손종태</t>
  </si>
  <si>
    <t>전라북도 익산시 익산대로 99(평화동)</t>
  </si>
  <si>
    <t>한샘농자재</t>
  </si>
  <si>
    <t>전세웅</t>
  </si>
  <si>
    <t>전라북도 익산시 목천로 44-2</t>
  </si>
  <si>
    <t>도소매,건설업</t>
  </si>
  <si>
    <t>농자재,경미한공사</t>
  </si>
  <si>
    <t>sae025@korea.com</t>
  </si>
  <si>
    <t>한샘 리하우스 덕진점</t>
  </si>
  <si>
    <t>오윤희</t>
  </si>
  <si>
    <t>전북 전주시 덕진구 안덕원로 115, 외 3필지(진북동)</t>
  </si>
  <si>
    <t>일반가구/경미한공사</t>
  </si>
  <si>
    <t>grisimuni@naver.com</t>
  </si>
  <si>
    <t>한빛원예자재</t>
  </si>
  <si>
    <t>손병돈</t>
  </si>
  <si>
    <t>전라북도 전주시 완산구 산월2길17</t>
  </si>
  <si>
    <t>원예자재,농자재</t>
  </si>
  <si>
    <t>h2541525@hanmail.net</t>
  </si>
  <si>
    <t>한라화스너</t>
  </si>
  <si>
    <t>김봉원</t>
  </si>
  <si>
    <t>전북 익산시 석암로13길 33(석암동)</t>
  </si>
  <si>
    <t>볼트/너트</t>
  </si>
  <si>
    <t>hjbolt@hanmail.net</t>
  </si>
  <si>
    <t>한국폴리텍</t>
  </si>
  <si>
    <t>차신태</t>
  </si>
  <si>
    <t>전라북도 익산시 선화로 579(어양동, 한국폴리텍대학 익산캠퍼스)</t>
  </si>
  <si>
    <t>교육서비스업</t>
  </si>
  <si>
    <t>직원 훈련기관</t>
  </si>
  <si>
    <t>tax307@kopo.ac.kr</t>
  </si>
  <si>
    <t>한국철물건재</t>
  </si>
  <si>
    <t>설운자</t>
  </si>
  <si>
    <t>전북 익산시 신흥동 854-1</t>
  </si>
  <si>
    <t>한국에스지아이</t>
  </si>
  <si>
    <t>김인수</t>
  </si>
  <si>
    <t>서울 구로구 구로5동 45</t>
  </si>
  <si>
    <t>종교</t>
  </si>
  <si>
    <t>비영리</t>
  </si>
  <si>
    <t>2000poet@hanmail.net</t>
  </si>
  <si>
    <t>(주)동반종합건설</t>
  </si>
  <si>
    <t>정규종</t>
  </si>
  <si>
    <t>전북 익산시 학곤로 9(평화동)</t>
  </si>
  <si>
    <t>토목건축공사업</t>
  </si>
  <si>
    <t>dongban2016@daum.net</t>
  </si>
  <si>
    <t>한국산기</t>
  </si>
  <si>
    <t>김유식</t>
  </si>
  <si>
    <t>전북 익산시 오산면 영만리 11</t>
  </si>
  <si>
    <t>제조/건설업</t>
  </si>
  <si>
    <t>hksgk@naver.com</t>
  </si>
  <si>
    <t>학길슈퍼, 중앙소방전기철물</t>
  </si>
  <si>
    <t>최현숙</t>
  </si>
  <si>
    <t>전북 군산시 수송동 444-29</t>
  </si>
  <si>
    <t>소방및전기재료,철물</t>
  </si>
  <si>
    <t>하우즈 인</t>
  </si>
  <si>
    <t>강신은</t>
  </si>
  <si>
    <t>전북 익산시 춘포면 미등골길 165</t>
  </si>
  <si>
    <t>toybank0324@naver.com</t>
  </si>
  <si>
    <t>하영종합상사</t>
  </si>
  <si>
    <t>김선오</t>
  </si>
  <si>
    <t>전라북도 익산시 평동로 626,1층</t>
  </si>
  <si>
    <t>제조,도소매업</t>
  </si>
  <si>
    <t>장갑, 포장재료</t>
  </si>
  <si>
    <t>gkdudwhdgkqtkdtk@hometax.go.kr</t>
  </si>
  <si>
    <t>하랑</t>
  </si>
  <si>
    <t>노정하</t>
  </si>
  <si>
    <t>전라북도 익산시 왕궁면 학호2길 22,201호</t>
  </si>
  <si>
    <t>전기공사업</t>
  </si>
  <si>
    <t>harang5514@hanmail.net</t>
  </si>
  <si>
    <t>하늘산업기술주식회사</t>
  </si>
  <si>
    <t>김하웅</t>
  </si>
  <si>
    <t>전라북도 군산시 서수면 신상용전길 67</t>
  </si>
  <si>
    <t>산업용로봇</t>
  </si>
  <si>
    <t>hukim888@hanmail.net</t>
  </si>
  <si>
    <t>하나철물공구</t>
  </si>
  <si>
    <t>전진형</t>
  </si>
  <si>
    <t>전라북도 전주시 완산구 장승배기로 203</t>
  </si>
  <si>
    <t>철물,공구,볼트</t>
  </si>
  <si>
    <t>hana7924@nate.com</t>
  </si>
  <si>
    <t>하나용접기</t>
  </si>
  <si>
    <t>하태헌</t>
  </si>
  <si>
    <t>전북 익산시 평동로 619-2 (인화동1가)</t>
  </si>
  <si>
    <t>용접기/부품/공구</t>
  </si>
  <si>
    <t>hth0112@hanmail.net</t>
  </si>
  <si>
    <t>(주)동광건철공업</t>
  </si>
  <si>
    <t>백철진</t>
  </si>
  <si>
    <t>경기도 파주시 파평면 파산서원길 307-30</t>
  </si>
  <si>
    <t>창호,철물,철근, 콘크리트공사</t>
  </si>
  <si>
    <t>dk3861@bill36524.com</t>
  </si>
  <si>
    <t>하가종합철물</t>
  </si>
  <si>
    <t>이건호</t>
  </si>
  <si>
    <t>전라북도 전주시 덕진구 하가로 27,101호</t>
  </si>
  <si>
    <t>도소매업,건설업</t>
  </si>
  <si>
    <t>철물건재,전기재료,안전용품,골재,경미한공사</t>
  </si>
  <si>
    <t>gkrk0707@naver.com</t>
  </si>
  <si>
    <t>플랜비디자인</t>
  </si>
  <si>
    <t>왕동학</t>
  </si>
  <si>
    <t>전라북도 전주시 완산구 황강서원로 13</t>
  </si>
  <si>
    <t>벽지및 장판,건축자재,경미한공사</t>
  </si>
  <si>
    <t>design_eun@naver.com</t>
  </si>
  <si>
    <t>포인트</t>
  </si>
  <si>
    <t>임봉덕</t>
  </si>
  <si>
    <t>전북 전주시 덕진구 용정동184-4</t>
  </si>
  <si>
    <t>문구/잡화</t>
  </si>
  <si>
    <t>sports1234@hanmail.net</t>
  </si>
  <si>
    <t>포비스 주식회사</t>
  </si>
  <si>
    <t>류현민</t>
  </si>
  <si>
    <t>전라북도 전주시 덕진구 만성북로 47, 1동 5층 512호</t>
  </si>
  <si>
    <t>농업용건축자재판매</t>
  </si>
  <si>
    <t>forvis0420@daum.net</t>
  </si>
  <si>
    <t>평화천막사</t>
  </si>
  <si>
    <t>최충수</t>
  </si>
  <si>
    <t>전북 익산시 익산대로 120-1</t>
  </si>
  <si>
    <t>소매,제조</t>
  </si>
  <si>
    <t>천막,철구조물</t>
  </si>
  <si>
    <t>kfc9983@hanmail.net</t>
  </si>
  <si>
    <t>평화목재가설</t>
  </si>
  <si>
    <t>박석규</t>
  </si>
  <si>
    <t>전라북도 전주시 덕진구 금상동 264-6</t>
  </si>
  <si>
    <t>서비스,도매</t>
  </si>
  <si>
    <t>목재대여,목재</t>
  </si>
  <si>
    <t>lymlym1128@esero.go.kr</t>
  </si>
  <si>
    <t>평장산업개발</t>
  </si>
  <si>
    <t>이장은</t>
  </si>
  <si>
    <t>전북 김제시 백구면 금백로 1197</t>
  </si>
  <si>
    <t>제조/도소매</t>
  </si>
  <si>
    <t>태양광발전,창호공사</t>
  </si>
  <si>
    <t>csm0325@hanmail.net</t>
  </si>
  <si>
    <t>평장건설</t>
  </si>
  <si>
    <t>전라북도 김제시 백구면 금백로 1197</t>
  </si>
  <si>
    <t>건설업,도소매</t>
  </si>
  <si>
    <t>토목건축공사업,건설기계도급 및 대여</t>
  </si>
  <si>
    <t>pj0157@hanmail.net</t>
  </si>
  <si>
    <t>(주)대학종합건설</t>
  </si>
  <si>
    <t>제홍균</t>
  </si>
  <si>
    <t>대전광역시 서구 계룡로 509번길 23, 502호</t>
  </si>
  <si>
    <t>jhg5252@naver.com</t>
  </si>
  <si>
    <t>평장ENG</t>
  </si>
  <si>
    <t>최세미</t>
  </si>
  <si>
    <t>전북 김제시 백구면 금백로 1137, 499-4</t>
  </si>
  <si>
    <t>금속창호제작</t>
  </si>
  <si>
    <t>페이드 인테리어</t>
  </si>
  <si>
    <t>박성준</t>
  </si>
  <si>
    <t>전북 전주시 완산구 삼천천변1길 46, 106동 605호(삼천동1가, 흥건삼천1차아파트)</t>
  </si>
  <si>
    <t>friend2234@naver.com</t>
  </si>
  <si>
    <t>팔팔콩나물국밥 고려병원점</t>
  </si>
  <si>
    <t>전승영</t>
  </si>
  <si>
    <t>전북 전주시 덕진구 안덕원로 370, 1층(산정동)</t>
  </si>
  <si>
    <t>음식점업</t>
  </si>
  <si>
    <t>한식</t>
  </si>
  <si>
    <t>팔팔기계</t>
  </si>
  <si>
    <t>김미선</t>
  </si>
  <si>
    <t>전라북도 익산시 평동로 5길5</t>
  </si>
  <si>
    <t>모터,배관수리,안전공구</t>
  </si>
  <si>
    <t>판다팜(금마점)</t>
  </si>
  <si>
    <t>정기순</t>
  </si>
  <si>
    <t>전라북도 익산시 금마면 무왕로 1874-15</t>
  </si>
  <si>
    <t>무역/잡화</t>
  </si>
  <si>
    <t>판다팜</t>
  </si>
  <si>
    <t>김지명</t>
  </si>
  <si>
    <t>전라북도 익산시 함열읍 함낭로 537</t>
  </si>
  <si>
    <t>jm540400@naver.com</t>
  </si>
  <si>
    <t>트라움건축</t>
  </si>
  <si>
    <t>이순영</t>
  </si>
  <si>
    <t>전북 익산시 동서로 33길 93(신동)</t>
  </si>
  <si>
    <t>kk3958630@naver.com</t>
  </si>
  <si>
    <t>통일인더스트리</t>
  </si>
  <si>
    <t>이동산</t>
  </si>
  <si>
    <t>전북 익산시 인화동 1가 27-6</t>
  </si>
  <si>
    <t>기계공구</t>
  </si>
  <si>
    <t>8560989@naver.com</t>
  </si>
  <si>
    <t>토탈전기</t>
  </si>
  <si>
    <t>송미숙</t>
  </si>
  <si>
    <t>익산시 부송동 1035-2</t>
  </si>
  <si>
    <t>전기재료.철물</t>
  </si>
  <si>
    <t>pco0401@naver.com</t>
  </si>
  <si>
    <t>태흥한돈영농조합법인</t>
  </si>
  <si>
    <t>이정화</t>
  </si>
  <si>
    <t>전북 익산시 오산면 평동로 370</t>
  </si>
  <si>
    <t>육류/수입육</t>
  </si>
  <si>
    <t>thhandon@hanmail.net</t>
  </si>
  <si>
    <t>(주)대양스치로폴</t>
  </si>
  <si>
    <t>곽의상</t>
  </si>
  <si>
    <t>전북 김제시 백구면 번영로 2309</t>
  </si>
  <si>
    <t>스치로폴</t>
  </si>
  <si>
    <t>dyo800@nate.com</t>
  </si>
  <si>
    <t>태화종합상사</t>
  </si>
  <si>
    <t>오태옥</t>
  </si>
  <si>
    <t>전북 군산시 미성로 439-2(산북동)</t>
  </si>
  <si>
    <t>taehwa5912@naver.com</t>
  </si>
  <si>
    <t>태창상사</t>
  </si>
  <si>
    <t>강현정 외 1명</t>
  </si>
  <si>
    <t>전북익산시오산면오산3길 5,3동</t>
  </si>
  <si>
    <t>도매,서비스</t>
  </si>
  <si>
    <t>측량기,시험기기교정및 수리</t>
  </si>
  <si>
    <t>9713536@hanmail.net</t>
  </si>
  <si>
    <t>태양종합건설(주)</t>
  </si>
  <si>
    <t>차하선</t>
  </si>
  <si>
    <t>전북 고창군 고수면 감촌길 30</t>
  </si>
  <si>
    <t>토목공사</t>
  </si>
  <si>
    <t>ljm4014@naver.com</t>
  </si>
  <si>
    <t>태솔건설 주식회사</t>
  </si>
  <si>
    <t>박태준</t>
  </si>
  <si>
    <t>전북 전주시 덕진구 동부대로 764, 2층(우아동3가)</t>
  </si>
  <si>
    <t>일반건축공사업</t>
  </si>
  <si>
    <t>juhan3500@naver.com</t>
  </si>
  <si>
    <t>태성전기조명</t>
  </si>
  <si>
    <t>남궁인화</t>
  </si>
  <si>
    <t>전북 전주시 덕진구 송천동2가 193-52</t>
  </si>
  <si>
    <t>전기재료,조명기구</t>
  </si>
  <si>
    <t>mnbv4115@naver.com</t>
  </si>
  <si>
    <t>태성상사</t>
  </si>
  <si>
    <t>오정수</t>
  </si>
  <si>
    <t>전라북도 익산시 익산대로 8길,57</t>
  </si>
  <si>
    <t>그릇생활용품잡화</t>
  </si>
  <si>
    <t>iksantaesung@gmail.com</t>
  </si>
  <si>
    <t>태산기술</t>
  </si>
  <si>
    <t>김재현</t>
  </si>
  <si>
    <t>전라북도 전주시 완산구 서곡로 64(효자동3가)</t>
  </si>
  <si>
    <t>경미한공사,시설물유지보수,측량</t>
  </si>
  <si>
    <t>taesan7709@daum.net</t>
  </si>
  <si>
    <t>킴스라이프케어</t>
  </si>
  <si>
    <t>김도윤</t>
  </si>
  <si>
    <t>전라북도 익산시 서동로 164(마동, 우림마동 그린맨션아파트),에이동 102호</t>
  </si>
  <si>
    <t>농업용기계/장비</t>
  </si>
  <si>
    <t>kims@kimslifecare.com</t>
  </si>
  <si>
    <t>코리아스틸</t>
  </si>
  <si>
    <t>정규영</t>
  </si>
  <si>
    <t>전북특별자치도 전주시 덕진구 고내로 40-78(송천동2가)</t>
  </si>
  <si>
    <t>지붕 및 판금설치공사</t>
  </si>
  <si>
    <t>tou0913@naver.com</t>
  </si>
  <si>
    <t>(주)다인시스템</t>
  </si>
  <si>
    <t>김순영</t>
  </si>
  <si>
    <t>전라북도 전주시 덕진구 원화전1길 57-43(화전동)</t>
  </si>
  <si>
    <t>건설업,제조업,도소매</t>
  </si>
  <si>
    <t>실내건축공사 및 인테리어</t>
  </si>
  <si>
    <t>dail5727@hanmail.net</t>
  </si>
  <si>
    <t>(유)광명이엔시</t>
  </si>
  <si>
    <t>양경호</t>
  </si>
  <si>
    <t>전라북도 영광군 대마면 전기차1로 210,2층</t>
  </si>
  <si>
    <t>건설업,제조업</t>
  </si>
  <si>
    <t>통신공사,전기공사,소방공사</t>
  </si>
  <si>
    <t>kmtelecom@hanmail.net</t>
  </si>
  <si>
    <t>케이에이치건설(주)중부지점</t>
  </si>
  <si>
    <t>권혁범</t>
  </si>
  <si>
    <t>서울특별시 금천구 가산디지털1로 165,14층 1401,1402호</t>
  </si>
  <si>
    <t>서비스,건설업,도매및 소매업</t>
  </si>
  <si>
    <t>건축토목기술자문,엔지니어링,토목건축공사</t>
  </si>
  <si>
    <t>choeh@khconst.co.kr</t>
  </si>
  <si>
    <t>케이돔</t>
  </si>
  <si>
    <t>이성민</t>
  </si>
  <si>
    <t>대전광역시 유성구 학하남로 91번길 6-6,1층 125호</t>
  </si>
  <si>
    <t>렌트, 하우스</t>
  </si>
  <si>
    <t>wcarnival@naver.com</t>
  </si>
  <si>
    <t>칠곡종합상사</t>
  </si>
  <si>
    <t>양은미</t>
  </si>
  <si>
    <t>전라북도 김제시 백구면 영상5길 222</t>
  </si>
  <si>
    <t>철물/청소도구</t>
  </si>
  <si>
    <t>fall0907@hanmail.net</t>
  </si>
  <si>
    <t>최광개발</t>
  </si>
  <si>
    <t>최광득</t>
  </si>
  <si>
    <t>전북 전주시 완산구 삼천동2가 221-18</t>
  </si>
  <si>
    <t>부동산업</t>
  </si>
  <si>
    <t>부동산 임대업</t>
  </si>
  <si>
    <t>rhkd8767@nate.com</t>
  </si>
  <si>
    <t>청명토건</t>
  </si>
  <si>
    <t>진미</t>
  </si>
  <si>
    <t>충청남도 논산시 성동면 성동로298번길 29-10</t>
  </si>
  <si>
    <t>건축,토목,자재임대</t>
  </si>
  <si>
    <t>청명</t>
  </si>
  <si>
    <t>주영섭</t>
  </si>
  <si>
    <t>전라북도 익산시 주현로 2길 6</t>
  </si>
  <si>
    <t>보수, 수리업</t>
  </si>
  <si>
    <t>joo-road@hanmail.net</t>
  </si>
  <si>
    <t>청건설(주)</t>
  </si>
  <si>
    <t>최은정</t>
  </si>
  <si>
    <t>익산시 번영로 8길 28-12(목천동)</t>
  </si>
  <si>
    <t>지반조성,철근콘리트 공사업</t>
  </si>
  <si>
    <t>algangstone@naver.com</t>
  </si>
  <si>
    <t>천일석재</t>
  </si>
  <si>
    <t>강현녀</t>
  </si>
  <si>
    <t>익산시 함열읍 석매리40-13</t>
  </si>
  <si>
    <t>석재</t>
  </si>
  <si>
    <t>chonistone@hanmail.net</t>
  </si>
  <si>
    <t>(주)남성타일창호</t>
  </si>
  <si>
    <t>김수정</t>
  </si>
  <si>
    <t>전라북도 익산시 약촌로 8길 61-18</t>
  </si>
  <si>
    <t>도,소매,건설</t>
  </si>
  <si>
    <t>타일,창호,도어,경미한공사</t>
  </si>
  <si>
    <t>천마군장점</t>
  </si>
  <si>
    <t>이영순</t>
  </si>
  <si>
    <t>전라북도 익산시 금마면 신용리 519 복지회관 2층</t>
  </si>
  <si>
    <t>군장품</t>
  </si>
  <si>
    <t>yeona6773@naver.com</t>
  </si>
  <si>
    <t>채움안전</t>
  </si>
  <si>
    <t>김태리</t>
  </si>
  <si>
    <t>전라북도 익산시 서동로 19길 12(마동)</t>
  </si>
  <si>
    <t>안전용품,철물</t>
  </si>
  <si>
    <t>cus5049@naver.com</t>
  </si>
  <si>
    <t>채움</t>
  </si>
  <si>
    <t>최진호</t>
  </si>
  <si>
    <t>전주시 덕진구 두간6길 10, 202호(송천동1가, GS자이아트상가)</t>
  </si>
  <si>
    <t>주방가구</t>
  </si>
  <si>
    <t>khutb97@naver.com</t>
  </si>
  <si>
    <t>참광고기획</t>
  </si>
  <si>
    <t>김명진</t>
  </si>
  <si>
    <t>전라북도 익산시  평동로 550,1층</t>
  </si>
  <si>
    <t>소매,제조업,도매</t>
  </si>
  <si>
    <t>현수막, 명함,판촉물,간판 및 광고물 제작</t>
  </si>
  <si>
    <t>ktf00995@hametax.go.kr</t>
  </si>
  <si>
    <t>착한건재</t>
  </si>
  <si>
    <t>유형식</t>
  </si>
  <si>
    <t>전북 전주시 완산구 우림로 971(삼천동2가)</t>
  </si>
  <si>
    <t>sik7901@naver.com</t>
  </si>
  <si>
    <t>진안DC마트</t>
  </si>
  <si>
    <t>이해숙</t>
  </si>
  <si>
    <t>전북 진안군 진안읍 시장2길 3</t>
  </si>
  <si>
    <t>생필품 외</t>
  </si>
  <si>
    <t>지정환피자</t>
  </si>
  <si>
    <t>김은숙</t>
  </si>
  <si>
    <t>전라북도 완주군 이서면 콩쥐팥쥐로 1130</t>
  </si>
  <si>
    <t>음식</t>
  </si>
  <si>
    <t>피자</t>
  </si>
  <si>
    <t>지웅건설</t>
  </si>
  <si>
    <t>양희연</t>
  </si>
  <si>
    <t>전북특별자치도 익산시 왕구연 금광길 56-20</t>
  </si>
  <si>
    <t>gwoong2762@naver.com</t>
  </si>
  <si>
    <t>(주)금강건설</t>
  </si>
  <si>
    <t>임영환, 임재훈</t>
  </si>
  <si>
    <t>전북 전주시 덕진구 숲정이2길 27(진북동, 2층)</t>
  </si>
  <si>
    <t>일반토목공사</t>
  </si>
  <si>
    <t>skylinepmc@naver.com</t>
  </si>
  <si>
    <t>중앙철물</t>
  </si>
  <si>
    <t>양종철</t>
  </si>
  <si>
    <t>전주시 덕진구 인후동1가819-6</t>
  </si>
  <si>
    <t>중앙종합건재</t>
  </si>
  <si>
    <t>김인숙</t>
  </si>
  <si>
    <t>전북 군산시 구영2길 28(영화동)</t>
  </si>
  <si>
    <t>건축자재/경미한공사</t>
  </si>
  <si>
    <t>skssk0520@naver.com</t>
  </si>
  <si>
    <t>중앙농약농자재센터</t>
  </si>
  <si>
    <t>서상원</t>
  </si>
  <si>
    <t>전북 군산시 대야면 대야관통로 86,1층</t>
  </si>
  <si>
    <t>농약</t>
  </si>
  <si>
    <t>nawoo2650@daum.net</t>
  </si>
  <si>
    <t>중앙기물</t>
  </si>
  <si>
    <t>백운정</t>
  </si>
  <si>
    <t>전북특별자치도 익산시 평동로 660(인화동1가, 중앙기물종합주방)</t>
  </si>
  <si>
    <t>식탁및 주방용품</t>
  </si>
  <si>
    <t>centerdss@naver.com</t>
  </si>
  <si>
    <t>주원산업개발</t>
  </si>
  <si>
    <t>박종환</t>
  </si>
  <si>
    <t>전라북도 전주시 덕진구 삼례로 53(반월동)</t>
  </si>
  <si>
    <t>조경 건설업</t>
  </si>
  <si>
    <t>jw0012@hanmail.net</t>
  </si>
  <si>
    <t>주영종합건축</t>
  </si>
  <si>
    <t>이재권</t>
  </si>
  <si>
    <t>전북 익산시 부송로52, 101-304</t>
  </si>
  <si>
    <t>eoguss9911@hometax.go.kr</t>
  </si>
  <si>
    <t>주신종합상사</t>
  </si>
  <si>
    <t>김윤선</t>
  </si>
  <si>
    <t>전북 익산시 평동로514(평화동)</t>
  </si>
  <si>
    <t>철물,공구,건축자재</t>
  </si>
  <si>
    <t>ysk6085@naver.com</t>
  </si>
  <si>
    <t>주식회사코리아씨씨티브이</t>
  </si>
  <si>
    <t>최승우</t>
  </si>
  <si>
    <t>전북 익산시 마동 188-1</t>
  </si>
  <si>
    <t>방송설비,경미한공사</t>
  </si>
  <si>
    <t>abc@koreacctv.co.kr</t>
  </si>
  <si>
    <t>(주)국원종합건설</t>
  </si>
  <si>
    <t>최태열</t>
  </si>
  <si>
    <t>전라북도 순창군 순창읍 장류로347, 1층118호</t>
  </si>
  <si>
    <t>건축공사,시설유지</t>
  </si>
  <si>
    <t>gukwon7@daum.net</t>
  </si>
  <si>
    <t>주식회사바우건설</t>
  </si>
  <si>
    <t>권미진</t>
  </si>
  <si>
    <t>경기도 안양시 동안구 관양로 141,502호</t>
  </si>
  <si>
    <t>bowbow@hametax.go.kr</t>
  </si>
  <si>
    <t>주식회사 화인어워드</t>
  </si>
  <si>
    <t>정택근</t>
  </si>
  <si>
    <t>경기도 의왕시 오봉산단3로 25, 1동 614호(삼동, 더리브비즈원지식산업센터)</t>
  </si>
  <si>
    <t>건설/제조</t>
  </si>
  <si>
    <t>철강구조물,파일자재</t>
  </si>
  <si>
    <t>awardjtk@naver.com</t>
  </si>
  <si>
    <t>주식회사 화신금속공업</t>
  </si>
  <si>
    <t>한우석</t>
  </si>
  <si>
    <t>대구광역시 북구 검단로31길 31(검단동)</t>
  </si>
  <si>
    <t>농업용수공구</t>
  </si>
  <si>
    <t>hws8300@naver.com</t>
  </si>
  <si>
    <t>주식회사 헬티</t>
  </si>
  <si>
    <t>이상곤</t>
  </si>
  <si>
    <t>전북 전주시 덕진구 들못4길 27, 501호(장동)</t>
  </si>
  <si>
    <t>건설안전용품</t>
  </si>
  <si>
    <t>gs2286@hanmail.net</t>
  </si>
  <si>
    <t>주식회사 한길종합건설</t>
  </si>
  <si>
    <t>유현경</t>
  </si>
  <si>
    <t>전북 군산시 수송2길 10,301호(수송동, 수정프라자)</t>
  </si>
  <si>
    <t>mjcorp2021@naver.com</t>
  </si>
  <si>
    <t>주식회사 한가</t>
  </si>
  <si>
    <t>한현수</t>
  </si>
  <si>
    <t>전북 전주시 덕진구 건산로 225, 301-2호</t>
  </si>
  <si>
    <t>일반건축공사</t>
  </si>
  <si>
    <t>hanga0701@naver.com</t>
  </si>
  <si>
    <t>주식회사 하나안전산업</t>
  </si>
  <si>
    <t>김경원</t>
  </si>
  <si>
    <t>전북 전주시 완산구 산월2길 44, 3층 302호(중화산동 2가)</t>
  </si>
  <si>
    <t>안전용품/철물</t>
  </si>
  <si>
    <t>hana1973@naver.com</t>
  </si>
  <si>
    <t>주식회사 포시즌플러스</t>
  </si>
  <si>
    <t>전의현</t>
  </si>
  <si>
    <t>전북 전주시 덕진구 오공로 49, 지하1층 비01호</t>
  </si>
  <si>
    <t>금속구조물,창호공사업</t>
  </si>
  <si>
    <t>seodohi@daum.net</t>
  </si>
  <si>
    <t>주식회사 포스트건설</t>
  </si>
  <si>
    <t>신익호</t>
  </si>
  <si>
    <t>경기도 용인시 수지구 정든로6번길 5,401</t>
  </si>
  <si>
    <t>건축공사</t>
  </si>
  <si>
    <t>post4033@naver.com</t>
  </si>
  <si>
    <t>(주)가배건설</t>
  </si>
  <si>
    <t>김창길</t>
  </si>
  <si>
    <t>전북 전주시 완산구 중산5길 5, 3층(중화산동2가)</t>
  </si>
  <si>
    <t>gabae0001@naver.com</t>
  </si>
  <si>
    <t>주식회사 평장산업개발</t>
  </si>
  <si>
    <t>유리,건자재</t>
  </si>
  <si>
    <t>주식회사 토미종합건설</t>
  </si>
  <si>
    <t>최홍근</t>
  </si>
  <si>
    <t>전주시 완산구 백마산길 57-7(효자동3가)</t>
  </si>
  <si>
    <t>tomi5857@naver.com</t>
  </si>
  <si>
    <t>주식회사 주은</t>
  </si>
  <si>
    <t>홍영선</t>
  </si>
  <si>
    <t>전북 부안군 부안읍 부풍로 134, 1층</t>
  </si>
  <si>
    <t>조경식재공사</t>
  </si>
  <si>
    <t>je92770@hanmail.net</t>
  </si>
  <si>
    <t>주식회사 조양석건</t>
  </si>
  <si>
    <t>성중근</t>
  </si>
  <si>
    <t>전북 익산시 황등면 석재단지길 66-7</t>
  </si>
  <si>
    <t>wndrms2342@naver.com</t>
  </si>
  <si>
    <t>주식회사 제이디푸드</t>
  </si>
  <si>
    <t>김지연</t>
  </si>
  <si>
    <t>전주시 완산구 신촌4길 5, 2층</t>
  </si>
  <si>
    <t>프랜차이즈가맹점사업</t>
  </si>
  <si>
    <t>leesanghak99@naver.com</t>
  </si>
  <si>
    <t>주식회사 제이디</t>
  </si>
  <si>
    <t>일반건설/건축공사</t>
  </si>
  <si>
    <t>gokisaa@hanmail.net</t>
  </si>
  <si>
    <t>(유)한아름종합공구철물마트</t>
  </si>
  <si>
    <t>신준우</t>
  </si>
  <si>
    <t>전라북도 군산시 공단대로 580</t>
  </si>
  <si>
    <t>철물,안전용품, 도료</t>
  </si>
  <si>
    <t>har6153@naver.com</t>
  </si>
  <si>
    <t>주식회사 정건설</t>
  </si>
  <si>
    <t>안숙희</t>
  </si>
  <si>
    <t>전북 전주시 완산구 중산1길 4-4, 2층(중화산동2가)</t>
  </si>
  <si>
    <t>임대,토공</t>
  </si>
  <si>
    <t>oppa3530@naver.com</t>
  </si>
  <si>
    <t>주식회사 이랑건설</t>
  </si>
  <si>
    <t>송미경</t>
  </si>
  <si>
    <t>전주시 완산구 안행9길 9, 2층(효자동1가)</t>
  </si>
  <si>
    <t>khy08297715@naver.com</t>
  </si>
  <si>
    <t>주식회사 월넷</t>
  </si>
  <si>
    <t>김정엽</t>
  </si>
  <si>
    <t>경기도 수원시 영통구 삼성로 253, 618,619,519호</t>
  </si>
  <si>
    <t>무역</t>
  </si>
  <si>
    <t>intervoice@paran.com</t>
  </si>
  <si>
    <t>주식회사 우성인테리어</t>
  </si>
  <si>
    <t>김남한</t>
  </si>
  <si>
    <t>전북 전주시 덕진구 숲정이로 45, 1층(진북동)</t>
  </si>
  <si>
    <t>건축자재</t>
  </si>
  <si>
    <t>9033665@hanmail.net</t>
  </si>
  <si>
    <t>주식회사 와이엠개발</t>
  </si>
  <si>
    <t>오한성</t>
  </si>
  <si>
    <t>전라북도 익산시 익산대로 4길 31,801호</t>
  </si>
  <si>
    <t>주택건설, 철근콘크리트공사</t>
  </si>
  <si>
    <t>ym6766852@hanmail.net</t>
  </si>
  <si>
    <t>주식회사 예건</t>
  </si>
  <si>
    <t>이기룡</t>
  </si>
  <si>
    <t>전북 전주시 완산구 홍산북로 83-9, 3층(효자동3가)</t>
  </si>
  <si>
    <t>건설/도매</t>
  </si>
  <si>
    <t>yegun21@hanmail.net</t>
  </si>
  <si>
    <t>주식회사 엔비텍</t>
  </si>
  <si>
    <t>이정훈</t>
  </si>
  <si>
    <t>전북 전주시 완산구 우전로 104, 1동 3층 301호(효자동2가)</t>
  </si>
  <si>
    <t>invitec1@nate.com</t>
  </si>
  <si>
    <t>주식회사 에이치엘종합건설</t>
  </si>
  <si>
    <t>김성헌</t>
  </si>
  <si>
    <t>전북 전주시 덕진구 가련산로 23, 602호</t>
  </si>
  <si>
    <t>honestylove0@naver.com</t>
  </si>
  <si>
    <t>(유)한솔디앤씨</t>
  </si>
  <si>
    <t>김정화</t>
  </si>
  <si>
    <t>전라북도 전주시 덕진구 장동길 33</t>
  </si>
  <si>
    <t>경미한공사,문틀</t>
  </si>
  <si>
    <t>hs0109990@hometax.go.kr</t>
  </si>
  <si>
    <t>주식회사 에스비건설</t>
  </si>
  <si>
    <t>박명근</t>
  </si>
  <si>
    <t>전북 무주군 무주읍 주계로8길 10, 4층</t>
  </si>
  <si>
    <t>토목공사/건축공ㅅ아</t>
  </si>
  <si>
    <t>s2432114@daum.net</t>
  </si>
  <si>
    <t>주식회사 아베크디자인</t>
  </si>
  <si>
    <t>최태양</t>
  </si>
  <si>
    <t>서울특별시 강남구 선릉로 615, 6층(논현동, 썬라이더빌딩)</t>
  </si>
  <si>
    <t>실내공사업,실내인테리어</t>
  </si>
  <si>
    <t>avec6417@naver.com</t>
  </si>
  <si>
    <t>주식회사 아리건설</t>
  </si>
  <si>
    <t>송광미</t>
  </si>
  <si>
    <t>전북 익산시 평동로 501, 1층(송학동)</t>
  </si>
  <si>
    <t>금속구조물창호공사업</t>
  </si>
  <si>
    <t>ari-2018@daum.net</t>
  </si>
  <si>
    <t>주식회사 씨케이산업개발</t>
  </si>
  <si>
    <t>김관우</t>
  </si>
  <si>
    <t>전북 익산시 마한로5길 18-3, 3층 2호(영등동)</t>
  </si>
  <si>
    <t>ck03755@naver.com</t>
  </si>
  <si>
    <t>주식회사 씨엘건설</t>
  </si>
  <si>
    <t>최경숙</t>
  </si>
  <si>
    <t>전북 완주군 이서면 용서2길 64</t>
  </si>
  <si>
    <t>CL930531@naver.com</t>
  </si>
  <si>
    <t>주식회사 씨앤케이(DK)</t>
  </si>
  <si>
    <t>이상호</t>
  </si>
  <si>
    <t>전북 익산시 약촌로 57(신흥동)</t>
  </si>
  <si>
    <t>주식회사 신우천</t>
  </si>
  <si>
    <t>양재현</t>
  </si>
  <si>
    <t>전북 전주시 완산구 서곡4길 27</t>
  </si>
  <si>
    <t>전기공사,경미한공사</t>
  </si>
  <si>
    <t>4849-2004@daum.net</t>
  </si>
  <si>
    <t>주식회사 신양토건</t>
  </si>
  <si>
    <t>남옥이</t>
  </si>
  <si>
    <t>전북 전주시 완산구 선너머로 35-10</t>
  </si>
  <si>
    <t>kim57733@naver.com</t>
  </si>
  <si>
    <t>(유)한미종합건설</t>
  </si>
  <si>
    <t>최광영</t>
  </si>
  <si>
    <t>전라북도 전주시 완산구 소태정3길 5-4</t>
  </si>
  <si>
    <t>건설, 건설업, 임대</t>
  </si>
  <si>
    <t>토목건축,석면해체,경미한공사,장비임대</t>
  </si>
  <si>
    <t>hanmi0400@hanmail.net</t>
  </si>
  <si>
    <t>주식회사 시온종합건설</t>
  </si>
  <si>
    <t>장영길</t>
  </si>
  <si>
    <t>전북 익산시 오산면 평동로 145(2층)</t>
  </si>
  <si>
    <t>sion9410@hanmail.net</t>
  </si>
  <si>
    <t>주식회사 수호</t>
  </si>
  <si>
    <t>윤기주</t>
  </si>
  <si>
    <t>전라북도 고창군 부안면 복분자로 434-106</t>
  </si>
  <si>
    <t>h2256465@daum.net</t>
  </si>
  <si>
    <t>주식회사 세움토건</t>
  </si>
  <si>
    <t>최진규</t>
  </si>
  <si>
    <t>전북 전주시 완산구 우전로 260, 306호(효자동2가, 세움펠리피아 오피스텔)</t>
  </si>
  <si>
    <t>토목건축공사</t>
  </si>
  <si>
    <t>주식회사 성호에스아이코퍼레이션</t>
  </si>
  <si>
    <t>김지현</t>
  </si>
  <si>
    <t>경기도 부천시 길주로 276, 1104호</t>
  </si>
  <si>
    <t>제조/정보통신업</t>
  </si>
  <si>
    <t>전자제품</t>
  </si>
  <si>
    <t>tax_shcorp@naver.com</t>
  </si>
  <si>
    <t>주식회사 성심하우징</t>
  </si>
  <si>
    <t>김윤태</t>
  </si>
  <si>
    <t>전북 완주군 삼례읍 테크노밸리로 112-147</t>
  </si>
  <si>
    <t>6739007@daum.net</t>
  </si>
  <si>
    <t>주식회사 성실기초</t>
  </si>
  <si>
    <t>백승열</t>
  </si>
  <si>
    <t>인천광역시 연수구 하모니로 158, C동 4층 405호(송도동, 송도타임스페이스)</t>
  </si>
  <si>
    <t>blueskyt33@naver.com</t>
  </si>
  <si>
    <t>tax0427@naver.com</t>
  </si>
  <si>
    <t>주식회사 성도애드기획</t>
  </si>
  <si>
    <t>이은미</t>
  </si>
  <si>
    <t>전북 전주시 덕진구 기린대로 380(금암동)</t>
  </si>
  <si>
    <t>ad9323@hanmail.net</t>
  </si>
  <si>
    <t>주식회사 서도</t>
  </si>
  <si>
    <t>최병필</t>
  </si>
  <si>
    <t>전북 전주시 덕진구 오공로 47, 107호</t>
  </si>
  <si>
    <t>주식회사 상일토건</t>
  </si>
  <si>
    <t>정규철</t>
  </si>
  <si>
    <t>충청남도 당진시 대호만로 60(채운동)</t>
  </si>
  <si>
    <t>jungsang70@naver.com</t>
  </si>
  <si>
    <t>sung6796@naver.com</t>
  </si>
  <si>
    <t>(유)한국놀이시설안전관리원</t>
  </si>
  <si>
    <t>진성훈</t>
  </si>
  <si>
    <t>전라북도 전주시 덕진구 반월로 12</t>
  </si>
  <si>
    <t>안전점검 및 오존수모래소독</t>
  </si>
  <si>
    <t>hunii907@naver.com</t>
  </si>
  <si>
    <t>주식회사 비엔케이</t>
  </si>
  <si>
    <t>백승기</t>
  </si>
  <si>
    <t>전라북도 익산시 보석로2길 27-11(신흥동)</t>
  </si>
  <si>
    <t>자동차부품/석재앵글</t>
  </si>
  <si>
    <t>bnktech@naver.com</t>
  </si>
  <si>
    <t>주식회사 백제건설</t>
  </si>
  <si>
    <t>박병철</t>
  </si>
  <si>
    <t>전라북도 정읍시 태인면 태인로 71</t>
  </si>
  <si>
    <t>일반토목공사, 포장</t>
  </si>
  <si>
    <t>archi2000@hanmail.net</t>
  </si>
  <si>
    <t>rbejr6030@hanmail.net</t>
  </si>
  <si>
    <t>주식회사 반석티브이에스</t>
  </si>
  <si>
    <t>김태완,김상모</t>
  </si>
  <si>
    <t>서울특별시 송파구 법원로 114.,B동 1201호</t>
  </si>
  <si>
    <t>건설 및 건축용자재</t>
  </si>
  <si>
    <t>gift0427@hanmail.net</t>
  </si>
  <si>
    <t>주식회사 바른정건설</t>
  </si>
  <si>
    <t>조태규</t>
  </si>
  <si>
    <t>광주광역시 서구 화정로280번길 4-1, 1층(농성동)</t>
  </si>
  <si>
    <t>건설/도소매</t>
  </si>
  <si>
    <t>건축자재/실내건축</t>
  </si>
  <si>
    <t>barun1006@naver.com</t>
  </si>
  <si>
    <t>주식회사 무등건축자재산업</t>
  </si>
  <si>
    <t>이종재</t>
  </si>
  <si>
    <t>제주특별자치도 제주시 아연로 423</t>
  </si>
  <si>
    <t>mudeung6100@nate.com</t>
  </si>
  <si>
    <t>주식회사 럭키건설</t>
  </si>
  <si>
    <t>구자윤</t>
  </si>
  <si>
    <t>전북 전주시 덕진구 소양천변로 26(호성동2가)</t>
  </si>
  <si>
    <t>건물 건설업</t>
  </si>
  <si>
    <t>ikcon903@naver.com</t>
  </si>
  <si>
    <t>주식회사 라움종합건설</t>
  </si>
  <si>
    <t>권형수</t>
  </si>
  <si>
    <t>전북 전주시 완산구 호암로 80, 2층 에이20199호</t>
  </si>
  <si>
    <t>(유)케이피엘산업개발</t>
  </si>
  <si>
    <t>박수희</t>
  </si>
  <si>
    <t>전라북도 전주시 덕진구 신북로 141</t>
  </si>
  <si>
    <t>금속절단,절곡</t>
  </si>
  <si>
    <t>kpl7789@naver.com</t>
  </si>
  <si>
    <t>주식회사 디앤아이</t>
  </si>
  <si>
    <t>정성화</t>
  </si>
  <si>
    <t>전북 완주군 이서면 오공로 11-19, 201-2호</t>
  </si>
  <si>
    <t>1차 금속제품 도매업</t>
  </si>
  <si>
    <t>9036bae@hanmail.net</t>
  </si>
  <si>
    <t>주식회사 동남테크</t>
  </si>
  <si>
    <t>이택기</t>
  </si>
  <si>
    <t>경기도 화성시 팔탄면 온천로137번길 17</t>
  </si>
  <si>
    <t>제조/서비스</t>
  </si>
  <si>
    <t>가공기계 및 가금처리</t>
  </si>
  <si>
    <t>qwer2018@hanmail.net</t>
  </si>
  <si>
    <t>주식회사 도일건설</t>
  </si>
  <si>
    <t>김기자</t>
  </si>
  <si>
    <t>전북 완주군 삼례읍 왕궁로 10, 상가동 102호(대영1차아파트)</t>
  </si>
  <si>
    <t>철근,콘크리트공사업</t>
  </si>
  <si>
    <t>do3544@naver.com</t>
  </si>
  <si>
    <t>주식회사 도윤건설</t>
  </si>
  <si>
    <t>오대기</t>
  </si>
  <si>
    <t>전북 전주시 덕진구 견훤로 179, 2층</t>
  </si>
  <si>
    <t>king5869@naver.com</t>
  </si>
  <si>
    <t>주식회사 대흥볼트공구</t>
  </si>
  <si>
    <t>조창현</t>
  </si>
  <si>
    <t>전북 익산시 평동로7길 46(인화동1가)</t>
  </si>
  <si>
    <t>ddug123@hanmail.net</t>
  </si>
  <si>
    <t>주식회사 다산에스엠</t>
  </si>
  <si>
    <t>진오섭</t>
  </si>
  <si>
    <t>서울특별시 서초구 효령로 53, 205호(방배동, 방배오피스텔)</t>
  </si>
  <si>
    <t>건물종합관리</t>
  </si>
  <si>
    <t>dasansm@hanmail.net</t>
  </si>
  <si>
    <t>주식회사 고산종합건설</t>
  </si>
  <si>
    <t>조형일</t>
  </si>
  <si>
    <t>충남 천안시 서북구 불당22대로 86, 3층 311호(불당동, 마블러스에스타워)</t>
  </si>
  <si>
    <t>ydh0314@nate.com</t>
  </si>
  <si>
    <t>주방다옴</t>
  </si>
  <si>
    <t>홍세미</t>
  </si>
  <si>
    <t>전라북도전주시덕진구 기지로 77,103동 32층 2호(장동, 혁신)</t>
  </si>
  <si>
    <t>jbdaoom@naver.comn</t>
  </si>
  <si>
    <t>주공종합장식</t>
  </si>
  <si>
    <t>최항섭</t>
  </si>
  <si>
    <t>전북 익산시 무왕로22길 12 106</t>
  </si>
  <si>
    <t>벽지/실내장식</t>
  </si>
  <si>
    <t>ok2508@daum.net</t>
  </si>
  <si>
    <t>(유)계화라이스</t>
  </si>
  <si>
    <t>김현숙</t>
  </si>
  <si>
    <t>전라북도 익산시 오산면 오산로 64</t>
  </si>
  <si>
    <t>제조,도소매</t>
  </si>
  <si>
    <t>혼합곡물,농산물</t>
  </si>
  <si>
    <t>khs1642ss@naver.com</t>
  </si>
  <si>
    <t>종합안전상사</t>
  </si>
  <si>
    <t>김준식</t>
  </si>
  <si>
    <t>전주시 완산 중화산동 2 574-7</t>
  </si>
  <si>
    <t>안전용품</t>
  </si>
  <si>
    <t>tasaf@hanmail.net</t>
  </si>
  <si>
    <t>조은에스아이디</t>
  </si>
  <si>
    <t>양은경</t>
  </si>
  <si>
    <t>광주광역시 북구 서하로 321(오치동)</t>
  </si>
  <si>
    <t>joeun5704@hanmail.net</t>
  </si>
  <si>
    <t>조은상사</t>
  </si>
  <si>
    <t>조종환</t>
  </si>
  <si>
    <t>전북 익산시 창인동 21-149</t>
  </si>
  <si>
    <t>공구철물</t>
  </si>
  <si>
    <t>au5000@hanmail.net</t>
  </si>
  <si>
    <t>제일철물보일러</t>
  </si>
  <si>
    <t>이계화</t>
  </si>
  <si>
    <t>부안군 계화면 창북리 854-8</t>
  </si>
  <si>
    <t>철물.보일러</t>
  </si>
  <si>
    <t>제일철물공구</t>
  </si>
  <si>
    <t>김양순</t>
  </si>
  <si>
    <t>충남 논산시 계백로 1068(취암동)</t>
  </si>
  <si>
    <t>KYS7367495@naver.com</t>
  </si>
  <si>
    <t>제일안전철물</t>
  </si>
  <si>
    <t>송정환</t>
  </si>
  <si>
    <t>전라북도익산시동서로5길17(신동)</t>
  </si>
  <si>
    <t>건축자재,안전용품</t>
  </si>
  <si>
    <t>sjh8428@hanmail.net</t>
  </si>
  <si>
    <t>(유)청우조경</t>
  </si>
  <si>
    <t>김복환</t>
  </si>
  <si>
    <t>전북 익산시 선화로 520-5 (신흥동)</t>
  </si>
  <si>
    <t>조경자재/건설장비임대</t>
  </si>
  <si>
    <t>h3762@hanmail.net</t>
  </si>
  <si>
    <t>제이티케이산업개발(주)</t>
  </si>
  <si>
    <t>경기도 의왕시 오봉산단3로 25, 1동 6층 614호</t>
  </si>
  <si>
    <t>토공사업,파일기초공사업</t>
  </si>
  <si>
    <t>jtk4620@naver.com</t>
  </si>
  <si>
    <t>제이케이엘이디</t>
  </si>
  <si>
    <t>김종규</t>
  </si>
  <si>
    <t>전라북도 익산시 오산면 오산로 93</t>
  </si>
  <si>
    <t>제조,건설업,도소매</t>
  </si>
  <si>
    <t>엘이디,경미한공사</t>
  </si>
  <si>
    <t>2325jjong@naver.com</t>
  </si>
  <si>
    <t>제이에스컴퍼니</t>
  </si>
  <si>
    <t>박시운</t>
  </si>
  <si>
    <t>전북 익산시 춘포면 궁성로 196-22</t>
  </si>
  <si>
    <t>농자재/철물공구</t>
  </si>
  <si>
    <t>rokett11@naver.com</t>
  </si>
  <si>
    <t>제이에스와이(JSY)</t>
  </si>
  <si>
    <t>김경미</t>
  </si>
  <si>
    <t>전북 군산시 칠성6길 157, 제이에스와이(소룡동)</t>
  </si>
  <si>
    <t>중고용품/재생재료</t>
  </si>
  <si>
    <t>yyc5365@naver.com</t>
  </si>
  <si>
    <t>제이에스산업</t>
  </si>
  <si>
    <t>위재복</t>
  </si>
  <si>
    <t>전북 완주군 이서면 반교로 21, 104동 101호</t>
  </si>
  <si>
    <t>zzwjb@naver.com</t>
  </si>
  <si>
    <t>제이아이교육산업</t>
  </si>
  <si>
    <t>권경오</t>
  </si>
  <si>
    <t>전라북도 김제시 백구면 부용로 169-34</t>
  </si>
  <si>
    <t>경미한공사, 가구제작</t>
  </si>
  <si>
    <t>jdesign7767@hanmail.net</t>
  </si>
  <si>
    <t>제이씨엔</t>
  </si>
  <si>
    <t>강종찬</t>
  </si>
  <si>
    <t>전라북도 전주시 덕진구 초포로 249-7</t>
  </si>
  <si>
    <t>서비스업,제조업</t>
  </si>
  <si>
    <t>토목설계용역,감리,부직포및펠트</t>
  </si>
  <si>
    <t>yeooju@naver.com</t>
  </si>
  <si>
    <t>제이비안전</t>
  </si>
  <si>
    <t>이종신</t>
  </si>
  <si>
    <t>제이디자인</t>
  </si>
  <si>
    <t>권지혁</t>
  </si>
  <si>
    <t>전라북도 익산시 고현로 145</t>
  </si>
  <si>
    <t>제조,건설,도소매</t>
  </si>
  <si>
    <t>가구제작,경미한공사,사무기구</t>
  </si>
  <si>
    <t>정하건설(주)</t>
  </si>
  <si>
    <t>진민용</t>
  </si>
  <si>
    <t>전북 남원시 충정로 316-7(월락동)</t>
  </si>
  <si>
    <t>prime9755@daum.net</t>
  </si>
  <si>
    <t>정직한 주유소</t>
  </si>
  <si>
    <t>최규병</t>
  </si>
  <si>
    <t>전북 익산시 익산대로 90 (평화동)</t>
  </si>
  <si>
    <t>주유소</t>
  </si>
  <si>
    <t>cyh7623@naver.com</t>
  </si>
  <si>
    <t>정원산업</t>
  </si>
  <si>
    <t>양동수</t>
  </si>
  <si>
    <t>전라북도 전주시 덕진구 신흥안길 55-51</t>
  </si>
  <si>
    <t>창호, 금속제조</t>
  </si>
  <si>
    <t>yds5185@naver.com</t>
  </si>
  <si>
    <t>전주시청</t>
  </si>
  <si>
    <t>우범기</t>
  </si>
  <si>
    <t>전북 전주시 완산구 노송광장로 10(서노송동)</t>
  </si>
  <si>
    <t>제조업/부동산업</t>
  </si>
  <si>
    <t>임대/압형금형제품</t>
  </si>
  <si>
    <t>jeonjucity@hometax.go.kr</t>
  </si>
  <si>
    <t>전일공구볼트사</t>
  </si>
  <si>
    <t>전중배</t>
  </si>
  <si>
    <t>전북 전주시 덕진구 신행로 41-6</t>
  </si>
  <si>
    <t>공구/볼트</t>
  </si>
  <si>
    <t>jit0909@hanmail.net</t>
  </si>
  <si>
    <t>전북환기닥트산업</t>
  </si>
  <si>
    <t>이해복</t>
  </si>
  <si>
    <t>전라북도 익산시 평동로 689-2</t>
  </si>
  <si>
    <t>송풍기,경미한공사</t>
  </si>
  <si>
    <t>jb853@daum.net</t>
  </si>
  <si>
    <t>전북환경</t>
  </si>
  <si>
    <t>박찬식</t>
  </si>
  <si>
    <t>전북 전주시 완산구 중화산로 68, 201호(A-65)호</t>
  </si>
  <si>
    <t>chansiko@hanmail.net</t>
  </si>
  <si>
    <t>장계농업형동조합</t>
  </si>
  <si>
    <t>곽점용</t>
  </si>
  <si>
    <t>전북 장수군 장계면 한들로 114</t>
  </si>
  <si>
    <t>농자재,농산물</t>
  </si>
  <si>
    <t>nh507046-3@nonghyup.com</t>
  </si>
  <si>
    <t>자유건재사(효진)</t>
  </si>
  <si>
    <t>최영우</t>
  </si>
  <si>
    <t>전북 익산시 익산대로 102(평화동)</t>
  </si>
  <si>
    <t>(유)청수산업</t>
  </si>
  <si>
    <t>조시창</t>
  </si>
  <si>
    <t>전북 군산시 미성로 503(미룡동)</t>
  </si>
  <si>
    <t>시설물 유지관리 공사업</t>
  </si>
  <si>
    <t>4637012@naver.com</t>
  </si>
  <si>
    <t>일진상회</t>
  </si>
  <si>
    <t>정순임</t>
  </si>
  <si>
    <t>전북 김제시 공덕면 마현리745</t>
  </si>
  <si>
    <t>철물/담배</t>
  </si>
  <si>
    <t>일신유통마트 유한회사</t>
  </si>
  <si>
    <t>이강숙</t>
  </si>
  <si>
    <t>전북 익산시 학곤로 9 (평화동)</t>
  </si>
  <si>
    <t>식자재</t>
  </si>
  <si>
    <t>lkss070@naver.com</t>
  </si>
  <si>
    <t>인테리어게드</t>
  </si>
  <si>
    <t>김도경</t>
  </si>
  <si>
    <t>전북 군산시 팔마로 168,1층</t>
  </si>
  <si>
    <t>인코리아매트</t>
  </si>
  <si>
    <t>정성권</t>
  </si>
  <si>
    <t>전라북도 익산시 오산면 항쟁로 226</t>
  </si>
  <si>
    <t>매트</t>
  </si>
  <si>
    <t>mat0001@naver.com</t>
  </si>
  <si>
    <t>인우산업주식회사</t>
  </si>
  <si>
    <t>김영미</t>
  </si>
  <si>
    <t>대전광역시 중구 충무로 10-5(대흥동),101호</t>
  </si>
  <si>
    <t>건물용 금속 공작물 설치 공사업</t>
  </si>
  <si>
    <t>inwoo003@hanmail.net</t>
  </si>
  <si>
    <t>인스터디카페</t>
  </si>
  <si>
    <t>이연</t>
  </si>
  <si>
    <t>전라북도 익산시 고봉로 3길 46(영등동)</t>
  </si>
  <si>
    <t>서비스업</t>
  </si>
  <si>
    <t>스터디카페</t>
  </si>
  <si>
    <t>leeseunga83@naver.com</t>
  </si>
  <si>
    <t>익산시청</t>
  </si>
  <si>
    <t>정헌율</t>
  </si>
  <si>
    <t>전북 익산시 남중동60</t>
  </si>
  <si>
    <t>관공서</t>
  </si>
  <si>
    <t>행정기관</t>
  </si>
  <si>
    <t>doyunini@korea.kr</t>
  </si>
  <si>
    <t>익산시농업기술센터</t>
  </si>
  <si>
    <t>류숙희</t>
  </si>
  <si>
    <t>전북 익산시 함열읍 익산대로 1366-20</t>
  </si>
  <si>
    <t>neh125@korea.kr</t>
  </si>
  <si>
    <t>(유)창조산업개발</t>
  </si>
  <si>
    <t>이성진</t>
  </si>
  <si>
    <t>전라북도 전주시 완산구 백마산길 71,2층</t>
  </si>
  <si>
    <t>nuk8224@nate.com</t>
  </si>
  <si>
    <t>익산산림조합</t>
  </si>
  <si>
    <t>김수성</t>
  </si>
  <si>
    <t>전북 익산시 익산대로52길 22(남중동)</t>
  </si>
  <si>
    <t>임업 외.</t>
  </si>
  <si>
    <t>nfcf102@hanmail.net</t>
  </si>
  <si>
    <t>이현씨에스</t>
  </si>
  <si>
    <t>김현미</t>
  </si>
  <si>
    <t>전라북도 익산시 오산면 항쟁로 162-51</t>
  </si>
  <si>
    <t>제조업,도소매,서비스</t>
  </si>
  <si>
    <t>기타일반기기 및 장비수리업</t>
  </si>
  <si>
    <t>leeh7306@naver.com</t>
  </si>
  <si>
    <t>이지푸드시스템</t>
  </si>
  <si>
    <t>김복기</t>
  </si>
  <si>
    <t>전라북도 익산시 무왕로2길 150(목천동, 푸드시스템)</t>
  </si>
  <si>
    <t>조미향신및조제식품</t>
  </si>
  <si>
    <t>iezfood@hometax.go.kr</t>
  </si>
  <si>
    <t>이일공구</t>
  </si>
  <si>
    <t>윤성희</t>
  </si>
  <si>
    <t>익산시 신흥동 854-1</t>
  </si>
  <si>
    <t>철물.공구</t>
  </si>
  <si>
    <t>2704647@hanmail.net</t>
  </si>
  <si>
    <t>이수기전</t>
  </si>
  <si>
    <t>소순목</t>
  </si>
  <si>
    <t>전북 익산시 신흥동 641-8</t>
  </si>
  <si>
    <t>isussm@hanmail.net</t>
  </si>
  <si>
    <t>이리유치원</t>
  </si>
  <si>
    <t>김경순</t>
  </si>
  <si>
    <t>전북 익산시 중앙로 125-35</t>
  </si>
  <si>
    <t>iriu2836@korea.kr</t>
  </si>
  <si>
    <t>이리영등초등학교</t>
  </si>
  <si>
    <t>최지안</t>
  </si>
  <si>
    <t>전북 익산시 동서로 41길 37(영등동)</t>
  </si>
  <si>
    <t>iryd@korea.kr</t>
  </si>
  <si>
    <t>이도종합건설주식회사</t>
  </si>
  <si>
    <t>이근행</t>
  </si>
  <si>
    <t>전북 완주군 봉동읍 추동로 119</t>
  </si>
  <si>
    <t>제조/건물공사업</t>
  </si>
  <si>
    <t>geoedo220419@naver.com</t>
  </si>
  <si>
    <t>이노기획</t>
  </si>
  <si>
    <t>최은영</t>
  </si>
  <si>
    <t>전북 익산시 현영길 76(현영동)</t>
  </si>
  <si>
    <t>옥내외 광고물</t>
  </si>
  <si>
    <t>eychoi97s@naver.com</t>
  </si>
  <si>
    <t>(유)정진건설</t>
  </si>
  <si>
    <t>김지영</t>
  </si>
  <si>
    <t>전라북도 익산시 익산대로4길 31, 512호(인화동1가, 동우오피스텔)</t>
  </si>
  <si>
    <t>시설물유지관리업</t>
  </si>
  <si>
    <t>kjung1380@hanmail.net</t>
  </si>
  <si>
    <t>은지산업</t>
  </si>
  <si>
    <t>김지수</t>
  </si>
  <si>
    <t>익산시 삼기면 기산리 148-11</t>
  </si>
  <si>
    <t>도매/제조업</t>
  </si>
  <si>
    <t>채석/조경석</t>
  </si>
  <si>
    <t>ejstone11@hanmail.net</t>
  </si>
  <si>
    <t>윤일창호건축</t>
  </si>
  <si>
    <t>윤수정</t>
  </si>
  <si>
    <t>전라북도 부안군 부안읍 서신2길 34</t>
  </si>
  <si>
    <t>경미한 공사</t>
  </si>
  <si>
    <t>육일철물</t>
  </si>
  <si>
    <t>홍경의</t>
  </si>
  <si>
    <t>전북 완주군 고산읍 음내리 595-4</t>
  </si>
  <si>
    <t>hsi9933@hanmail.net</t>
  </si>
  <si>
    <t>육군 제2632부대</t>
  </si>
  <si>
    <t>김광석</t>
  </si>
  <si>
    <t>전북특별자치도 임실군 임실읍 강천로 252-4, 1층</t>
  </si>
  <si>
    <t>숙박/부동산업</t>
  </si>
  <si>
    <t>임대/한식</t>
  </si>
  <si>
    <t>kkr3101@hanmail.net</t>
  </si>
  <si>
    <t>유한회사지니</t>
  </si>
  <si>
    <t>이종완</t>
  </si>
  <si>
    <t>전라북도 전주시 덕진구 안덕원로 115(진북동)</t>
  </si>
  <si>
    <t>presslkj@naver.com</t>
  </si>
  <si>
    <t>유한회사대성건재</t>
  </si>
  <si>
    <t>이홍직</t>
  </si>
  <si>
    <t>전라북도 전주시 덕진구 견훤왕궁로 273-1</t>
  </si>
  <si>
    <t>골재 , 벽돌 및 시멘트 도매업</t>
  </si>
  <si>
    <t>ds1665@hanmail.net</t>
  </si>
  <si>
    <t>유한회사 홍익전력</t>
  </si>
  <si>
    <t>김선태</t>
  </si>
  <si>
    <t>전북 전주시 완산구 홍산로 263, 601(효자동2가)</t>
  </si>
  <si>
    <t>전기공사</t>
  </si>
  <si>
    <t>romy0907@hanmail.net</t>
  </si>
  <si>
    <t>유한회사 한빛건설산업</t>
  </si>
  <si>
    <t>박연지</t>
  </si>
  <si>
    <t>전북 전주시 덕진구 만성북로 51-25, 3096호</t>
  </si>
  <si>
    <t>외벽패널, 조합공사업</t>
  </si>
  <si>
    <t>hb063@naver.com</t>
  </si>
  <si>
    <t>유한회사 하나스토리</t>
  </si>
  <si>
    <t>박상은</t>
  </si>
  <si>
    <t>전북 익산시 삼기면 삼기농공단지길 42-17, 1층</t>
  </si>
  <si>
    <t>금속구조물,창호</t>
  </si>
  <si>
    <t>hns240429@naver.com</t>
  </si>
  <si>
    <t>(유)정선</t>
  </si>
  <si>
    <t>강철호</t>
  </si>
  <si>
    <t>전북 익산시 약촌로 174,6층 611호</t>
  </si>
  <si>
    <t>k9125k@naver.com</t>
  </si>
  <si>
    <t>유한회사 플러스건설</t>
  </si>
  <si>
    <t>나춘균,나정곤</t>
  </si>
  <si>
    <t>전북 전주시 완산구 홍산북로83, 상가동 2층 209호</t>
  </si>
  <si>
    <t>plus657@hometax.go.kr</t>
  </si>
  <si>
    <t>유한회사 천상</t>
  </si>
  <si>
    <t>김혜지</t>
  </si>
  <si>
    <t>전북 익산시 부송로 83-1(부송동)</t>
  </si>
  <si>
    <t>임대</t>
  </si>
  <si>
    <t>khj4535607@hanmail.net</t>
  </si>
  <si>
    <t>유한회사 정명패널</t>
  </si>
  <si>
    <t>윤선</t>
  </si>
  <si>
    <t>전북 전주시 완산구 우림로 1036-7(중인동)</t>
  </si>
  <si>
    <t>창호/건축자재</t>
  </si>
  <si>
    <t>bbbk1234@naver.com</t>
  </si>
  <si>
    <t>유한회사 전라도흥부식품</t>
  </si>
  <si>
    <t>김영섭</t>
  </si>
  <si>
    <t>전라북도 익산시 오산면 만석길 24</t>
  </si>
  <si>
    <t>과실및 채소절임식품</t>
  </si>
  <si>
    <t>kys7440@hanmail.net</t>
  </si>
  <si>
    <t>유한회사 자승</t>
  </si>
  <si>
    <t>양민석</t>
  </si>
  <si>
    <t>전북 남원시 시청북1길 29(도통동, 3층)</t>
  </si>
  <si>
    <t>유한회사 위드디자인컴퍼니</t>
  </si>
  <si>
    <t>김성미</t>
  </si>
  <si>
    <t>전북 익산시 동서로 370, 3층 308호</t>
  </si>
  <si>
    <t>ep1028@naver.com</t>
  </si>
  <si>
    <t>유한회사 온누리조경개발</t>
  </si>
  <si>
    <t>장석우</t>
  </si>
  <si>
    <t>전북 익산시 오산면 선화2로 66</t>
  </si>
  <si>
    <t>onnuri8899@naver.com</t>
  </si>
  <si>
    <t>유한회사 오피스알파익산점</t>
  </si>
  <si>
    <t>정진우</t>
  </si>
  <si>
    <t>전북 익산시 무왕로 868(신동)</t>
  </si>
  <si>
    <t>문구용품</t>
  </si>
  <si>
    <t>alpha3332@hanmail.net</t>
  </si>
  <si>
    <t>유한회사 여민건설</t>
  </si>
  <si>
    <t>배호남</t>
  </si>
  <si>
    <t>전북 장수군 계남면 장수로 3057</t>
  </si>
  <si>
    <t>km1585@hanmail.net</t>
  </si>
  <si>
    <t>유한회사 안심안전건설</t>
  </si>
  <si>
    <t>오미경</t>
  </si>
  <si>
    <t>전북 익산시 서동로32길 24-13, 1층(금강동)</t>
  </si>
  <si>
    <t>비계공사/경미한공사</t>
  </si>
  <si>
    <t>kcqi3134@hanmail.net</t>
  </si>
  <si>
    <t>유한회사 신성전기조명</t>
  </si>
  <si>
    <t>이철재</t>
  </si>
  <si>
    <t>전북 전주시 완산구 콩쥐팥쥐로 1702, 비동 1층(효자동3가)</t>
  </si>
  <si>
    <t>전기조명,건축자재</t>
  </si>
  <si>
    <t>ngngng13@naver.com</t>
  </si>
  <si>
    <t>유한회사 세계로</t>
  </si>
  <si>
    <t>송석정,김현수,최정규</t>
  </si>
  <si>
    <t>전북 익산시 동서로 509, 110동 206호(어양동, 자이아파트)</t>
  </si>
  <si>
    <t>cjg2222@hanmail.net</t>
  </si>
  <si>
    <t>유한회사 서해종합상사</t>
  </si>
  <si>
    <t>유승호</t>
  </si>
  <si>
    <t>전라북도 군산시 외항로 353-5, 가동 102호(산북동)</t>
  </si>
  <si>
    <t>공구,철물</t>
  </si>
  <si>
    <t>유한회사 서윤종합건설</t>
  </si>
  <si>
    <t>정인호</t>
  </si>
  <si>
    <t>전북 익산시 오산면 항쟁로 270, 2층</t>
  </si>
  <si>
    <t>coresenc@naver.com</t>
  </si>
  <si>
    <t>유한회사 서림문화재</t>
  </si>
  <si>
    <t>전찬호</t>
  </si>
  <si>
    <t>전북 장수군 장계면 장무로 244</t>
  </si>
  <si>
    <t>문화재보수단청업</t>
  </si>
  <si>
    <t>chunhajail@naver.com</t>
  </si>
  <si>
    <t>유한회사 새연건설</t>
  </si>
  <si>
    <t>이경선</t>
  </si>
  <si>
    <t>전북 전주시 완산구 후곡길 11-24, 1층 102호(효자동2가</t>
  </si>
  <si>
    <t>y2s8271@hanmail.net</t>
  </si>
  <si>
    <t>(유)정문건설</t>
  </si>
  <si>
    <t>윤재헌</t>
  </si>
  <si>
    <t>전북 전주시 완산구 한두평2길 6(중화산동2가, 9층)</t>
  </si>
  <si>
    <t>토목공사/일반건축</t>
  </si>
  <si>
    <t>prime9755@hanmail.net</t>
  </si>
  <si>
    <t>유한회사 상호건설</t>
  </si>
  <si>
    <t>장세창</t>
  </si>
  <si>
    <t>전북 익산시 오산면 오산로 141</t>
  </si>
  <si>
    <t>sangho5890@hanmail.net</t>
  </si>
  <si>
    <t>유한회사 삼화건설도장</t>
  </si>
  <si>
    <t>하인수</t>
  </si>
  <si>
    <t>전라북도 익산시 동서로51길 21(영등동)</t>
  </si>
  <si>
    <t>도장공사업</t>
  </si>
  <si>
    <t>01055999921@hanmail.net</t>
  </si>
  <si>
    <t>유한회사 모아건설</t>
  </si>
  <si>
    <t>전북 장수군 장수읍 장천로 220, 204호</t>
  </si>
  <si>
    <t>khc0459@hanmail.net</t>
  </si>
  <si>
    <t>유한회사 로이드</t>
  </si>
  <si>
    <t>김지아</t>
  </si>
  <si>
    <t>jwon26396@daum.net</t>
  </si>
  <si>
    <t>유한회사 라이프종합건설</t>
  </si>
  <si>
    <t>국경순</t>
  </si>
  <si>
    <t>충남 서천군 서천읍 사곡로28번길 30,1층</t>
  </si>
  <si>
    <t>life8373@hanmail.net</t>
  </si>
  <si>
    <t>유한회사 다온이엔지</t>
  </si>
  <si>
    <t>전북 전주시 덕진구 호성3길 10, 3층</t>
  </si>
  <si>
    <t>daoneng2019@naver.com</t>
  </si>
  <si>
    <t>유한회사 농자재엠마트</t>
  </si>
  <si>
    <t>탁문갑</t>
  </si>
  <si>
    <t>전북 김제시 콩쥐팥쥐로 336(백학동)</t>
  </si>
  <si>
    <t>tmg329@hanmail.net</t>
  </si>
  <si>
    <t>유한회사 남전종합건설</t>
  </si>
  <si>
    <t>유도현</t>
  </si>
  <si>
    <t>전북특별자치도 남원시 남문로 467(죽항동)</t>
  </si>
  <si>
    <t>zin0725@hanmail.net</t>
  </si>
  <si>
    <t>유진기술사사무소</t>
  </si>
  <si>
    <t>김영수</t>
  </si>
  <si>
    <t>전라북도 익산시 선화로63길 4(영등동)</t>
  </si>
  <si>
    <t>제조업,서비스</t>
  </si>
  <si>
    <t>자동제어장치</t>
  </si>
  <si>
    <t>aba1357@naver.com</t>
  </si>
  <si>
    <t>(유)전주철물종합건재</t>
  </si>
  <si>
    <t>송삼녀</t>
  </si>
  <si>
    <t>전북전주시완산구 콩쥐팥쥐로 1623</t>
  </si>
  <si>
    <t>시멘트,철물,건재</t>
  </si>
  <si>
    <t>kos1324@hanmail.net</t>
  </si>
  <si>
    <t>유정산업</t>
  </si>
  <si>
    <t>조제훈</t>
  </si>
  <si>
    <t>전라북도 전주시 덕진구 팽나무3길 18</t>
  </si>
  <si>
    <t>샤시,경미한공사</t>
  </si>
  <si>
    <t>cholkr3517@naver.com</t>
  </si>
  <si>
    <t>유성종합철물산업</t>
  </si>
  <si>
    <t>박미라</t>
  </si>
  <si>
    <t>전라북도전주시덕진구기린대로921</t>
  </si>
  <si>
    <t>철물 치 건자재,안전용품</t>
  </si>
  <si>
    <t>pmr0527@hanmail.net</t>
  </si>
  <si>
    <t>유디코</t>
  </si>
  <si>
    <t>오미미</t>
  </si>
  <si>
    <t>전라북도 익산시 동서로 14길 6(남중동)</t>
  </si>
  <si>
    <t>서비스,제조업,</t>
  </si>
  <si>
    <t>omm1106@naver.com</t>
  </si>
  <si>
    <t>유닉스참주방</t>
  </si>
  <si>
    <t>김기호</t>
  </si>
  <si>
    <t>전북 익산시 오산면 무왕로2길 321-32</t>
  </si>
  <si>
    <t>싱크대,가구</t>
  </si>
  <si>
    <t>saesang1004@hanmail.net</t>
  </si>
  <si>
    <t>웨이브하우스</t>
  </si>
  <si>
    <t>신두성</t>
  </si>
  <si>
    <t>전북 완주군 구이면 덕천전원길 2</t>
  </si>
  <si>
    <t>entjd0513@naver.com</t>
  </si>
  <si>
    <t>원창종합건재철물</t>
  </si>
  <si>
    <t>임혁</t>
  </si>
  <si>
    <t>전북 김제시 만경읍 만경리 523</t>
  </si>
  <si>
    <t>철물/목재류</t>
  </si>
  <si>
    <t>hyuke277@hanmail.net</t>
  </si>
  <si>
    <t>원광종합철물공구</t>
  </si>
  <si>
    <t>전라북도 익산시 마한로 51,4동 ,1.2층</t>
  </si>
  <si>
    <t>철물,금속파트너 및 수공구 도매업</t>
  </si>
  <si>
    <t>원광제약(주)</t>
  </si>
  <si>
    <t>최경수</t>
  </si>
  <si>
    <t>전북 익산시 춘포면 서암로11길 165</t>
  </si>
  <si>
    <t>한약</t>
  </si>
  <si>
    <t>won3090a@bill36524.com</t>
  </si>
  <si>
    <t>(유)자연건축자재</t>
  </si>
  <si>
    <t>최영풍</t>
  </si>
  <si>
    <t>전라북도 군산시 구암3.1로 244-1(구암동, 창대합판)</t>
  </si>
  <si>
    <t>도소매`</t>
  </si>
  <si>
    <t>목재,건축자재</t>
  </si>
  <si>
    <t>cd6416@daum.net</t>
  </si>
  <si>
    <t>(유)건국조경건설</t>
  </si>
  <si>
    <t>윤현영</t>
  </si>
  <si>
    <t>전북 익산시 부송1로1길 9-1, 2층 201호(부송동)</t>
  </si>
  <si>
    <t>cjland06@naver.com</t>
  </si>
  <si>
    <t>원광제약 제2공장</t>
  </si>
  <si>
    <t>전라북도 익산시 삼기면 미륵사지로 795-20</t>
  </si>
  <si>
    <t>제조, 도소매</t>
  </si>
  <si>
    <t>한약,한약재</t>
  </si>
  <si>
    <t>원광보건대학교</t>
  </si>
  <si>
    <t>백준흠</t>
  </si>
  <si>
    <t>전북 익산시 익산대로 514(신용동, 원광보건대학)</t>
  </si>
  <si>
    <t>부동산업,서비스,운수 및 창고업</t>
  </si>
  <si>
    <t>점포임대,출판업,주차장영업업</t>
  </si>
  <si>
    <t>yanggily@wu.ac.kr</t>
  </si>
  <si>
    <t>원건설공구</t>
  </si>
  <si>
    <t>서임현</t>
  </si>
  <si>
    <t>전북 익산시 황등면 도선길 28</t>
  </si>
  <si>
    <t>일반안전철물</t>
  </si>
  <si>
    <t>우창철물</t>
  </si>
  <si>
    <t>배영욱</t>
  </si>
  <si>
    <t>전읍시 신태인읍 신태인리 132-78</t>
  </si>
  <si>
    <t>qoduddhr0101@daum.net</t>
  </si>
  <si>
    <t>우진MRO</t>
  </si>
  <si>
    <t>김현희</t>
  </si>
  <si>
    <t>서울특별시 중랑구 면옥로55길 58(면옥동)</t>
  </si>
  <si>
    <t>건축자재/청소용품</t>
  </si>
  <si>
    <t>woojin@woojinmro.com</t>
  </si>
  <si>
    <t>우정종합공사</t>
  </si>
  <si>
    <t>유철희</t>
  </si>
  <si>
    <t>경기도 평택시 송탄로 189(서정동)</t>
  </si>
  <si>
    <t>간판/인테리어</t>
  </si>
  <si>
    <t>chuol20002000@hanmail.net</t>
  </si>
  <si>
    <t>우신산업(주)</t>
  </si>
  <si>
    <t>국중하</t>
  </si>
  <si>
    <t>전북 완주군 봉동읍 완주산단4로 107</t>
  </si>
  <si>
    <t>자동차부품/기계설비</t>
  </si>
  <si>
    <t>zaraforce@naver.com</t>
  </si>
  <si>
    <t>우신</t>
  </si>
  <si>
    <t>김미영</t>
  </si>
  <si>
    <t>익산시 황등면 용산리 622</t>
  </si>
  <si>
    <t>my1607000@naver.com</t>
  </si>
  <si>
    <t>(유)윈스틸</t>
  </si>
  <si>
    <t>차영란</t>
  </si>
  <si>
    <t>전북특별자치도 완주군 이서면 콩쥐팥쥐로 1296-66</t>
  </si>
  <si>
    <t>철근,형강</t>
  </si>
  <si>
    <t>winstcom@hanmail.net</t>
  </si>
  <si>
    <t>우성인테리어</t>
  </si>
  <si>
    <t>최명심</t>
  </si>
  <si>
    <t>전북 전주시 완산구 서신천변15길 17, 1층</t>
  </si>
  <si>
    <t>우리건축사사무소</t>
  </si>
  <si>
    <t>황금정</t>
  </si>
  <si>
    <t>전북 익산시 남중동 75-3</t>
  </si>
  <si>
    <t>우근테크</t>
  </si>
  <si>
    <t>채무근</t>
  </si>
  <si>
    <t>광주광역시 북구 양산택지로33번길 25-8</t>
  </si>
  <si>
    <t>실내건축</t>
  </si>
  <si>
    <t>chejong74@hanmail.net</t>
  </si>
  <si>
    <t>용채산업</t>
  </si>
  <si>
    <t>조영숙 외 1명</t>
  </si>
  <si>
    <t>전북 군산시 서수면 서리로 253-9</t>
  </si>
  <si>
    <t>샷시</t>
  </si>
  <si>
    <t>yc6272@hanmail.net</t>
  </si>
  <si>
    <t>용진</t>
  </si>
  <si>
    <t>권진호</t>
  </si>
  <si>
    <t>전북 전주시 덕진구 틀못3길 16, 105동 1202호(장동, 전주혁신중흥에스클래스)</t>
  </si>
  <si>
    <t>건설장비</t>
  </si>
  <si>
    <t>jipulaki@naver.com</t>
  </si>
  <si>
    <t>용성산업사</t>
  </si>
  <si>
    <t>김옥순</t>
  </si>
  <si>
    <t>전라북도 익산시 여산면 가람로 529-145</t>
  </si>
  <si>
    <t>제조,부동산</t>
  </si>
  <si>
    <t>성형가공석재및석재품</t>
  </si>
  <si>
    <t>ybc0913@naver.com</t>
  </si>
  <si>
    <t>용산초등학교</t>
  </si>
  <si>
    <t>이연용</t>
  </si>
  <si>
    <t>전라북도 익산시 황등면 용산로 193</t>
  </si>
  <si>
    <t>yongsane@jbedu.kr</t>
  </si>
  <si>
    <t>옥산종합건설(주)</t>
  </si>
  <si>
    <t>채정은</t>
  </si>
  <si>
    <t>전라북도 전주시 완산구 용산마을길 39, 1층(삼천동 2가)</t>
  </si>
  <si>
    <t>건축공사,시설물유지관리업</t>
  </si>
  <si>
    <t>oksan1052@daum.net</t>
  </si>
  <si>
    <t>옥구철물공구상사</t>
  </si>
  <si>
    <t>정현배</t>
  </si>
  <si>
    <t>전북 군산시 대야면 산월리 389-21</t>
  </si>
  <si>
    <t>철물/안전용품</t>
  </si>
  <si>
    <t>rhwkd220@nate.com</t>
  </si>
  <si>
    <t>(유)온빛이앤지</t>
  </si>
  <si>
    <t>양예원</t>
  </si>
  <si>
    <t>전라북도 익산시 인북로48길 31(영등동)</t>
  </si>
  <si>
    <t>경미한공사,건축자재</t>
  </si>
  <si>
    <t>tove365@nate.com</t>
  </si>
  <si>
    <t>오성철물</t>
  </si>
  <si>
    <t>이양이</t>
  </si>
  <si>
    <t>전북 부안군 부안읍 오리정로 111</t>
  </si>
  <si>
    <t>오성공구</t>
  </si>
  <si>
    <t>이정만</t>
  </si>
  <si>
    <t>전라북도 익산시 부송로8길 2(부송동)</t>
  </si>
  <si>
    <t>철물/건재/공구/안전용품</t>
  </si>
  <si>
    <t>osungtool@gmail.com</t>
  </si>
  <si>
    <t>오산농협협동조합</t>
  </si>
  <si>
    <t>강상원</t>
  </si>
  <si>
    <t>전북 익산시 오산면 오산로19</t>
  </si>
  <si>
    <t>금융업</t>
  </si>
  <si>
    <t>농협/미곡도정업</t>
  </si>
  <si>
    <t>khso9599@naver.com</t>
  </si>
  <si>
    <t>오렌지철물건재</t>
  </si>
  <si>
    <t>양용애</t>
  </si>
  <si>
    <t>전주시 완산구 삼천동 3가 3-14</t>
  </si>
  <si>
    <t>도*소매</t>
  </si>
  <si>
    <t>철물/건재</t>
  </si>
  <si>
    <t>im794u@hanmail.net</t>
  </si>
  <si>
    <t>예다지인테리어</t>
  </si>
  <si>
    <t>김이식</t>
  </si>
  <si>
    <t>전북 김제시 금구면 오봉1길 26</t>
  </si>
  <si>
    <t>인테리어공사</t>
  </si>
  <si>
    <t>영필드</t>
  </si>
  <si>
    <t>전라북도김제시백구면번영로 2518-7</t>
  </si>
  <si>
    <t>비주거용</t>
  </si>
  <si>
    <t>영진철물</t>
  </si>
  <si>
    <t>정영창</t>
  </si>
  <si>
    <t>익산시 동산동 382</t>
  </si>
  <si>
    <t>jyc88@hanmail.net</t>
  </si>
  <si>
    <t>(유)엔에스종합건설</t>
  </si>
  <si>
    <t>심승윤</t>
  </si>
  <si>
    <t>전북 완주군 이서면 안전로 141,501호(기연빌딩)</t>
  </si>
  <si>
    <t>jw210114@hanmail.net</t>
  </si>
  <si>
    <t>영등디씨</t>
  </si>
  <si>
    <t>박남호</t>
  </si>
  <si>
    <t>익산시 고봉로 30길72</t>
  </si>
  <si>
    <t>수퍼마켓/담배</t>
  </si>
  <si>
    <t>yaniss78@naver.com</t>
  </si>
  <si>
    <t>연풍바이오</t>
  </si>
  <si>
    <t>황성화</t>
  </si>
  <si>
    <t>전북 김제시 금산면 원평로43</t>
  </si>
  <si>
    <t>친환경보조제품</t>
  </si>
  <si>
    <t>연택산업</t>
  </si>
  <si>
    <t>김나현</t>
  </si>
  <si>
    <t>전북 전주시 덕진구 안덕원3길10, 1층(우아동3가)</t>
  </si>
  <si>
    <t>문구,잡화</t>
  </si>
  <si>
    <t>nahyeon8780@hanmail.net</t>
  </si>
  <si>
    <t>연무철물</t>
  </si>
  <si>
    <t>박성래</t>
  </si>
  <si>
    <t>충남  논산시 연무읍 안심리 76-118</t>
  </si>
  <si>
    <t>철물.안전용품</t>
  </si>
  <si>
    <t>psr7745@naver.com</t>
  </si>
  <si>
    <t>역전철물</t>
  </si>
  <si>
    <t>송기형</t>
  </si>
  <si>
    <t>익산시 마동 305-5</t>
  </si>
  <si>
    <t>가정용용기</t>
  </si>
  <si>
    <t>ssong680@hanmail.net</t>
  </si>
  <si>
    <t>엔에스상사</t>
  </si>
  <si>
    <t>서종성</t>
  </si>
  <si>
    <t>전북 익산시 금마면 금마길 20</t>
  </si>
  <si>
    <t>소매/부동산</t>
  </si>
  <si>
    <t>공구,철물/조경자재/임대업</t>
  </si>
  <si>
    <t>fostalns@naver.com</t>
  </si>
  <si>
    <t>엔바int</t>
  </si>
  <si>
    <t>박현정</t>
  </si>
  <si>
    <t>전라북도 익산시 인북로 13길 27-3,남중동</t>
  </si>
  <si>
    <t>도매,도소매,소매업</t>
  </si>
  <si>
    <t>무역, 안전용품</t>
  </si>
  <si>
    <t>(유)에이치에스토건</t>
  </si>
  <si>
    <t>방지돈</t>
  </si>
  <si>
    <t>전라북도 전주시 덕진구 팽나무6길 5, 2층</t>
  </si>
  <si>
    <t>토공사업</t>
  </si>
  <si>
    <t>hstogeon@naver.com</t>
  </si>
  <si>
    <t>에코앵글 철물</t>
  </si>
  <si>
    <t>전석철</t>
  </si>
  <si>
    <t>전라북도 전주시 덕진구 과학로 33(송천동2가)</t>
  </si>
  <si>
    <t>도매 및 소매</t>
  </si>
  <si>
    <t>가정용가구 도매,비전기식 주방용품 등</t>
  </si>
  <si>
    <t>eco8126@naver.com</t>
  </si>
  <si>
    <t>에이팀</t>
  </si>
  <si>
    <t>배진욱</t>
  </si>
  <si>
    <t>광주광역시 북구 하남대로 625,2층 201호</t>
  </si>
  <si>
    <t>실내인테리어</t>
  </si>
  <si>
    <t>bae6751@naver.com</t>
  </si>
  <si>
    <t>에이치엠</t>
  </si>
  <si>
    <t>전라북도 군산시 미성로 280</t>
  </si>
  <si>
    <t>도매,소매업</t>
  </si>
  <si>
    <t>일반철물,프레타이,건축자재</t>
  </si>
  <si>
    <t>dpdlcldpa418@naver.com</t>
  </si>
  <si>
    <t>에이스논슬립</t>
  </si>
  <si>
    <t>대구광역시 북구 구암로65ㄱ;ㄹ 9</t>
  </si>
  <si>
    <t>미끄럼방지시설</t>
  </si>
  <si>
    <t>ks1003ms@hanmail.net</t>
  </si>
  <si>
    <t>에스엠테크</t>
  </si>
  <si>
    <t>성미현</t>
  </si>
  <si>
    <t>전라북도 익산시 춘포면 천서리 311-1</t>
  </si>
  <si>
    <t>도/소매, 제조</t>
  </si>
  <si>
    <t>특수윤활유, 산업용기자재</t>
  </si>
  <si>
    <t>smtech5187@hanmail.net</t>
  </si>
  <si>
    <t>에스알공구철물건재</t>
  </si>
  <si>
    <t>이동욱</t>
  </si>
  <si>
    <t>전북 군산시 공단대로 636(소룡동)</t>
  </si>
  <si>
    <t>철물,건축자재</t>
  </si>
  <si>
    <t>mateuslee@hanmail.net</t>
  </si>
  <si>
    <t>에스디자인</t>
  </si>
  <si>
    <t>김수진</t>
  </si>
  <si>
    <t>전북 전주시 완산구 효동3길 33, 5동 1505호</t>
  </si>
  <si>
    <t>yjyk1027@naver.com</t>
  </si>
  <si>
    <t>에디슨시티 디자인 웍스</t>
  </si>
  <si>
    <t>한국인</t>
  </si>
  <si>
    <t>전북 전주시 완산구 메너머2길 31, 1층(중화산동2가)</t>
  </si>
  <si>
    <t>디자인</t>
  </si>
  <si>
    <t>edisoncity@daum.net</t>
  </si>
  <si>
    <t>어양주공7단지입주자대표회의</t>
  </si>
  <si>
    <t>오두섭</t>
  </si>
  <si>
    <t>전라북도 익산시 하나로10길 25(어양동, 어양주공7단지)</t>
  </si>
  <si>
    <t>재활용품</t>
  </si>
  <si>
    <t>giseon2790@daum.net</t>
  </si>
  <si>
    <t>(유)에스에이치산업</t>
  </si>
  <si>
    <t>정명식</t>
  </si>
  <si>
    <t>광주광역시 광산구 풍명철길로 190-13, A동(신기동)</t>
  </si>
  <si>
    <t>sh9310sh@naver.com</t>
  </si>
  <si>
    <t>앤플레이스주식회사</t>
  </si>
  <si>
    <t>김형중,송영선</t>
  </si>
  <si>
    <t>서울특별시 송파구 법원로 127,10층 1012호 (문정동,문정대명벨리온)</t>
  </si>
  <si>
    <t>건설업,서비스</t>
  </si>
  <si>
    <t>인테리어(경미한공사),인테리어 디자인업</t>
  </si>
  <si>
    <t>nplace2780@wehago.com</t>
  </si>
  <si>
    <t>안전건축</t>
  </si>
  <si>
    <t>전북 익산시 익산대로 22길 6,1층</t>
  </si>
  <si>
    <t>anjeon1011@hanmail.net</t>
  </si>
  <si>
    <t>아트글라스</t>
  </si>
  <si>
    <t>이동진</t>
  </si>
  <si>
    <t>전북 김제시 용지면 반교2길 47-13</t>
  </si>
  <si>
    <t>ldj5124@daum.net</t>
  </si>
  <si>
    <t>아지산업</t>
  </si>
  <si>
    <t>김승현</t>
  </si>
  <si>
    <t>전북 완주군 이서면 이서로 90-12, 204호</t>
  </si>
  <si>
    <t>유리/창호공사</t>
  </si>
  <si>
    <t>아이티에스 주식회사</t>
  </si>
  <si>
    <t>서진</t>
  </si>
  <si>
    <t>강원도 고성군 간성읍 간성로 63-1,3층(간성유리)</t>
  </si>
  <si>
    <t>psb8543@naver.com</t>
  </si>
  <si>
    <t>(유)아태건설</t>
  </si>
  <si>
    <t>조인구</t>
  </si>
  <si>
    <t>전북 익산시 서동로5길 49(마동)</t>
  </si>
  <si>
    <t>철근/경미한공사</t>
  </si>
  <si>
    <t>jig77600@hanmail.net</t>
  </si>
  <si>
    <t>아이엔코리아</t>
  </si>
  <si>
    <t>임대한</t>
  </si>
  <si>
    <t>전북 익산시 동산동1007-3</t>
  </si>
  <si>
    <t>산업용품</t>
  </si>
  <si>
    <t>inkoreacoo@naver.com</t>
  </si>
  <si>
    <t>아도철물</t>
  </si>
  <si>
    <t>김영숙</t>
  </si>
  <si>
    <t>익산시 마동 23-5</t>
  </si>
  <si>
    <t>썬라이즈</t>
  </si>
  <si>
    <t>홍태성</t>
  </si>
  <si>
    <t xml:space="preserve">전북인산시 고봉로30길 6 </t>
  </si>
  <si>
    <t>문구/팬시</t>
  </si>
  <si>
    <t>(유)신흥공영</t>
  </si>
  <si>
    <t>박순영</t>
  </si>
  <si>
    <t>전라북도 익산시 함열읍 함열 10길 15</t>
  </si>
  <si>
    <t>sh1568@hanmail.net</t>
  </si>
  <si>
    <t>신화</t>
  </si>
  <si>
    <t>김기열</t>
  </si>
  <si>
    <t>군산시 문화동 824-54 8/5</t>
  </si>
  <si>
    <t>10162620985@hanmail.net</t>
  </si>
  <si>
    <t>신포우리만두황등점</t>
  </si>
  <si>
    <t>고은미</t>
  </si>
  <si>
    <t>전라북도익산시 황등면 황등로123</t>
  </si>
  <si>
    <t>음식점</t>
  </si>
  <si>
    <t>김밥 및 기타,간이 음식점</t>
  </si>
  <si>
    <t>신진종합목재</t>
  </si>
  <si>
    <t>이상로</t>
  </si>
  <si>
    <t>전라북도 익산시 함라면 황등서로 753</t>
  </si>
  <si>
    <t>일반제재</t>
  </si>
  <si>
    <t>sinjim3285@hanmail.net</t>
  </si>
  <si>
    <t>신일기공사</t>
  </si>
  <si>
    <t>강효종</t>
  </si>
  <si>
    <t>부산광역시 사상구 괘법동 578, 산업용품유통상가 12-135</t>
  </si>
  <si>
    <t>공구/철물</t>
  </si>
  <si>
    <t>se0100@hanmail.net</t>
  </si>
  <si>
    <t>신일기계설비</t>
  </si>
  <si>
    <t>신일순외1명</t>
  </si>
  <si>
    <t>전북 익산시 배산로 193-16(모현동2가)</t>
  </si>
  <si>
    <t>8541270@naver.com</t>
  </si>
  <si>
    <t>신일건설산업</t>
  </si>
  <si>
    <t>박성수</t>
  </si>
  <si>
    <t>전북 완주군 고산읍 읍내7길31,1층</t>
  </si>
  <si>
    <t>토공사.집수정공사</t>
  </si>
  <si>
    <t>meikes@hanmail.net</t>
  </si>
  <si>
    <t>(유)신화종합관리</t>
  </si>
  <si>
    <t>이승례</t>
  </si>
  <si>
    <t>전라북도 전주시 완산구 전룡4길 6-3(서신동)</t>
  </si>
  <si>
    <t>부동산</t>
  </si>
  <si>
    <t>주택임대관리업</t>
  </si>
  <si>
    <t>jsapt3@daum.net</t>
  </si>
  <si>
    <t>신우산업</t>
  </si>
  <si>
    <t>이용현</t>
  </si>
  <si>
    <t>전북 전주시 덕진구 청복길 363-15(성덕동)</t>
  </si>
  <si>
    <t>포장자재,철물</t>
  </si>
  <si>
    <t>dyd7411@naver.com</t>
  </si>
  <si>
    <t>신역건재철물</t>
  </si>
  <si>
    <t>백문기</t>
  </si>
  <si>
    <t>전주시 덕진구 우아동 744-172</t>
  </si>
  <si>
    <t>baekmk0380@nate.com</t>
  </si>
  <si>
    <t>신양건설 주식회사</t>
  </si>
  <si>
    <t>최광식</t>
  </si>
  <si>
    <t>전북 정읍시 수성로 84,2호(수성동)</t>
  </si>
  <si>
    <t>sook258036@daum.net</t>
  </si>
  <si>
    <t>신성테크</t>
  </si>
  <si>
    <t>차동훈</t>
  </si>
  <si>
    <t>전북 전주시 덕진구 전미중앙로 74(전미동2가)</t>
  </si>
  <si>
    <t>기계,공구</t>
  </si>
  <si>
    <t>shinsung09@nate.com</t>
  </si>
  <si>
    <t>신동아건설</t>
  </si>
  <si>
    <t>김용선,우수영</t>
  </si>
  <si>
    <t>경기도 용인시 기흥구 죽전로 7,9층 901호</t>
  </si>
  <si>
    <t>일반토목공사,에너지 설비설치업</t>
  </si>
  <si>
    <t>kwonga3@shindongah.co.kr</t>
  </si>
  <si>
    <t>신광전기철물</t>
  </si>
  <si>
    <t>김순례</t>
  </si>
  <si>
    <t>익산시모현동1가243-7</t>
  </si>
  <si>
    <t>전기철물</t>
  </si>
  <si>
    <t>승호산업기술</t>
  </si>
  <si>
    <t>유세환</t>
  </si>
  <si>
    <t>전라북도 전주시 완산구 백제대로 109,1층</t>
  </si>
  <si>
    <t>산업시설 유지보수</t>
  </si>
  <si>
    <t>tpghks0930@daum.net</t>
  </si>
  <si>
    <t>스틸코리아 주식회사</t>
  </si>
  <si>
    <t>오경민</t>
  </si>
  <si>
    <t>전북 익산시 평동로 618,117(인화동 1가)</t>
  </si>
  <si>
    <t>철강,철물</t>
  </si>
  <si>
    <t>4028159180@bestbill.co.kr</t>
  </si>
  <si>
    <t>스마트종합안전</t>
  </si>
  <si>
    <t>최민정</t>
  </si>
  <si>
    <t>전북 익산시 서동로 511(용제동)</t>
  </si>
  <si>
    <t>공구/농자재</t>
  </si>
  <si>
    <t>smt1018@naver.com</t>
  </si>
  <si>
    <t>수인하우징</t>
  </si>
  <si>
    <t>이진숙</t>
  </si>
  <si>
    <t>전북 전주시 완산구 유연로 257, 1층(서신동)</t>
  </si>
  <si>
    <t>wood5500@hanmail.net</t>
  </si>
  <si>
    <t>수원철물.건재.설비</t>
  </si>
  <si>
    <t>강흥석</t>
  </si>
  <si>
    <t>충청남도 논산시 강경읍 옥녀봉로19번길 30-10</t>
  </si>
  <si>
    <t>건축자재/안전용품</t>
  </si>
  <si>
    <t>tgr0912@naver.com</t>
  </si>
  <si>
    <t>수리들어간다쭈쭈쭈</t>
  </si>
  <si>
    <t>조남주</t>
  </si>
  <si>
    <t>전라북도 익산시 선화로 41, 103동 2002호</t>
  </si>
  <si>
    <t>ssaechime@naver.com</t>
  </si>
  <si>
    <t>소망철물</t>
  </si>
  <si>
    <t>곽진주</t>
  </si>
  <si>
    <t>전북 익산시 함열읍 함열중앙로 25</t>
  </si>
  <si>
    <t>철물일체</t>
  </si>
  <si>
    <t>(유)신익산건설</t>
  </si>
  <si>
    <t>정원석</t>
  </si>
  <si>
    <t>전라북도익산시춘포면궁성로120,108동202호</t>
  </si>
  <si>
    <t>goryeo-apt@naver.com</t>
  </si>
  <si>
    <t>(유)강산조경</t>
  </si>
  <si>
    <t>최미숙</t>
  </si>
  <si>
    <t>전라북도 임실군 덕치면 회문3길 3</t>
  </si>
  <si>
    <t>석공사업,조경수,조경식재</t>
  </si>
  <si>
    <t>rkdtks2011@naver.com</t>
  </si>
  <si>
    <t>세진종합공사</t>
  </si>
  <si>
    <t>곽영애</t>
  </si>
  <si>
    <t>전라북도 익산시 고봉로18길 14(영등동, 세진샷시종합공사)</t>
  </si>
  <si>
    <t>you92838@daum.net</t>
  </si>
  <si>
    <t>세진</t>
  </si>
  <si>
    <t>김진영</t>
  </si>
  <si>
    <t>전라북도 익산시 인북로 264 남중동</t>
  </si>
  <si>
    <t>도,소매</t>
  </si>
  <si>
    <t>가구,경미한공사</t>
  </si>
  <si>
    <t>세윤 건축 인테리어</t>
  </si>
  <si>
    <t>정윤수</t>
  </si>
  <si>
    <t>전북특별자치도 익산시 목천로7길 7-1(인화동1가)</t>
  </si>
  <si>
    <t>세움토탈솔루션</t>
  </si>
  <si>
    <t>김용태</t>
  </si>
  <si>
    <t>전라북도 익산시고봉로 18길76-1</t>
  </si>
  <si>
    <t>케미칼.전자부품</t>
  </si>
  <si>
    <t>ytk1218@naver.com</t>
  </si>
  <si>
    <t>세기공업상사</t>
  </si>
  <si>
    <t>송기만</t>
  </si>
  <si>
    <t>전북 익산시 익산대로8길 5-11</t>
  </si>
  <si>
    <t>어도구, 기타</t>
  </si>
  <si>
    <t>skm1408@hanmail.net</t>
  </si>
  <si>
    <t>세건축설비전기철물점</t>
  </si>
  <si>
    <t>박세근</t>
  </si>
  <si>
    <t>임실군 오수면 오수리 350-10</t>
  </si>
  <si>
    <t>철물,공구,시공</t>
  </si>
  <si>
    <t>성진토건 주식회사</t>
  </si>
  <si>
    <t>조영민</t>
  </si>
  <si>
    <t>경기도 화성시 동탄첨단산업1로 51-9, 1404호</t>
  </si>
  <si>
    <t>sungjin-13486@naver.com</t>
  </si>
  <si>
    <t>성웅피앤씨</t>
  </si>
  <si>
    <t>박노원,최성환</t>
  </si>
  <si>
    <t>서울특별시 성동구 아차산로17길 49, 1703호(성수동2가, 생각공장)</t>
  </si>
  <si>
    <t>지반조성,포장공사</t>
  </si>
  <si>
    <t>smbear1003@gmail.com</t>
  </si>
  <si>
    <t>(유)신영건설</t>
  </si>
  <si>
    <t>배훈</t>
  </si>
  <si>
    <t>전북 익산시 배산로 193-24,4층(모현동2가, 상가)</t>
  </si>
  <si>
    <t>bh2684@hanmail.net</t>
  </si>
  <si>
    <t>성보건설주식회사</t>
  </si>
  <si>
    <t>박영봉</t>
  </si>
  <si>
    <t>전라북도 전주시 완산구 홍산로 276,1004호</t>
  </si>
  <si>
    <t>포장공사업</t>
  </si>
  <si>
    <t>sungbo2018@daum.net</t>
  </si>
  <si>
    <t>성민건설</t>
  </si>
  <si>
    <t>김종호</t>
  </si>
  <si>
    <t>전라북도 익산시 동서로 370,4층 404호</t>
  </si>
  <si>
    <t>상하수도설비공사업</t>
  </si>
  <si>
    <t>san8424@naver.com</t>
  </si>
  <si>
    <t>성림건재올마트</t>
  </si>
  <si>
    <t>이성림</t>
  </si>
  <si>
    <t>전북 전주시 완산구 효자동3가 1679-1</t>
  </si>
  <si>
    <t>sengim2001@hanmail.net</t>
  </si>
  <si>
    <t>성덕종합유통</t>
  </si>
  <si>
    <t>장성덕</t>
  </si>
  <si>
    <t>전라북도 군산시 옥산면 북내길 2-3</t>
  </si>
  <si>
    <t>철물, 공구, 청소용품</t>
  </si>
  <si>
    <t>dididm6@naver.com</t>
  </si>
  <si>
    <t>성광산업</t>
  </si>
  <si>
    <t>이은경</t>
  </si>
  <si>
    <t>전라북도 익산시 석암로13길 101-6(팔봉동, (유)성광산업)</t>
  </si>
  <si>
    <t>조경시설물설치공사업,가로등주조경시설물</t>
  </si>
  <si>
    <t>skin0090@hanmail.net</t>
  </si>
  <si>
    <t>(유)시티홈건축</t>
  </si>
  <si>
    <t>김민철</t>
  </si>
  <si>
    <t>전라북도 익산시 고봉로 345(영등동)</t>
  </si>
  <si>
    <t>건축자재,타일,경미한공사</t>
  </si>
  <si>
    <t>cth8960@naver.com</t>
  </si>
  <si>
    <t>선진종합철물</t>
  </si>
  <si>
    <t>전성열</t>
  </si>
  <si>
    <t>전라북도 익산시 평동로3길 34-1(인화동 1가)</t>
  </si>
  <si>
    <t>안전용품, 공구, 철물</t>
  </si>
  <si>
    <t>hgs7179@hanmail.net</t>
  </si>
  <si>
    <t>선진보일러</t>
  </si>
  <si>
    <t>서용선</t>
  </si>
  <si>
    <t>충남 논산시 취암동 1088-6</t>
  </si>
  <si>
    <t>seosk9204@naver.com</t>
  </si>
  <si>
    <t>서해철물</t>
  </si>
  <si>
    <t>김종혁</t>
  </si>
  <si>
    <t>전라북도 익산시 선화로 504</t>
  </si>
  <si>
    <t>shjm5929@naver.com</t>
  </si>
  <si>
    <t>서해안영어조합법인</t>
  </si>
  <si>
    <t>김종환</t>
  </si>
  <si>
    <t>충청남도 서천군 서면 서인로 656-46</t>
  </si>
  <si>
    <t>수산식물 가공 및 저장 처리업</t>
  </si>
  <si>
    <t>seohaean1994@naver.com</t>
  </si>
  <si>
    <t>서천디씨마트</t>
  </si>
  <si>
    <t>김남희</t>
  </si>
  <si>
    <t>충남 서천군 서천읍 사곡로 15</t>
  </si>
  <si>
    <t>가정용품</t>
  </si>
  <si>
    <t>nyen5482@naver.com</t>
  </si>
  <si>
    <t>서원특수건설(주)</t>
  </si>
  <si>
    <t>유종순</t>
  </si>
  <si>
    <t>전북 전주시 완산구 충경로 26-6,5층(중앙동1가,신원빌딩)</t>
  </si>
  <si>
    <t>tjdnjs89111@daum.net</t>
  </si>
  <si>
    <t>서울종합주방</t>
  </si>
  <si>
    <t>장현상</t>
  </si>
  <si>
    <t>전라북도 익산시 동서로 237</t>
  </si>
  <si>
    <t>도소매,소매</t>
  </si>
  <si>
    <t>주방용품,업소용주방기기 및 단체급식</t>
  </si>
  <si>
    <t>서울도기</t>
  </si>
  <si>
    <t>유정육</t>
  </si>
  <si>
    <t>전라북도 익산시 배산로3길 24-7</t>
  </si>
  <si>
    <t>주방용품/생필품</t>
  </si>
  <si>
    <t>yjo2402@hanmail.net</t>
  </si>
  <si>
    <t>서동산업안전(서동IS)</t>
  </si>
  <si>
    <t>김석훈</t>
  </si>
  <si>
    <t>전북 익산시 무왕로32길 26, 106(팔봉동)</t>
  </si>
  <si>
    <t>장갑,안전용품</t>
  </si>
  <si>
    <t>tjrgns2002@gmail.com</t>
  </si>
  <si>
    <t>(유)시온이엔씨</t>
  </si>
  <si>
    <t>이병만</t>
  </si>
  <si>
    <t>대전광역시 중구 보문산로 369번길 121-4,1층 101호</t>
  </si>
  <si>
    <t>전기공사,소방시설공사업</t>
  </si>
  <si>
    <t>sionenc@hanmail.net</t>
  </si>
  <si>
    <t>생활용품면세D/C</t>
  </si>
  <si>
    <t>이정원</t>
  </si>
  <si>
    <t>부안군 부안읍 봉덕리 764</t>
  </si>
  <si>
    <t>생활용품</t>
  </si>
  <si>
    <t>생활용품(임실)DC마트</t>
  </si>
  <si>
    <t>한금숙</t>
  </si>
  <si>
    <t>전라북도임실군 임실읍 봉왕10길 53,1층</t>
  </si>
  <si>
    <t>식품-잡퐈,담배</t>
  </si>
  <si>
    <t>twormanter@naver.com</t>
  </si>
  <si>
    <t>샘물전기</t>
  </si>
  <si>
    <t>고정애</t>
  </si>
  <si>
    <t>전북 익산시 서동로19길 6 (마동)</t>
  </si>
  <si>
    <t>kyu9003@hanmail.net</t>
  </si>
  <si>
    <t>새한건설(주)</t>
  </si>
  <si>
    <t>이근재,김현간</t>
  </si>
  <si>
    <t>전북 전주시 덕진구 오공로 132, 401호(만성동)</t>
  </si>
  <si>
    <t>saehan3211@hometax.go.kr</t>
  </si>
  <si>
    <t>새천년농자재마트</t>
  </si>
  <si>
    <t>김선우</t>
  </si>
  <si>
    <t>전라북도 익산시 함열읍 와리1길 27</t>
  </si>
  <si>
    <t>농자재,비료,종자</t>
  </si>
  <si>
    <t>newfarm@naver.com</t>
  </si>
  <si>
    <t>새시대에너지</t>
  </si>
  <si>
    <t>윤영지</t>
  </si>
  <si>
    <t>새만상사</t>
  </si>
  <si>
    <t>전북 익산시 평동로 620-1(인화동1가)</t>
  </si>
  <si>
    <t>실리콘,접착제</t>
  </si>
  <si>
    <t>새롬금속</t>
  </si>
  <si>
    <t>장명진</t>
  </si>
  <si>
    <t>전라북도 완주군 봉동읍 낙평신월 4길 22</t>
  </si>
  <si>
    <t>jjking88@naver.com</t>
  </si>
  <si>
    <t>(유)승화종합건설</t>
  </si>
  <si>
    <t>라형연</t>
  </si>
  <si>
    <t>전북 고창군 고창읍 교촌5길 20-7, 1층</t>
  </si>
  <si>
    <t>croba89@naver.com</t>
  </si>
  <si>
    <t>삼일농자재</t>
  </si>
  <si>
    <t>오재홍</t>
  </si>
  <si>
    <t>전북 익산시 삼기면 간촌2길 158-9</t>
  </si>
  <si>
    <t>농자재,생활잡화</t>
  </si>
  <si>
    <t>삼원상사</t>
  </si>
  <si>
    <t>이아람 외.</t>
  </si>
  <si>
    <t>익산시 고봉로18길11.1층</t>
  </si>
  <si>
    <t>볼트/잡철물</t>
  </si>
  <si>
    <t>3wonss@daum.net</t>
  </si>
  <si>
    <t>삼연기술</t>
  </si>
  <si>
    <t>권윤희</t>
  </si>
  <si>
    <t>경기도 화성시 서신면 제부로654번길 46-12</t>
  </si>
  <si>
    <t>제조/도매</t>
  </si>
  <si>
    <t>히트파이프</t>
  </si>
  <si>
    <t>3natures@naver.com</t>
  </si>
  <si>
    <t>삼성종합안전상사</t>
  </si>
  <si>
    <t>이현주</t>
  </si>
  <si>
    <t>전북 익산시 서동로42길 29 (용제동)</t>
  </si>
  <si>
    <t>8315501@naver.com</t>
  </si>
  <si>
    <t>삼례대명철물</t>
  </si>
  <si>
    <t>강민도</t>
  </si>
  <si>
    <t>완주군 삼례읍 삼례리 1010-12</t>
  </si>
  <si>
    <t>kangg1290@naver.com</t>
  </si>
  <si>
    <t>(유)세솔건설</t>
  </si>
  <si>
    <t>임광수</t>
  </si>
  <si>
    <t>전북 익산시 선화로 259, 5층 501호(남중동, 제일빌딩)</t>
  </si>
  <si>
    <t>sesol-cons@hanmail.net</t>
  </si>
  <si>
    <t>삼기철물</t>
  </si>
  <si>
    <t>이순복</t>
  </si>
  <si>
    <t>익선시 삼기면 간촌리 89-13</t>
  </si>
  <si>
    <t>dltnsqhr5898@hanmail.net</t>
  </si>
  <si>
    <t>삼건사</t>
  </si>
  <si>
    <t>정호경</t>
  </si>
  <si>
    <t>경상북도 포항시 북구 장량로75번길 35-12</t>
  </si>
  <si>
    <t>토건,포장공사업</t>
  </si>
  <si>
    <t>삼강상사</t>
  </si>
  <si>
    <t>장영숙</t>
  </si>
  <si>
    <t>전북 익산시 신흥동 735-2</t>
  </si>
  <si>
    <t>안전용품외.</t>
  </si>
  <si>
    <t>sksafety@naver.com</t>
  </si>
  <si>
    <t>사절리닭집</t>
  </si>
  <si>
    <t>강명숙</t>
  </si>
  <si>
    <t>전북 익산시 오산면 항쟁로 191-1</t>
  </si>
  <si>
    <t>비치전기철물</t>
  </si>
  <si>
    <t>김향곤</t>
  </si>
  <si>
    <t>전북 익산시 고봉로18길 61, 2동 1층(영등동)</t>
  </si>
  <si>
    <t>전기,철물</t>
  </si>
  <si>
    <t>북익산농업협동조합</t>
  </si>
  <si>
    <t>장복식</t>
  </si>
  <si>
    <t>전북 익산시 함열읍 함열5길 46</t>
  </si>
  <si>
    <t>금융/도소매</t>
  </si>
  <si>
    <t>농협/식품/잡화</t>
  </si>
  <si>
    <t>nh531050-1@nonghyup.com</t>
  </si>
  <si>
    <t>부송DC마트</t>
  </si>
  <si>
    <t>조승배</t>
  </si>
  <si>
    <t>전북 익산시 부송1로 72</t>
  </si>
  <si>
    <t>식품</t>
  </si>
  <si>
    <t>dcmart8944@naver.com</t>
  </si>
  <si>
    <t>부성농자재마트</t>
  </si>
  <si>
    <t>전라북도 익산시 왕궁면 쌍제1길 45</t>
  </si>
  <si>
    <t>농자재,농약,비료</t>
  </si>
  <si>
    <t>dhwoghd7445@hanmail.net</t>
  </si>
  <si>
    <t>김연님</t>
  </si>
  <si>
    <t>전북 전주시 완산구 산월2길 12(중화산동2가)</t>
  </si>
  <si>
    <t>점포(자기땅)</t>
  </si>
  <si>
    <t>turf2002@naver.com</t>
  </si>
  <si>
    <t>부국농자재</t>
  </si>
  <si>
    <t>최요승</t>
  </si>
  <si>
    <t>전북완주군 삼례읍 삼봉로 391</t>
  </si>
  <si>
    <t>철물,농자재 외.</t>
  </si>
  <si>
    <t>chldytmd21616@naver.com</t>
  </si>
  <si>
    <t>(유)성우이앤씨</t>
  </si>
  <si>
    <t>김기원</t>
  </si>
  <si>
    <t>경기도 안산시 단원구 광덕2로 186-5</t>
  </si>
  <si>
    <t>비게구조물해체공사</t>
  </si>
  <si>
    <t>wjswlsgh1349@hanmail.net</t>
  </si>
  <si>
    <t>봄과로라의치유농장</t>
  </si>
  <si>
    <t>오금옥</t>
  </si>
  <si>
    <t>전라북도 익산시 함라면 안정교동길 47</t>
  </si>
  <si>
    <t>소매업,도매업,교육서비스업</t>
  </si>
  <si>
    <t>화훼,조경,농산물재배업,수예용품,원단,전자상거래,소매업</t>
  </si>
  <si>
    <t>보성철물공구</t>
  </si>
  <si>
    <t>진형섭</t>
  </si>
  <si>
    <t>전북 익산시 영등동 755-7</t>
  </si>
  <si>
    <t>bosung4973@naver.com</t>
  </si>
  <si>
    <t>보성건설주식회사</t>
  </si>
  <si>
    <t>박종성</t>
  </si>
  <si>
    <t>전라북도 완산구 홍산로 246, 701-1호</t>
  </si>
  <si>
    <t>dongbo@kseasyum.com</t>
  </si>
  <si>
    <t>보람건축공사</t>
  </si>
  <si>
    <t>백수진</t>
  </si>
  <si>
    <t>전북 익산시 오산면 남전1길 206</t>
  </si>
  <si>
    <t>lbr0035@nate.com</t>
  </si>
  <si>
    <t>보국철물</t>
  </si>
  <si>
    <t>신용운</t>
  </si>
  <si>
    <t>군산시 대명동 181</t>
  </si>
  <si>
    <t>벽산건재건업</t>
  </si>
  <si>
    <t>이용주</t>
  </si>
  <si>
    <t>전라북도 익산시 평동로 584(평화동)</t>
  </si>
  <si>
    <t>건설,도소매</t>
  </si>
  <si>
    <t>공사,건축자재</t>
  </si>
  <si>
    <t>mrl0403@naver.com</t>
  </si>
  <si>
    <t>벽골제철물</t>
  </si>
  <si>
    <t>전옥</t>
  </si>
  <si>
    <t>전북특별자치도 김제시 갈공길 14</t>
  </si>
  <si>
    <t>철물,공구,건설자재</t>
  </si>
  <si>
    <t>1597jolee@naver.com</t>
  </si>
  <si>
    <t>범영포장</t>
  </si>
  <si>
    <t>김근태</t>
  </si>
  <si>
    <t>익산시 평동로 626(인화동1가)</t>
  </si>
  <si>
    <t>포장재료</t>
  </si>
  <si>
    <t>4030761582@bestbill.co.kr</t>
  </si>
  <si>
    <t>범부토건</t>
  </si>
  <si>
    <t>이명구</t>
  </si>
  <si>
    <t>전북 익산시 춘포로 53(금강동)</t>
  </si>
  <si>
    <t>b8551876@hanmail.net</t>
  </si>
  <si>
    <t>버티엠서비스 주식회사</t>
  </si>
  <si>
    <t>박상망, 박규준</t>
  </si>
  <si>
    <t>서울특별시 영등포구 경인로 775, 1동 8층 821호 (문래동3가)</t>
  </si>
  <si>
    <t>조경,소방,기계설비,실내건축</t>
  </si>
  <si>
    <t>khs@btms.co.kr</t>
  </si>
  <si>
    <t>백산철물공구</t>
  </si>
  <si>
    <t>김채은</t>
  </si>
  <si>
    <t>전북특별자치도 군산시 번영로 419</t>
  </si>
  <si>
    <t>철물,공구,안전용품,건자재</t>
  </si>
  <si>
    <t>백마오토바이</t>
  </si>
  <si>
    <t>강진희</t>
  </si>
  <si>
    <t>전북 익산시 함열읍 함열로 76</t>
  </si>
  <si>
    <t>qorak3248@naver.com</t>
  </si>
  <si>
    <t>배산제일오투그란데 입주자대표회의</t>
  </si>
  <si>
    <t>김기영</t>
  </si>
  <si>
    <t>전북 익산시 선화로17, 1층(모현동2가)</t>
  </si>
  <si>
    <t>8425557kss@hanmail.net</t>
  </si>
  <si>
    <t>배경농자재자동화산업</t>
  </si>
  <si>
    <t>김용철</t>
  </si>
  <si>
    <t>전북 익산시 평화동 760-1</t>
  </si>
  <si>
    <t>경미한공사,농업용기계 등</t>
  </si>
  <si>
    <t>kimyce@hanmail.net</t>
  </si>
  <si>
    <t>반도포장재료상사</t>
  </si>
  <si>
    <t>김주명</t>
  </si>
  <si>
    <t>전북 익산 평화133-3</t>
  </si>
  <si>
    <t>bando1985@naver.com</t>
  </si>
  <si>
    <t>반도공구</t>
  </si>
  <si>
    <t>최성환</t>
  </si>
  <si>
    <t>전북 익산시 평화동 145-52</t>
  </si>
  <si>
    <t>철물/수공구</t>
  </si>
  <si>
    <t>bando0985@naver.com</t>
  </si>
  <si>
    <t>바이문디자인</t>
  </si>
  <si>
    <t>문종섭</t>
  </si>
  <si>
    <t>전북 전주시 완산구 황강서원로 34-1</t>
  </si>
  <si>
    <t>jjongmr@naver.com</t>
  </si>
  <si>
    <t>바우이엔씨</t>
  </si>
  <si>
    <t>박지은</t>
  </si>
  <si>
    <t>전라북도 익산시 중앙로 13길 55, 1층 2호</t>
  </si>
  <si>
    <t>(유)선영건설</t>
  </si>
  <si>
    <t>김신</t>
  </si>
  <si>
    <t>전북 전주시 덕진구 숲정이2길 27, 2호(진북동)</t>
  </si>
  <si>
    <t>민경건설 주식회사</t>
  </si>
  <si>
    <t>이병열</t>
  </si>
  <si>
    <t>전북 완주군 이서면 오공로 11-13, 1동 6층 601호(테라스 샵</t>
  </si>
  <si>
    <t>토목,건축</t>
  </si>
  <si>
    <t>manbu2302@hometax.go.kr</t>
  </si>
  <si>
    <t>미주조경 주식회사</t>
  </si>
  <si>
    <t>김순기</t>
  </si>
  <si>
    <t>전북 전주시 덕진구 원장동길 41, 2층(장동)</t>
  </si>
  <si>
    <t>건설/도쇄</t>
  </si>
  <si>
    <t>조경시설물설치공사</t>
  </si>
  <si>
    <t>miju63964@hanmail.net</t>
  </si>
  <si>
    <t>미소조경농장</t>
  </si>
  <si>
    <t>이희천</t>
  </si>
  <si>
    <t>전라북도 익산시 웅포면 강변로 813-27</t>
  </si>
  <si>
    <t>건설/도소매/</t>
  </si>
  <si>
    <t>TSS00452@naver.com</t>
  </si>
  <si>
    <t>미미기업</t>
  </si>
  <si>
    <t>오치근</t>
  </si>
  <si>
    <t>전라북도 군산시 조촌로 116 (조촌동)</t>
  </si>
  <si>
    <t>도소매,제조,건설업,서비스</t>
  </si>
  <si>
    <t>공구,철물,안전용품,페인트</t>
  </si>
  <si>
    <t>mimi3218@naver.com</t>
  </si>
  <si>
    <t>미래프로페셔널</t>
  </si>
  <si>
    <t>김흥식</t>
  </si>
  <si>
    <t>인천광역시 부평구 부흥북로 107번길 30,302</t>
  </si>
  <si>
    <t>전문건설하도급,조립식무대,음향기기,</t>
  </si>
  <si>
    <t>dwac2904@naver.com</t>
  </si>
  <si>
    <t>미다스</t>
  </si>
  <si>
    <t>최윤형</t>
  </si>
  <si>
    <t>전북특별자치도 익산시 부송로 6길 13-9</t>
  </si>
  <si>
    <t>bluesky8262@naver.com</t>
  </si>
  <si>
    <t>문일종합공구철물 유한회사</t>
  </si>
  <si>
    <t>문일기</t>
  </si>
  <si>
    <t>전북 군산시 옥녀로 6-59</t>
  </si>
  <si>
    <t>공구건설자재</t>
  </si>
  <si>
    <t>eksdl123@hanmail.net</t>
  </si>
  <si>
    <t>(유)서광종합건설</t>
  </si>
  <si>
    <t>김운수</t>
  </si>
  <si>
    <t>전라북도 전주시 덕진구 한배미로 33(인후동1가, 부영5차아파트)206호</t>
  </si>
  <si>
    <t>무주농협적삼지점</t>
  </si>
  <si>
    <t>곽동열</t>
  </si>
  <si>
    <t>전라북도 무주군 무주읍 단천로 91(무주농업협동조합)</t>
  </si>
  <si>
    <t>금융 및 보험업</t>
  </si>
  <si>
    <t>국내은행</t>
  </si>
  <si>
    <t>nh505044-1@nonghyup.com</t>
  </si>
  <si>
    <t>무주농협 친환경유통사업단</t>
  </si>
  <si>
    <t>전북 무주군 안성면 중산길 37-13</t>
  </si>
  <si>
    <t>유통판매</t>
  </si>
  <si>
    <t>nh505014-1@nonghyup.com</t>
  </si>
  <si>
    <t>목화종합건재상사</t>
  </si>
  <si>
    <t>황윤식</t>
  </si>
  <si>
    <t>전북 군산시 대야면 지경리 699</t>
  </si>
  <si>
    <t>철물/건축자재</t>
  </si>
  <si>
    <t>목천철물</t>
  </si>
  <si>
    <t>김정혁</t>
  </si>
  <si>
    <t>익산시 목천로5(목천동)</t>
  </si>
  <si>
    <t>모범건축</t>
  </si>
  <si>
    <t>김석모</t>
  </si>
  <si>
    <t>전라북도 익산시 오산면 오산2길 37-6,1층</t>
  </si>
  <si>
    <t>전문건설하도급</t>
  </si>
  <si>
    <t>명지농자재</t>
  </si>
  <si>
    <t>이흥남</t>
  </si>
  <si>
    <t>전북 익산시 강경1길 5(금강동)</t>
  </si>
  <si>
    <t>농업용자재</t>
  </si>
  <si>
    <t>mj_nong@naver.com</t>
  </si>
  <si>
    <t>명성이엔지</t>
  </si>
  <si>
    <t>박성명</t>
  </si>
  <si>
    <t>전북 익산시 오산면 장항길 33</t>
  </si>
  <si>
    <t>namegabal@naver.com</t>
  </si>
  <si>
    <t>만성종합상사</t>
  </si>
  <si>
    <t>신지선</t>
  </si>
  <si>
    <t>전라북도 전주시 덕진구 정여립로 1114-16(만성동)</t>
  </si>
  <si>
    <t>철물,안전용품</t>
  </si>
  <si>
    <t>mansung@naver.com</t>
  </si>
  <si>
    <t>만물종합철물</t>
  </si>
  <si>
    <t>김석근</t>
  </si>
  <si>
    <t>익산시 영등동 801-15</t>
  </si>
  <si>
    <t>(유)새만금건설</t>
  </si>
  <si>
    <t>오인화</t>
  </si>
  <si>
    <t>전북 익산시 선화로14길 18(남중동)</t>
  </si>
  <si>
    <t>창호공사/건축공사</t>
  </si>
  <si>
    <t>jzzang2933@naver.com</t>
  </si>
  <si>
    <t>(유)가인산업</t>
  </si>
  <si>
    <t>임성룡</t>
  </si>
  <si>
    <t>전라북도 김제시 벽성로 474-6(서암동)</t>
  </si>
  <si>
    <t>상하수도설비/포장공사</t>
  </si>
  <si>
    <t>eso12319@hanmail.net</t>
  </si>
  <si>
    <t>만물상</t>
  </si>
  <si>
    <t>김미경</t>
  </si>
  <si>
    <t>전라북도 익산시 평동로 726,1층 104호</t>
  </si>
  <si>
    <t>식품,잡화,가구,인테리어소품,담배</t>
  </si>
  <si>
    <t>koung2617@hanmail.net</t>
  </si>
  <si>
    <t>만물DC백화점</t>
  </si>
  <si>
    <t>정호성</t>
  </si>
  <si>
    <t>전라북도 익산시 서동로 18길 76 마동</t>
  </si>
  <si>
    <t>슈퍼마켓</t>
  </si>
  <si>
    <t>j46200@nate.com</t>
  </si>
  <si>
    <t>마리더스타</t>
  </si>
  <si>
    <t>서지연</t>
  </si>
  <si>
    <t>전라북도 익산시 웅포면 입점리 188-2</t>
  </si>
  <si>
    <t>비주거용 건물 임대</t>
  </si>
  <si>
    <t>noc_flower@naver.com</t>
  </si>
  <si>
    <t>로지하우징</t>
  </si>
  <si>
    <t>강정은</t>
  </si>
  <si>
    <t>전라북도 전주시 덕진구 전미로 140(전미로 2가)</t>
  </si>
  <si>
    <t>roji-1@naver.com</t>
  </si>
  <si>
    <t>로담건축(주)</t>
  </si>
  <si>
    <t>김훈</t>
  </si>
  <si>
    <t>서울특별시 강남구 선릉로 129길 9-3</t>
  </si>
  <si>
    <t>실내건축 공사업</t>
  </si>
  <si>
    <t>rodemn10@naver.com</t>
  </si>
  <si>
    <t>럭키산업</t>
  </si>
  <si>
    <t>조용규</t>
  </si>
  <si>
    <t>익산시 평화동 14-4</t>
  </si>
  <si>
    <t>포장자재/산업용품</t>
  </si>
  <si>
    <t>luckywa@korea.com</t>
  </si>
  <si>
    <t>랜선클린</t>
  </si>
  <si>
    <t>이지혜</t>
  </si>
  <si>
    <t>전북 전주시 완산구 효자로 161, 203호(효자동3가)</t>
  </si>
  <si>
    <t>retour2019@naver.com</t>
  </si>
  <si>
    <t>디자인한맥광고기획</t>
  </si>
  <si>
    <t>장상규</t>
  </si>
  <si>
    <t>전북 전주시 완산구 견훤왕궁로 38(중노송동)</t>
  </si>
  <si>
    <t>가구/경미한공사</t>
  </si>
  <si>
    <t>jsk6470@hanmail.net</t>
  </si>
  <si>
    <t>디자인은송(유)</t>
  </si>
  <si>
    <t>강문희</t>
  </si>
  <si>
    <t>전주시 덕진구 전주천동로 473, 201-2호(금암동)</t>
  </si>
  <si>
    <t>실내인테리어/건축공사</t>
  </si>
  <si>
    <t>ezcom7@naver.com</t>
  </si>
  <si>
    <t>(유)새롬정보통신</t>
  </si>
  <si>
    <t>김선화</t>
  </si>
  <si>
    <t>전라북도 익산시 만석길 332</t>
  </si>
  <si>
    <t>정보통신공사업, 금속기둥, 함체</t>
  </si>
  <si>
    <t>saerom0721@hanmail.net</t>
  </si>
  <si>
    <t>디자인버튼</t>
  </si>
  <si>
    <t>정봉건</t>
  </si>
  <si>
    <t>전라북도 전주시 완산구 척동9길 8 (효자동 3가)</t>
  </si>
  <si>
    <t>dbd1115@naver.com</t>
  </si>
  <si>
    <t>디자인 스퀘어</t>
  </si>
  <si>
    <t>정지윤</t>
  </si>
  <si>
    <t>전북 전주시 완산구 황강서원1길 3-13, 1층(효자동3가)</t>
  </si>
  <si>
    <t>sagita@naver.com</t>
  </si>
  <si>
    <t>드림이앤지(ENG)</t>
  </si>
  <si>
    <t>정용일</t>
  </si>
  <si>
    <t>전북 전주시 완산구 옥류길 13-11(교동)</t>
  </si>
  <si>
    <t>joy-0182@daum.net</t>
  </si>
  <si>
    <t>드림디포익산점</t>
  </si>
  <si>
    <t>김은희</t>
  </si>
  <si>
    <t>전라북도 익산시 인북로 210</t>
  </si>
  <si>
    <t>문구, 잡화</t>
  </si>
  <si>
    <t>sunrise4989@daum.net</t>
  </si>
  <si>
    <t>두란장갑산업안전</t>
  </si>
  <si>
    <t>고금자</t>
  </si>
  <si>
    <t>전라북도 전주시 완산구 태평3길 11(태평동, 두란장갑산업안전)</t>
  </si>
  <si>
    <t>장갑,철물,공구</t>
  </si>
  <si>
    <t>duran21@naver.com</t>
  </si>
  <si>
    <t>동천</t>
  </si>
  <si>
    <t>이선희</t>
  </si>
  <si>
    <t>전북 익산시 황등면 죽촌길 202</t>
  </si>
  <si>
    <t>kta2008@naver.com</t>
  </si>
  <si>
    <t>(유)상두산업</t>
  </si>
  <si>
    <t>권지은</t>
  </si>
  <si>
    <t>전북 정읍시 옹동면 상산로 555-26</t>
  </si>
  <si>
    <t>골재</t>
  </si>
  <si>
    <t>san0711@hanmail.net</t>
  </si>
  <si>
    <t>동진철물종합상사</t>
  </si>
  <si>
    <t>김동수</t>
  </si>
  <si>
    <t>전라북도 군산시 해망로 135</t>
  </si>
  <si>
    <t>도매,소매</t>
  </si>
  <si>
    <t>철물,공구,안전용품외.</t>
  </si>
  <si>
    <t>ds0953@naver.com</t>
  </si>
  <si>
    <t>동진종합개발</t>
  </si>
  <si>
    <t>김용선</t>
  </si>
  <si>
    <t>전라북도 익산시 마한로5길 18-8(영등동, 할인마트) 2층</t>
  </si>
  <si>
    <t>djcnd2020@daum.net</t>
  </si>
  <si>
    <t>동일종합상사</t>
  </si>
  <si>
    <t>최남주</t>
  </si>
  <si>
    <t>익산시 부송로 30</t>
  </si>
  <si>
    <t>벨트/공구</t>
  </si>
  <si>
    <t>drb0989@naver.com</t>
  </si>
  <si>
    <t>동원기계</t>
  </si>
  <si>
    <t>이동원</t>
  </si>
  <si>
    <t>논산시 연무읍 안심로 150-4</t>
  </si>
  <si>
    <t>농기게</t>
  </si>
  <si>
    <t>동우상사</t>
  </si>
  <si>
    <t>정재수</t>
  </si>
  <si>
    <t>전라북도 익산시 번영로8길 211(목천동)</t>
  </si>
  <si>
    <t>화장지류,안전보호구,무역</t>
  </si>
  <si>
    <t>walkingj@nate.com</t>
  </si>
  <si>
    <t>동연기공</t>
  </si>
  <si>
    <t>김연옥</t>
  </si>
  <si>
    <t>전라북도 김제시 백구면 영상1길 5</t>
  </si>
  <si>
    <t>금속구조물,창호공사</t>
  </si>
  <si>
    <t>dy2829@hanmail.net</t>
  </si>
  <si>
    <t>동양워시텍</t>
  </si>
  <si>
    <t>조호정</t>
  </si>
  <si>
    <t>광주광역시 북구 원삼각길 12-4(삼각동)</t>
  </si>
  <si>
    <t>사무ㆍ상업용 및 공공기관용 건물 건설업</t>
  </si>
  <si>
    <t>동양안전물산</t>
  </si>
  <si>
    <t>한인준</t>
  </si>
  <si>
    <t>전북 군산시 공단대로 618</t>
  </si>
  <si>
    <t>안전보호구</t>
  </si>
  <si>
    <t>4689612@hanmail.net</t>
  </si>
  <si>
    <t>(유)삼진이엔티</t>
  </si>
  <si>
    <t>서은숙</t>
  </si>
  <si>
    <t>전라북도 전주시 덕진구 원반월길 40(반월동)</t>
  </si>
  <si>
    <t>건설업,제조</t>
  </si>
  <si>
    <t>석공사,석재</t>
  </si>
  <si>
    <t>sam9696@nate.com</t>
  </si>
  <si>
    <t>동양물류</t>
  </si>
  <si>
    <t>전화범</t>
  </si>
  <si>
    <t>전북 익산시 왕궁면 호남로 1046-8</t>
  </si>
  <si>
    <t>공구/반도체장비</t>
  </si>
  <si>
    <t>jeon9685@hanmail.net</t>
  </si>
  <si>
    <t>동신철물공구</t>
  </si>
  <si>
    <t>강현주</t>
  </si>
  <si>
    <t>전북 익산시 평화동 111-9</t>
  </si>
  <si>
    <t>rkdguswn@hanmail.net</t>
  </si>
  <si>
    <t>동신정보</t>
  </si>
  <si>
    <t>이준곤</t>
  </si>
  <si>
    <t>전라북도 전주시 덕진구 견훤로 352</t>
  </si>
  <si>
    <t>사무기기,전산용품</t>
  </si>
  <si>
    <t>xeroxlee@paran.com</t>
  </si>
  <si>
    <t>동성테크</t>
  </si>
  <si>
    <t>최종현</t>
  </si>
  <si>
    <t>전라북도 군산시 산단로 65</t>
  </si>
  <si>
    <t>제조,제조업</t>
  </si>
  <si>
    <t>산업기계및 전기판넬</t>
  </si>
  <si>
    <t>dstax@dstech.org</t>
  </si>
  <si>
    <t>동성PVC파이프</t>
  </si>
  <si>
    <t>이헌식</t>
  </si>
  <si>
    <t>전북 익산시 무왕로31길 153(부송동)</t>
  </si>
  <si>
    <t>PVC판매</t>
  </si>
  <si>
    <t>sik3828@naver.com</t>
  </si>
  <si>
    <t>동서조경</t>
  </si>
  <si>
    <t>최병운</t>
  </si>
  <si>
    <t>전라북도 익산시 배산로 14길 9, 202동 1205호</t>
  </si>
  <si>
    <t>임업,건설업</t>
  </si>
  <si>
    <t>수목전지,경미한공사</t>
  </si>
  <si>
    <t>choi031553@daum.net</t>
  </si>
  <si>
    <t>동명환경닥터</t>
  </si>
  <si>
    <t>이호영</t>
  </si>
  <si>
    <t>광주광역시북구원삼각길12-4 (삼각동)</t>
  </si>
  <si>
    <t>제조업,건설업,도소매업</t>
  </si>
  <si>
    <t>세차기계,진공청소기</t>
  </si>
  <si>
    <t>Ihy7200@hanmail.net</t>
  </si>
  <si>
    <t>동계농업협동조합</t>
  </si>
  <si>
    <t>양준섭</t>
  </si>
  <si>
    <t>전북 순창군 동계면 동계로 47</t>
  </si>
  <si>
    <t>nh515036-4@nonghyup.com</t>
  </si>
  <si>
    <t>동경샤링공업사</t>
  </si>
  <si>
    <t>김영근</t>
  </si>
  <si>
    <t>전북 익산시 목천로 4길 83 (인화동2가)</t>
  </si>
  <si>
    <t>구조금속제품</t>
  </si>
  <si>
    <t>dk8510803@daum.net</t>
  </si>
  <si>
    <t>덕성인테리어</t>
  </si>
  <si>
    <t>성덕호</t>
  </si>
  <si>
    <t>전라북도 군산시 임피면 축성로 73-3(덕성창호)</t>
  </si>
  <si>
    <t>tjdtmd1234@naver.com</t>
  </si>
  <si>
    <t>더원인테리어</t>
  </si>
  <si>
    <t>문희재</t>
  </si>
  <si>
    <t>경기도 수원시 장안구 수성로 290번길 31,1층 101호</t>
  </si>
  <si>
    <t>anslwo@naver.com</t>
  </si>
  <si>
    <t>더원개발</t>
  </si>
  <si>
    <t>박미영</t>
  </si>
  <si>
    <t>전라북도 익산시 현영1길 17,1층</t>
  </si>
  <si>
    <t>부동산업,부동산</t>
  </si>
  <si>
    <t>부동산매매,임대</t>
  </si>
  <si>
    <t>apple4646@hametax.go.kr</t>
  </si>
  <si>
    <t>더신한 유한회사</t>
  </si>
  <si>
    <t>박진영</t>
  </si>
  <si>
    <t>전북 전주시 완산구 흥산남로 19,3층(효자동2가)</t>
  </si>
  <si>
    <t>철콘공사, 철물공사</t>
  </si>
  <si>
    <t>sin2624@hometax.go.kr</t>
  </si>
  <si>
    <t>더불어유통</t>
  </si>
  <si>
    <t>정미숙</t>
  </si>
  <si>
    <t>전라북도 익산시 서동로312</t>
  </si>
  <si>
    <t>화장지,청소용품,위생용품</t>
  </si>
  <si>
    <t>dh7235@hanmail.net</t>
  </si>
  <si>
    <t>대흥철물</t>
  </si>
  <si>
    <t>조한옥</t>
  </si>
  <si>
    <t>전주시 덕진구 금암동 545-38</t>
  </si>
  <si>
    <t>대흥볼트공구</t>
  </si>
  <si>
    <t>조창연</t>
  </si>
  <si>
    <t>익산시 인화동 1-1</t>
  </si>
  <si>
    <t>(유)삼성종합건설</t>
  </si>
  <si>
    <t>한웅진</t>
  </si>
  <si>
    <t>전북 완주군 용진읍 신지송광로 49</t>
  </si>
  <si>
    <t>대흥공구철물</t>
  </si>
  <si>
    <t>박흥서</t>
  </si>
  <si>
    <t>전북 익산시 인북로361(신동)</t>
  </si>
  <si>
    <t>대형철물공구상회</t>
  </si>
  <si>
    <t>황귀덕</t>
  </si>
  <si>
    <t>전라북도 전주시 덕진구 송천중앙로 233-4</t>
  </si>
  <si>
    <t>철물,페인트</t>
  </si>
  <si>
    <t>2757704@naver.com</t>
  </si>
  <si>
    <t>대형공구</t>
  </si>
  <si>
    <t>이기형</t>
  </si>
  <si>
    <t>전북 익산시 선화로 689(부송동)</t>
  </si>
  <si>
    <t>kihang@naver.com</t>
  </si>
  <si>
    <t>대한파렛트</t>
  </si>
  <si>
    <t>손순옥</t>
  </si>
  <si>
    <t>전북 익산시 오산면 장신리 166-3</t>
  </si>
  <si>
    <t>도소매,제조</t>
  </si>
  <si>
    <t>목재</t>
  </si>
  <si>
    <t>rlaghdcjf@hanmail.net</t>
  </si>
  <si>
    <t>대한철물상사</t>
  </si>
  <si>
    <t>윤여생</t>
  </si>
  <si>
    <t>충남 논산시 대교동112-1</t>
  </si>
  <si>
    <t>7339630@hanmail.net</t>
  </si>
  <si>
    <t>대한철물건재</t>
  </si>
  <si>
    <t>유동혁</t>
  </si>
  <si>
    <t>김제시 요촌동 199</t>
  </si>
  <si>
    <t>eogks9485@naver.com</t>
  </si>
  <si>
    <t>대한종합철물건재</t>
  </si>
  <si>
    <t>양지훈</t>
  </si>
  <si>
    <t>전북 익산시 고봉로 36(마동)</t>
  </si>
  <si>
    <t>소매/건설업</t>
  </si>
  <si>
    <t>ssobjihun@naver.com</t>
  </si>
  <si>
    <t>대한종합기업</t>
  </si>
  <si>
    <t>박근</t>
  </si>
  <si>
    <t>전북 익산시 서동로 312(신흥동)</t>
  </si>
  <si>
    <t>안전용품/잡화</t>
  </si>
  <si>
    <t>대풍농자재</t>
  </si>
  <si>
    <t>조우철</t>
  </si>
  <si>
    <t>전라북도 익산시 익산대로 33길 46-5</t>
  </si>
  <si>
    <t>대진상사</t>
  </si>
  <si>
    <t>진재현</t>
  </si>
  <si>
    <t>전북 익산시 낭산면 구복길 20</t>
  </si>
  <si>
    <t>산업용잡화</t>
  </si>
  <si>
    <t>z2727@hanmail.net</t>
  </si>
  <si>
    <t>대일경량</t>
  </si>
  <si>
    <t>김승중</t>
  </si>
  <si>
    <t>전북 김제시 백구면 백구7길 1-8</t>
  </si>
  <si>
    <t>경량철골</t>
  </si>
  <si>
    <t>62seung@hanmail.net</t>
  </si>
  <si>
    <t>대운건설</t>
  </si>
  <si>
    <t>송수종</t>
  </si>
  <si>
    <t>전라북도 익산시 춘포면 춘포원오산1길 30-4</t>
  </si>
  <si>
    <t>ssj3273@hanmail.net</t>
  </si>
  <si>
    <t>대우건재사</t>
  </si>
  <si>
    <t>양성우</t>
  </si>
  <si>
    <t>전라북도 익산시 선화로 180(남중동)</t>
  </si>
  <si>
    <t>8976200149@bestbill.co.kr</t>
  </si>
  <si>
    <t>(유)미주계전</t>
  </si>
  <si>
    <t>정두진</t>
  </si>
  <si>
    <t>전라북도익산시고현로56</t>
  </si>
  <si>
    <t>건설,부동산,서비스</t>
  </si>
  <si>
    <t>통신공사,전기공사,임대</t>
  </si>
  <si>
    <t>son5028@nate.com</t>
  </si>
  <si>
    <t>대왕철물</t>
  </si>
  <si>
    <t>신미숙</t>
  </si>
  <si>
    <t>전북 군산시 구암로 123(구암동)</t>
  </si>
  <si>
    <t>철물/볼트</t>
  </si>
  <si>
    <t>jti1968@hanmail.net</t>
  </si>
  <si>
    <t>대영종합상사</t>
  </si>
  <si>
    <t>이상우외 1명</t>
  </si>
  <si>
    <t>전라북도 김제시 금산면 성계리 379-2</t>
  </si>
  <si>
    <t>건축자재,철물,공구</t>
  </si>
  <si>
    <t>dyj7709@naver.com</t>
  </si>
  <si>
    <t>대영건재</t>
  </si>
  <si>
    <t>문재곤</t>
  </si>
  <si>
    <t>군산시 서수면 서수리 794-3</t>
  </si>
  <si>
    <t>기타건축자재</t>
  </si>
  <si>
    <t>428moon@hanmail.net</t>
  </si>
  <si>
    <t>대승종합상사</t>
  </si>
  <si>
    <t>양병훈</t>
  </si>
  <si>
    <t>전북 전주시 완산구 중산중앙로 37</t>
  </si>
  <si>
    <t>asado22@hanmail.net</t>
  </si>
  <si>
    <t>대성철물안전</t>
  </si>
  <si>
    <t>양성실</t>
  </si>
  <si>
    <t>전북특별자치도 전주시 덕진구 석소5길 47(우아동2가)</t>
  </si>
  <si>
    <t>안전용품 및 안전구조물</t>
  </si>
  <si>
    <t>대성종합상사</t>
  </si>
  <si>
    <t>백성진</t>
  </si>
  <si>
    <t>전북 익산시 선화로 591(어양동)</t>
  </si>
  <si>
    <t>공구/베어링</t>
  </si>
  <si>
    <t>baek0166@daum.net</t>
  </si>
  <si>
    <t>대성상사</t>
  </si>
  <si>
    <t>홍창덕</t>
  </si>
  <si>
    <t>충남 논산시 연무읍 득안대로480-1</t>
  </si>
  <si>
    <t>철물잡화</t>
  </si>
  <si>
    <t>innobug@nate.com</t>
  </si>
  <si>
    <t>(유)무왕건설</t>
  </si>
  <si>
    <t>이홍무</t>
  </si>
  <si>
    <t>전북 익산시 서동로 98-1(동산동)</t>
  </si>
  <si>
    <t>seodong72@hanmail.net</t>
  </si>
  <si>
    <t>대성기전</t>
  </si>
  <si>
    <t>위성필</t>
  </si>
  <si>
    <t>전북 익산시 인화동1가 135-5</t>
  </si>
  <si>
    <t>용접기외.</t>
  </si>
  <si>
    <t>tjdvlf9621@hanmail.net</t>
  </si>
  <si>
    <t>대성공구-황등</t>
  </si>
  <si>
    <t>문만순</t>
  </si>
  <si>
    <t>전라북도 익산시 황등면 황등로 115-22</t>
  </si>
  <si>
    <t>ans5269@naver.com</t>
  </si>
  <si>
    <t>대성건재</t>
  </si>
  <si>
    <t>유재민</t>
  </si>
  <si>
    <t>전라북도 김제시 동서로 99, 부속건물 제3동</t>
  </si>
  <si>
    <t>건축자재,철물, 안전용품</t>
  </si>
  <si>
    <t>woals444666@naver.com</t>
  </si>
  <si>
    <t>대명전력</t>
  </si>
  <si>
    <t>김용</t>
  </si>
  <si>
    <t>전북 익산시 서동로 63,1층</t>
  </si>
  <si>
    <t>대명산업안전</t>
  </si>
  <si>
    <t>이영욱</t>
  </si>
  <si>
    <t>익산시 익산대로 606</t>
  </si>
  <si>
    <t>daia7471@naver.com</t>
  </si>
  <si>
    <t>대길산업용품</t>
  </si>
  <si>
    <t>박경숙</t>
  </si>
  <si>
    <t>충청남도 청양군 장평면 주미골길 1</t>
  </si>
  <si>
    <t>산업용품,공구,잡화</t>
  </si>
  <si>
    <t>daegil1204@daum.net</t>
  </si>
  <si>
    <t>대광수도설비</t>
  </si>
  <si>
    <t>김황근</t>
  </si>
  <si>
    <t>전북 임실군 오수면 오수로 142</t>
  </si>
  <si>
    <t>상수도공사</t>
  </si>
  <si>
    <t>대경철물</t>
  </si>
  <si>
    <t>송금봉</t>
  </si>
  <si>
    <t>익산시 남중동 375-4</t>
  </si>
  <si>
    <t>다음공구</t>
  </si>
  <si>
    <t>김영경</t>
  </si>
  <si>
    <t>익산시 고봉로243(영등동1층)</t>
  </si>
  <si>
    <t>gago2848@naver.com</t>
  </si>
  <si>
    <t>다온케이</t>
  </si>
  <si>
    <t>전북 익산시 고현로 14</t>
  </si>
  <si>
    <t>잡화/산용용소모품</t>
  </si>
  <si>
    <t>daonk201709@naver.com</t>
  </si>
  <si>
    <t>다온철물</t>
  </si>
  <si>
    <t>최명희</t>
  </si>
  <si>
    <t>전북 완주군 삼례읍 동학로 61, 1층 102호</t>
  </si>
  <si>
    <t>hee99421@hanmail.net</t>
  </si>
  <si>
    <t>다온건재</t>
  </si>
  <si>
    <t>곽인영</t>
  </si>
  <si>
    <t>전북특별자치도 완주군 삼례읍 삼봉로 469, 2동</t>
  </si>
  <si>
    <t>철물/금속</t>
  </si>
  <si>
    <t>tinyspirit@naver.com</t>
  </si>
  <si>
    <t>다솜창호</t>
  </si>
  <si>
    <t>이인선</t>
  </si>
  <si>
    <t>전북 전주시 덕진구 신흥안길 43(고량동)</t>
  </si>
  <si>
    <t>PVC창호</t>
  </si>
  <si>
    <t>dasom-ch@nate.com</t>
  </si>
  <si>
    <t>농업회사법인 가림원 주식회사</t>
  </si>
  <si>
    <t>심광섭</t>
  </si>
  <si>
    <t>경기도 남양주시 벌내면 송산로 532번길 27</t>
  </si>
  <si>
    <t>농업,임업</t>
  </si>
  <si>
    <t>식물곤충/가공도매업</t>
  </si>
  <si>
    <t>논산영림</t>
  </si>
  <si>
    <t>충남 논산시 광석면 논산평야로 683</t>
  </si>
  <si>
    <t>하이샤시</t>
  </si>
  <si>
    <t>7366597@naver.com</t>
  </si>
  <si>
    <t>남중하나마트</t>
  </si>
  <si>
    <t>이금희</t>
  </si>
  <si>
    <t>익산시 선화로 225(남중동)</t>
  </si>
  <si>
    <t>식품잡화</t>
  </si>
  <si>
    <t>4031373089@bestbillco.kr</t>
  </si>
  <si>
    <t>남아종합건설(주)</t>
  </si>
  <si>
    <t>이용만</t>
  </si>
  <si>
    <t>전라북도 완주군 봉동읍 봉동로 140-1</t>
  </si>
  <si>
    <t>cioiktn@naver.com</t>
  </si>
  <si>
    <t>(유)명산건설</t>
  </si>
  <si>
    <t>곽병도</t>
  </si>
  <si>
    <t>전북 전주시 완산구 쑥고개로 196-61(삼천동3가)</t>
  </si>
  <si>
    <t>토목공사 일반건축</t>
  </si>
  <si>
    <t>7kjs@naver.com</t>
  </si>
  <si>
    <t>(유)그랜드종합건설</t>
  </si>
  <si>
    <t>박정순</t>
  </si>
  <si>
    <t>전라북도 전주시 완산구 콩쥐팥쥐로 1616, 3층</t>
  </si>
  <si>
    <t>조경공사, 토목공사업, 건축공사업</t>
  </si>
  <si>
    <t>leehk8635@hanmail.net</t>
  </si>
  <si>
    <t>남성상사</t>
  </si>
  <si>
    <t>최성욱</t>
  </si>
  <si>
    <t>전북 완주군 봉동읍 둔산3로 22</t>
  </si>
  <si>
    <t>철물,공구</t>
  </si>
  <si>
    <t>csw3485@hanmail.net</t>
  </si>
  <si>
    <t>남성기연</t>
  </si>
  <si>
    <t>서동석</t>
  </si>
  <si>
    <t>전북 익산시 오산면 장신리 908-15</t>
  </si>
  <si>
    <t>시험기,측향기</t>
  </si>
  <si>
    <t>hnj0593@korea.com</t>
  </si>
  <si>
    <t>남선페인트</t>
  </si>
  <si>
    <t>김명오</t>
  </si>
  <si>
    <t>전라북도 익산시 무왕로 6길 38-1</t>
  </si>
  <si>
    <t>페인트</t>
  </si>
  <si>
    <t>나눔안전철물</t>
  </si>
  <si>
    <t>최용준</t>
  </si>
  <si>
    <t>전북 익산시 익산대로28길 10(남중동)</t>
  </si>
  <si>
    <t>철물,금속,수공구</t>
  </si>
  <si>
    <t>ganpanbest@naver.com</t>
  </si>
  <si>
    <t>김기영세무사무소</t>
  </si>
  <si>
    <t>전북 군산시 풍전2길 27</t>
  </si>
  <si>
    <t>세무사</t>
  </si>
  <si>
    <t>063@daum.net</t>
  </si>
  <si>
    <t>기준철물점</t>
  </si>
  <si>
    <t>이병준</t>
  </si>
  <si>
    <t>전북 부안군 부안읍 번영로 161</t>
  </si>
  <si>
    <t>금호산업개발</t>
  </si>
  <si>
    <t>양회준</t>
  </si>
  <si>
    <t>전라북도 익산시 황등면 황등로 36</t>
  </si>
  <si>
    <t>공구,석제품</t>
  </si>
  <si>
    <t>kumhodia6925@esero.go.kr</t>
  </si>
  <si>
    <t>(유)명가</t>
  </si>
  <si>
    <t>한학희</t>
  </si>
  <si>
    <t>전라북도 군산시 조촌로 101</t>
  </si>
  <si>
    <t>포장공사업,철근콘크리트공사,상하수도설비공사</t>
  </si>
  <si>
    <t>hakhee0787@naver.com</t>
  </si>
  <si>
    <t>금풍상회</t>
  </si>
  <si>
    <t>최명규</t>
  </si>
  <si>
    <t>전북 익산시 평동로11길 22(인화동1가)</t>
  </si>
  <si>
    <t>실,단추,잡화</t>
  </si>
  <si>
    <t>geampoong@hanmail.net</t>
  </si>
  <si>
    <t>금원안전상사</t>
  </si>
  <si>
    <t>김덕원</t>
  </si>
  <si>
    <t>전라북도 김제시 벽성로 185, 4동 2호</t>
  </si>
  <si>
    <t>안전용품 및 잡자개</t>
  </si>
  <si>
    <t>hhggyy0557@hanmail.net</t>
  </si>
  <si>
    <t>금성케미칼</t>
  </si>
  <si>
    <t>김신형</t>
  </si>
  <si>
    <t>전북 익산시 서동로48길 28-19</t>
  </si>
  <si>
    <t>4031537850@daum.net</t>
  </si>
  <si>
    <t>금마왕새우</t>
  </si>
  <si>
    <t>서해정</t>
  </si>
  <si>
    <t>전북 익산시 금마면 호남로 767-20</t>
  </si>
  <si>
    <t>어업</t>
  </si>
  <si>
    <t>새우,수산양식</t>
  </si>
  <si>
    <t>금동건설</t>
  </si>
  <si>
    <t>홍숙희</t>
  </si>
  <si>
    <t>전라북도 김제시 화동길 43,2층 201호</t>
  </si>
  <si>
    <t>금강철물공구</t>
  </si>
  <si>
    <t>조옥연</t>
  </si>
  <si>
    <t>전북 군산시 팔마로 97(서흥남동)</t>
  </si>
  <si>
    <t>gegh1026@daum.net</t>
  </si>
  <si>
    <t>금강산철물건재</t>
  </si>
  <si>
    <t>안현</t>
  </si>
  <si>
    <t>전북전주시덕진구 원장동길 140(장동)</t>
  </si>
  <si>
    <t>anhyun86@naver.com</t>
  </si>
  <si>
    <t>(유)디자인그릅 성</t>
  </si>
  <si>
    <t>백성대</t>
  </si>
  <si>
    <t>전라북도 완주군 이서면 오공로 11-19,2층 201-2</t>
  </si>
  <si>
    <t>dodum1025@hometax.go.kr</t>
  </si>
  <si>
    <t>금강산업</t>
  </si>
  <si>
    <t>최장규</t>
  </si>
  <si>
    <t>전북 익산시 황등면 황등리 217-2</t>
  </si>
  <si>
    <t>합판,목재</t>
  </si>
  <si>
    <t>jangku25@hanmail.net</t>
  </si>
  <si>
    <t>금강볼트공구철물</t>
  </si>
  <si>
    <t>전라북도 전주시 완산구 대동로 23,1층</t>
  </si>
  <si>
    <t>공구,볼트,철물,안전용품</t>
  </si>
  <si>
    <t>kumkang0989@hanmail.net</t>
  </si>
  <si>
    <t>금강기업</t>
  </si>
  <si>
    <t>고창수</t>
  </si>
  <si>
    <t>전북 전주시 덕진구 호성동2가 463-1</t>
  </si>
  <si>
    <t>도매/제조</t>
  </si>
  <si>
    <t>kk99sr@hanmail.net</t>
  </si>
  <si>
    <t>글루톤하우스먹보네집</t>
  </si>
  <si>
    <t>김양은</t>
  </si>
  <si>
    <t>전라북도군산시 양안로32</t>
  </si>
  <si>
    <t>레스토랑</t>
  </si>
  <si>
    <t>glutton_house@naver.com</t>
  </si>
  <si>
    <t>그린철물</t>
  </si>
  <si>
    <t>백옥자</t>
  </si>
  <si>
    <t>익산시 모현동 1가532-8</t>
  </si>
  <si>
    <t>kggnj654@naver.com</t>
  </si>
  <si>
    <t>그란종합건축자재</t>
  </si>
  <si>
    <t>신원준</t>
  </si>
  <si>
    <t>전북 익산시 현영길 183(현영동)</t>
  </si>
  <si>
    <t>swcm9697@naver.com</t>
  </si>
  <si>
    <t>규빈건설 주식회사</t>
  </si>
  <si>
    <t>구용백</t>
  </si>
  <si>
    <t>전북 완주군 이서면 오공로 11-13,제1동 제6층 제601</t>
  </si>
  <si>
    <t>굿모닝환경개발</t>
  </si>
  <si>
    <t>유정순</t>
  </si>
  <si>
    <t>익산시 춘포면 창평리 796-3</t>
  </si>
  <si>
    <t>소득,시설,관리용역</t>
  </si>
  <si>
    <t>lljs1230@daum.net</t>
  </si>
  <si>
    <t>(유)더본건설</t>
  </si>
  <si>
    <t>진재석</t>
  </si>
  <si>
    <t>전북 완주군 이서면 오공로 11-19, 201-4호</t>
  </si>
  <si>
    <t>군장공구볼트</t>
  </si>
  <si>
    <t>노영권</t>
  </si>
  <si>
    <t>군산시 오식도동 913</t>
  </si>
  <si>
    <t>공구/볼트/철물</t>
  </si>
  <si>
    <t>군산황금두꺼비잔치집떡갈비</t>
  </si>
  <si>
    <t>최권엽</t>
  </si>
  <si>
    <t>전북 군산시 중앙로 187, 1층(중앙로1가)</t>
  </si>
  <si>
    <t>군산산림조합</t>
  </si>
  <si>
    <t>고석빈</t>
  </si>
  <si>
    <t>전라북도군산시조촌로101</t>
  </si>
  <si>
    <t>소매임업</t>
  </si>
  <si>
    <t>국제무선</t>
  </si>
  <si>
    <t>전라북도 익산시 익산대로 175(창인동 1가)</t>
  </si>
  <si>
    <t>도소매, 건설,서비스</t>
  </si>
  <si>
    <t>전기전자부품,경미한공사</t>
  </si>
  <si>
    <t>san4647@hanmail.net</t>
  </si>
  <si>
    <t>국제pvc철물공구</t>
  </si>
  <si>
    <t>소순표</t>
  </si>
  <si>
    <t>군산시 미장동 60-92</t>
  </si>
  <si>
    <t>kj5889@naver.com</t>
  </si>
  <si>
    <t>구주전력</t>
  </si>
  <si>
    <t>유은호</t>
  </si>
  <si>
    <t>익산시 오산면 오산로 203-5</t>
  </si>
  <si>
    <t>전기공사, 전기자재</t>
  </si>
  <si>
    <t>yyh4166@hanmail.net</t>
  </si>
  <si>
    <t>구정인테리어</t>
  </si>
  <si>
    <t>문미선</t>
  </si>
  <si>
    <t>전북 익산시 무왕로 973-1(신동)</t>
  </si>
  <si>
    <t>dssong96@hanmail.net</t>
  </si>
  <si>
    <t>구이철물건재</t>
  </si>
  <si>
    <t>최득열</t>
  </si>
  <si>
    <t>전주시 완산구 서신동827-11</t>
  </si>
  <si>
    <t>철물*건재</t>
  </si>
  <si>
    <t>dy9277@hanmail.net</t>
  </si>
  <si>
    <t>구성철물안전</t>
  </si>
  <si>
    <t>정일영</t>
  </si>
  <si>
    <t>전라북도 전주시 덕진구 기지로 77,201동905호</t>
  </si>
  <si>
    <t>철물, 안전건재, 조경자재, 상하수도자재</t>
  </si>
  <si>
    <t>gusunghs@naver.com</t>
  </si>
  <si>
    <t>구로공구</t>
  </si>
  <si>
    <t>차재승</t>
  </si>
  <si>
    <t>군산시 왹도동 989-101</t>
  </si>
  <si>
    <t>(유)대영유통산업</t>
  </si>
  <si>
    <t>이대영</t>
  </si>
  <si>
    <t>전북 완주군 삼례읍 해전1길 2-9</t>
  </si>
  <si>
    <t>농자재외</t>
  </si>
  <si>
    <t>samdong2007@naver.com</t>
  </si>
  <si>
    <t>광일종합부속</t>
  </si>
  <si>
    <t>노중기</t>
  </si>
  <si>
    <t>전북 익산시 영등동 271</t>
  </si>
  <si>
    <t>샷시부속</t>
  </si>
  <si>
    <t>nohjg67@hanmail.net</t>
  </si>
  <si>
    <t>광성건설주식회사</t>
  </si>
  <si>
    <t>장기영</t>
  </si>
  <si>
    <t>경기도 시흥시 은계중앙로 306번길 55, 403호</t>
  </si>
  <si>
    <t>비계공사,구조물해체공사</t>
  </si>
  <si>
    <t>gs2009@hanmail.net</t>
  </si>
  <si>
    <t>공통종합개발</t>
  </si>
  <si>
    <t>최혁</t>
  </si>
  <si>
    <t>전북 완주군 고산면 고산로 70</t>
  </si>
  <si>
    <t>fouse69@hotmail.com</t>
  </si>
  <si>
    <t>공단철물</t>
  </si>
  <si>
    <t>김현식</t>
  </si>
  <si>
    <t>익산시 용제동 180-4</t>
  </si>
  <si>
    <t>0638383051@daum.net</t>
  </si>
  <si>
    <t>고현문구슈퍼</t>
  </si>
  <si>
    <t>홍경오</t>
  </si>
  <si>
    <t>전북 익산시 선화로23길 43</t>
  </si>
  <si>
    <t>철물,문구</t>
  </si>
  <si>
    <t>ghdckd0313@hanmail.net</t>
  </si>
  <si>
    <t>고신건설</t>
  </si>
  <si>
    <t>김중대</t>
  </si>
  <si>
    <t>전라북도 임실군 덕치면 사곡1길 11</t>
  </si>
  <si>
    <t>철근,콘크리트공사,상하수도설비</t>
  </si>
  <si>
    <t>shnju@hanmail.net</t>
  </si>
  <si>
    <t>고속건재</t>
  </si>
  <si>
    <t>이명호</t>
  </si>
  <si>
    <t>전북 익산시 영등동 252-64</t>
  </si>
  <si>
    <t>mh8528471@hanmail.net</t>
  </si>
  <si>
    <t>고군산식자재</t>
  </si>
  <si>
    <t>오경선</t>
  </si>
  <si>
    <t>gogunsanmart@gmail.com</t>
  </si>
  <si>
    <t>(유)대영건재</t>
  </si>
  <si>
    <t>박성구</t>
  </si>
  <si>
    <t>전라북도 익산시 평동로 652(인화동2가)</t>
  </si>
  <si>
    <t>타일,위생도기</t>
  </si>
  <si>
    <t>iridaeyoung@hanmail.net</t>
  </si>
  <si>
    <t>계양종합공구</t>
  </si>
  <si>
    <t>이명화</t>
  </si>
  <si>
    <t>전북 익산시 평동로593(평화동)</t>
  </si>
  <si>
    <t>농기계/공구</t>
  </si>
  <si>
    <t>meyong123456@naver.com</t>
  </si>
  <si>
    <t>계양공구</t>
  </si>
  <si>
    <t>한영돈</t>
  </si>
  <si>
    <t>군산시 내초동 123-1</t>
  </si>
  <si>
    <t>gksdehs998@naver.com</t>
  </si>
  <si>
    <t>계성건설 주식회사</t>
  </si>
  <si>
    <t>박종완</t>
  </si>
  <si>
    <t>전북 전주시 완산구 홍산로 246(효자동2가, 계성빌딩)</t>
  </si>
  <si>
    <t>ks011013@hometax.go.kr</t>
  </si>
  <si>
    <t>경일공구철물상사</t>
  </si>
  <si>
    <t>임완빈</t>
  </si>
  <si>
    <t>전라북도 군산시 백릉로 69</t>
  </si>
  <si>
    <t>도소매업,소매업</t>
  </si>
  <si>
    <t>일반철물 및 수공구, 안전용품</t>
  </si>
  <si>
    <t>ekdma2002kr@hanmail.net</t>
  </si>
  <si>
    <t>경원상사</t>
  </si>
  <si>
    <t>이화성</t>
  </si>
  <si>
    <t>전북 전주시 덕진구 산정동877-5</t>
  </si>
  <si>
    <t>kyeungwonsa@naver.com</t>
  </si>
  <si>
    <t>경문창호 주식회사</t>
  </si>
  <si>
    <t>주영준</t>
  </si>
  <si>
    <t>전북 익산시 목천로 56-35(목천동)</t>
  </si>
  <si>
    <t>복층유리/전문하도급공사</t>
  </si>
  <si>
    <t>kmch4535@naver.com</t>
  </si>
  <si>
    <t>경동냉열기</t>
  </si>
  <si>
    <t>이희경</t>
  </si>
  <si>
    <t>익산시 선화로250-1(남중동)</t>
  </si>
  <si>
    <t>보일러/에어컨</t>
  </si>
  <si>
    <t>kd8581384@hanmail.net</t>
  </si>
  <si>
    <t>(유)대산환경</t>
  </si>
  <si>
    <t>박인배</t>
  </si>
  <si>
    <t>전북 익산시 익산대로 283(남중동)</t>
  </si>
  <si>
    <t>조경식재공사업</t>
  </si>
  <si>
    <t>pib3344@hanmail.net</t>
  </si>
  <si>
    <t>거성산업</t>
  </si>
  <si>
    <t>최종덕</t>
  </si>
  <si>
    <t>전북 익산시 인화동1가 27-8</t>
  </si>
  <si>
    <t>산업용바퀴,철만물</t>
  </si>
  <si>
    <t>idea8004@naver.com</t>
  </si>
  <si>
    <t>강남철물골재</t>
  </si>
  <si>
    <t>장성신</t>
  </si>
  <si>
    <t>전북 전주시 완산구 효자로 50</t>
  </si>
  <si>
    <t>철물/청소용품</t>
  </si>
  <si>
    <t>kangnam1518@naver.com</t>
  </si>
  <si>
    <t>강건종합건설(주)</t>
  </si>
  <si>
    <t>윤봉림</t>
  </si>
  <si>
    <t>세종특별자치시 금남면 초정길 13</t>
  </si>
  <si>
    <t>토목공사업,일반건축공사</t>
  </si>
  <si>
    <t>가인산업</t>
  </si>
  <si>
    <t>최병용</t>
  </si>
  <si>
    <t>전북특별자치도 익산시 오산면 오산로 136-4</t>
  </si>
  <si>
    <t>가온산업</t>
  </si>
  <si>
    <t>이수정</t>
  </si>
  <si>
    <t>전북 김제시 용지면 황토로 754</t>
  </si>
  <si>
    <t>가볼가</t>
  </si>
  <si>
    <t>김영은</t>
  </si>
  <si>
    <t>전라북도 익산시 인북로 6길 48</t>
  </si>
  <si>
    <t>숙박,부동산업</t>
  </si>
  <si>
    <t>모텔, 임대,판매</t>
  </si>
  <si>
    <t>mabari6721@hanmail.net</t>
  </si>
  <si>
    <t>가나종합철물공구</t>
  </si>
  <si>
    <t>김강훈</t>
  </si>
  <si>
    <t>전라북도 전주시 덕진구 온고을로 725(장동)</t>
  </si>
  <si>
    <t>kumjang0989@hanmail.net</t>
  </si>
  <si>
    <t>(유)대산테크</t>
  </si>
  <si>
    <t>김영관</t>
  </si>
  <si>
    <t>전라북도 익산시 오산면 남전길 87</t>
  </si>
  <si>
    <t>축산설비,경미한공사</t>
  </si>
  <si>
    <t>fomina33@hanmail.net</t>
  </si>
  <si>
    <t>TM글로벌</t>
  </si>
  <si>
    <t>윤금용</t>
  </si>
  <si>
    <t>전북특별자치도 전주시 덕진구 가련산로 23, 101호(덕진동2가)</t>
  </si>
  <si>
    <t>GT인더스트리</t>
  </si>
  <si>
    <t>소윤상</t>
  </si>
  <si>
    <t>전북 완주군 용진읍 완주로 248-7</t>
  </si>
  <si>
    <t>succeed35@naver.com</t>
  </si>
  <si>
    <t>D.C철물</t>
  </si>
  <si>
    <t>허대영</t>
  </si>
  <si>
    <t>충청남도 서천군 장항읍 장항로 139번길 6</t>
  </si>
  <si>
    <t>hbd2y8@hanmail.net</t>
  </si>
  <si>
    <t>88공구</t>
  </si>
  <si>
    <t>박성자</t>
  </si>
  <si>
    <t>익산시 평화동 133-6</t>
  </si>
  <si>
    <t>공구철물/베아링</t>
  </si>
  <si>
    <t>puhaha@naver.com</t>
  </si>
  <si>
    <t>(주)혜성팜</t>
  </si>
  <si>
    <t>윤효빈</t>
  </si>
  <si>
    <t>전라북도 김제시 백산면 지평선산단2길 292-4</t>
  </si>
  <si>
    <t>ych9453@hanmail.net</t>
  </si>
  <si>
    <t>(유)다담조경건설</t>
  </si>
  <si>
    <t>이미숙</t>
  </si>
  <si>
    <t>전라북도 익산시 무왕로 1194(부송동)3층</t>
  </si>
  <si>
    <t>기타 토목 시설물 건설업</t>
  </si>
  <si>
    <t>(주)현대창호산업</t>
  </si>
  <si>
    <t>이승주</t>
  </si>
  <si>
    <t>전북 전주시 완산구 석산마을길 26(삼천동3가)</t>
  </si>
  <si>
    <t>하이샤시,유리및창호</t>
  </si>
  <si>
    <t>(주)해냄</t>
  </si>
  <si>
    <t>이승훈, 박종환</t>
  </si>
  <si>
    <t>조경시설물,체육시설물</t>
  </si>
  <si>
    <t>uhn2023@daum.net</t>
  </si>
  <si>
    <t>(주)티엘건설</t>
  </si>
  <si>
    <t>정행모</t>
  </si>
  <si>
    <t>경기도 수원시 권선구 서수원로63번길 98(오목천동)</t>
  </si>
  <si>
    <t>tl1133@bill36524.com</t>
  </si>
  <si>
    <t>(주)트루케어</t>
  </si>
  <si>
    <t>문혜원</t>
  </si>
  <si>
    <t>경기도 과천시 상하벌로 38(과천동),2층</t>
  </si>
  <si>
    <t>truecare2020@naver.com</t>
  </si>
  <si>
    <t>(주)태현전력</t>
  </si>
  <si>
    <t>문혜란</t>
  </si>
  <si>
    <t>전북 익산시 신곳길 22(신용동)</t>
  </si>
  <si>
    <t>xotns57412@daum.net</t>
  </si>
  <si>
    <t>(주)쿨테이너</t>
  </si>
  <si>
    <t>임관빈</t>
  </si>
  <si>
    <t>전북 익산시 황등면 도선길 67</t>
  </si>
  <si>
    <t>농업기계</t>
  </si>
  <si>
    <t>cool_in@naver.com</t>
  </si>
  <si>
    <t>(주)코리아철물</t>
  </si>
  <si>
    <t>오상표</t>
  </si>
  <si>
    <t>전라북도 전주시 완산구 장교로 24(평화동3가)</t>
  </si>
  <si>
    <t>jasung5675@naver.com</t>
  </si>
  <si>
    <t>(주)켐디전기</t>
  </si>
  <si>
    <t>이선형</t>
  </si>
  <si>
    <t>전북 익산시 무왕로 31길 403(임상동)</t>
  </si>
  <si>
    <t>전기/공구철물</t>
  </si>
  <si>
    <t>kemd88@hanmail.net</t>
  </si>
  <si>
    <t>(주)진석종합건설</t>
  </si>
  <si>
    <t>이진석</t>
  </si>
  <si>
    <t>전북 익산시 약촌로 174, 604호(영등동, 지식산업센터)</t>
  </si>
  <si>
    <t>건축공사업, 주택공사업</t>
  </si>
  <si>
    <t>jinsuk4006@naver.com</t>
  </si>
  <si>
    <t>(주)주원디앤에이</t>
  </si>
  <si>
    <t>전북특별자치도 전주시 덕진구 화암4길 23, 101호(송천동2가)</t>
  </si>
  <si>
    <t>juwondna@naver.com</t>
  </si>
  <si>
    <t>(유)남성건설</t>
  </si>
  <si>
    <t>구광례</t>
  </si>
  <si>
    <t>전북 익산시 함라면 함라1길 56</t>
  </si>
  <si>
    <t>철근/토공사</t>
  </si>
  <si>
    <t>ns2432@hanmail.net</t>
  </si>
  <si>
    <t>(주)제일건설</t>
  </si>
  <si>
    <t>윤여웅</t>
  </si>
  <si>
    <t>전북 익산시 중앙동 2가 7-1</t>
  </si>
  <si>
    <t>rkdrudwo09@naver.com</t>
  </si>
  <si>
    <t>(주)제이에이치</t>
  </si>
  <si>
    <t>유정하</t>
  </si>
  <si>
    <t>전북 군산시 옥구읍 광월길 28-8</t>
  </si>
  <si>
    <t>조경,금속울타리</t>
  </si>
  <si>
    <t>juwon0012@hanmail.net</t>
  </si>
  <si>
    <t>(주)정원종합건설</t>
  </si>
  <si>
    <t>박정남</t>
  </si>
  <si>
    <t>전북 익산시 어양동 144-2</t>
  </si>
  <si>
    <t>jwon2464@hanmail.net</t>
  </si>
  <si>
    <t>(주)이지건설</t>
  </si>
  <si>
    <t>박재호</t>
  </si>
  <si>
    <t>서울특별시 금천구 디지털로10길 69,비동</t>
  </si>
  <si>
    <t>eg8042@hanmail.net</t>
  </si>
  <si>
    <t>(주)육선개발</t>
  </si>
  <si>
    <t>노중갑</t>
  </si>
  <si>
    <t>전라북도 익산시 동서로 370,4층 405호</t>
  </si>
  <si>
    <t>건설,도매</t>
  </si>
  <si>
    <t>건축공사,건설자재,가구</t>
  </si>
  <si>
    <t>yuk8075@naver.com</t>
  </si>
  <si>
    <t>(주)유성종합건설</t>
  </si>
  <si>
    <t>최시곤</t>
  </si>
  <si>
    <t>전라북도 김제시 만경로 128</t>
  </si>
  <si>
    <t>건축공사,철물구조업</t>
  </si>
  <si>
    <t>dbtjd3204@naver.com</t>
  </si>
  <si>
    <t>(주)원일금속</t>
  </si>
  <si>
    <t>정진옥</t>
  </si>
  <si>
    <t>전라북도익산시무왕로2길 110</t>
  </si>
  <si>
    <t>제조업,도소매,부동산업및임대업</t>
  </si>
  <si>
    <t>금속조립구조재</t>
  </si>
  <si>
    <t>wimt8663@naver.com</t>
  </si>
  <si>
    <t>(주)오산종합건설</t>
  </si>
  <si>
    <t>이희종</t>
  </si>
  <si>
    <t>전북 익산시 오산면 오산로 226,제1동</t>
  </si>
  <si>
    <t>osan3671@naver.com</t>
  </si>
  <si>
    <t>(주)예림조경건설</t>
  </si>
  <si>
    <t>노병관</t>
  </si>
  <si>
    <t>전라북도 전주시 완산구 서신동 838, 대송빌딩 502</t>
  </si>
  <si>
    <t>조경식재공사업,조경시설물공사업,수목</t>
  </si>
  <si>
    <t>yl67276@hanmail.net</t>
  </si>
  <si>
    <t>(주)엘피스산업개발</t>
  </si>
  <si>
    <t>권미영</t>
  </si>
  <si>
    <t>경기도 김포시 대곶면 용두로 59, 1층</t>
  </si>
  <si>
    <t>강구조물</t>
  </si>
  <si>
    <t>lps2045@bill36524.com</t>
  </si>
  <si>
    <t>(유)금원건설</t>
  </si>
  <si>
    <t>전라북도 김제시 신풍길 253-5,201호 (제니오피스텔)</t>
  </si>
  <si>
    <t>골재,벽돌 및 시멘트 도매업</t>
  </si>
  <si>
    <t>yeoshe@naver.com</t>
  </si>
  <si>
    <t>거래처</t>
  </si>
  <si>
    <t>사업자번호</t>
  </si>
  <si>
    <t>공급가액</t>
  </si>
  <si>
    <t>부가세</t>
  </si>
  <si>
    <t>합계액</t>
  </si>
  <si>
    <t xml:space="preserve"> </t>
    <phoneticPr fontId="2" type="noConversion"/>
  </si>
  <si>
    <t>철물 외</t>
    <phoneticPr fontId="2" type="noConversion"/>
  </si>
  <si>
    <t>이정원</t>
    <phoneticPr fontId="2" type="noConversion"/>
  </si>
  <si>
    <t>전북특별자치도 전주시 완산구 중산1길 4-4,2층(중화산동2가)</t>
    <phoneticPr fontId="2" type="noConversion"/>
  </si>
  <si>
    <t>4168147776</t>
    <phoneticPr fontId="2" type="noConversion"/>
  </si>
  <si>
    <t>금록토건 주식회사</t>
    <phoneticPr fontId="2" type="noConversion"/>
  </si>
  <si>
    <t>서철수</t>
    <phoneticPr fontId="2" type="noConversion"/>
  </si>
  <si>
    <t>전북특별자치도 순창군 금과면 금풍로 160</t>
    <phoneticPr fontId="2" type="noConversion"/>
  </si>
  <si>
    <t>건축공사</t>
    <phoneticPr fontId="2" type="noConversion"/>
  </si>
  <si>
    <t>0116058758@hanmail.net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</si>
</sst>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yyyy\-mm\-dd"/>
  </numFmts>
  <fonts count="18" x14ac:knownFonts="1">
    <font>
      <sz val="11"/>
      <color theme="1"/>
      <name val="맑은 고딕"/>
      <family val="2"/>
      <charset val="129"/>
      <scheme val="minor"/>
    </font>
    <font>
      <b/>
      <sz val="24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4"/>
      <color indexed="10"/>
      <name val="돋움"/>
      <family val="3"/>
      <charset val="129"/>
    </font>
    <font>
      <sz val="14"/>
      <name val="돋움"/>
      <family val="3"/>
      <charset val="129"/>
    </font>
    <font>
      <b/>
      <sz val="14"/>
      <name val="돋움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2"/>
      <scheme val="minor"/>
    </font>
    <font>
      <b/>
      <sz val="11"/>
      <color rgb="FFFFFFFF"/>
      <name val="Calibri"/>
      <family val="2"/>
    </font>
    <font>
      <i/>
      <sz val="11"/>
      <color rgb="FF7F7F7F"/>
      <name val="Calibri"/>
      <family val="2"/>
    </font>
    <font>
      <b/>
      <sz val="11"/>
      <name val="Calibri"/>
      <family val="2"/>
    </font>
    <font>
      <sz val="10"/>
      <name val="Arial"/>
      <family val="2"/>
    </font>
    <font>
      <sz val="11"/>
      <color theme="1"/>
      <name val="맑은 고딕"/>
      <family val="3"/>
      <charset val="129"/>
      <scheme val="minor"/>
    </font>
    <font>
      <sz val="10"/>
      <name val="돋움"/>
      <family val="3"/>
      <charset val="129"/>
    </font>
    <font>
      <sz val="11"/>
      <color rgb="FF444746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1F4E79"/>
      </patternFill>
    </fill>
    <fill>
      <patternFill patternType="solid">
        <fgColor rgb="FFFFCC99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rgb="FFD9D9D9"/>
      </bottom>
      <diagonal/>
    </border>
  </borders>
  <cellStyleXfs count="4">
    <xf numFmtId="0" fontId="0" fillId="0" borderId="0">
      <alignment vertical="center"/>
    </xf>
    <xf numFmtId="0" fontId="8" fillId="0" borderId="0"/>
    <xf numFmtId="41" fontId="16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7" fillId="3" borderId="2" xfId="0" applyNumberFormat="1" applyFont="1" applyFill="1" applyBorder="1" applyAlignment="1">
      <alignment horizontal="center" vertical="center" wrapText="1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 wrapText="1"/>
    </xf>
    <xf numFmtId="49" fontId="0" fillId="4" borderId="3" xfId="0" applyNumberFormat="1" applyFill="1" applyBorder="1" applyAlignment="1">
      <alignment horizontal="center" vertical="center" wrapText="1"/>
    </xf>
    <xf numFmtId="49" fontId="0" fillId="3" borderId="3" xfId="0" applyNumberFormat="1" applyFill="1" applyBorder="1" applyAlignment="1">
      <alignment horizontal="center" vertical="center"/>
    </xf>
    <xf numFmtId="49" fontId="7" fillId="4" borderId="3" xfId="0" applyNumberFormat="1" applyFont="1" applyFill="1" applyBorder="1" applyAlignment="1">
      <alignment horizontal="center" vertical="center"/>
    </xf>
    <xf numFmtId="49" fontId="7" fillId="4" borderId="3" xfId="0" applyNumberFormat="1" applyFont="1" applyFill="1" applyBorder="1" applyAlignment="1">
      <alignment horizontal="center" vertical="center" wrapText="1"/>
    </xf>
    <xf numFmtId="49" fontId="7" fillId="3" borderId="4" xfId="0" applyNumberFormat="1" applyFont="1" applyFill="1" applyBorder="1" applyAlignment="1">
      <alignment horizontal="center" vertical="center" wrapText="1"/>
    </xf>
    <xf numFmtId="49" fontId="7" fillId="0" borderId="0" xfId="0" applyNumberFormat="1" applyFont="1" applyAlignment="1">
      <alignment horizontal="center" vertical="center"/>
    </xf>
    <xf numFmtId="49" fontId="0" fillId="3" borderId="5" xfId="0" applyNumberFormat="1" applyFill="1" applyBorder="1" applyAlignment="1" applyProtection="1">
      <protection locked="0"/>
    </xf>
    <xf numFmtId="49" fontId="0" fillId="3" borderId="6" xfId="0" applyNumberFormat="1" applyFill="1" applyBorder="1" applyAlignment="1" applyProtection="1">
      <protection locked="0"/>
    </xf>
    <xf numFmtId="49" fontId="0" fillId="0" borderId="7" xfId="0" applyNumberFormat="1" applyBorder="1" applyAlignment="1" applyProtection="1">
      <protection locked="0"/>
    </xf>
    <xf numFmtId="49" fontId="0" fillId="0" borderId="6" xfId="0" applyNumberFormat="1" applyBorder="1" applyAlignment="1" applyProtection="1">
      <protection locked="0"/>
    </xf>
    <xf numFmtId="49" fontId="0" fillId="3" borderId="8" xfId="0" applyNumberFormat="1" applyFill="1" applyBorder="1" applyAlignment="1" applyProtection="1">
      <protection locked="0"/>
    </xf>
    <xf numFmtId="49" fontId="0" fillId="0" borderId="0" xfId="0" applyNumberFormat="1" applyProtection="1">
      <alignment vertical="center"/>
      <protection locked="0"/>
    </xf>
    <xf numFmtId="0" fontId="9" fillId="5" borderId="9" xfId="1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10" xfId="0" applyBorder="1">
      <alignment vertical="center"/>
    </xf>
    <xf numFmtId="0" fontId="10" fillId="2" borderId="9" xfId="1" applyFont="1" applyFill="1" applyBorder="1" applyAlignment="1">
      <alignment vertical="center" wrapText="1"/>
    </xf>
    <xf numFmtId="176" fontId="10" fillId="2" borderId="9" xfId="1" applyNumberFormat="1" applyFont="1" applyFill="1" applyBorder="1" applyAlignment="1">
      <alignment vertical="center" wrapText="1"/>
    </xf>
    <xf numFmtId="0" fontId="10" fillId="2" borderId="9" xfId="1" applyFont="1" applyFill="1" applyBorder="1" applyAlignment="1">
      <alignment horizontal="center" vertical="center"/>
    </xf>
    <xf numFmtId="0" fontId="0" fillId="0" borderId="9" xfId="1" applyFont="1" applyBorder="1" applyAlignment="1">
      <alignment vertical="top" wrapText="1"/>
    </xf>
    <xf numFmtId="0" fontId="11" fillId="0" borderId="9" xfId="1" applyFont="1" applyBorder="1" applyAlignment="1">
      <alignment horizontal="center" vertical="center"/>
    </xf>
    <xf numFmtId="0" fontId="13" fillId="0" borderId="10" xfId="0" applyFont="1" applyBorder="1">
      <alignment vertical="center"/>
    </xf>
    <xf numFmtId="0" fontId="14" fillId="0" borderId="10" xfId="0" applyFont="1" applyBorder="1">
      <alignment vertical="center"/>
    </xf>
    <xf numFmtId="0" fontId="10" fillId="2" borderId="11" xfId="1" applyFont="1" applyFill="1" applyBorder="1" applyAlignment="1">
      <alignment horizontal="center" vertical="center"/>
    </xf>
    <xf numFmtId="0" fontId="11" fillId="0" borderId="11" xfId="1" applyFont="1" applyBorder="1" applyAlignment="1">
      <alignment horizontal="center" vertical="center"/>
    </xf>
    <xf numFmtId="0" fontId="9" fillId="5" borderId="12" xfId="1" applyFont="1" applyFill="1" applyBorder="1" applyAlignment="1">
      <alignment horizontal="center" vertical="center" wrapText="1"/>
    </xf>
    <xf numFmtId="0" fontId="9" fillId="5" borderId="13" xfId="1" applyFont="1" applyFill="1" applyBorder="1" applyAlignment="1">
      <alignment horizontal="center" vertical="center" wrapText="1"/>
    </xf>
    <xf numFmtId="49" fontId="0" fillId="0" borderId="10" xfId="0" applyNumberFormat="1" applyBorder="1">
      <alignment vertical="center"/>
    </xf>
    <xf numFmtId="49" fontId="12" fillId="0" borderId="10" xfId="0" applyNumberFormat="1" applyFont="1" applyBorder="1">
      <alignment vertical="center"/>
    </xf>
    <xf numFmtId="49" fontId="0" fillId="0" borderId="9" xfId="1" applyNumberFormat="1" applyFont="1" applyBorder="1" applyAlignment="1">
      <alignment vertical="top" wrapText="1"/>
    </xf>
    <xf numFmtId="49" fontId="0" fillId="0" borderId="0" xfId="0" applyNumberFormat="1" applyAlignment="1"/>
    <xf numFmtId="0" fontId="13" fillId="0" borderId="6" xfId="0" applyFont="1" applyBorder="1" applyAlignment="1" applyProtection="1">
      <alignment wrapText="1"/>
      <protection locked="0"/>
    </xf>
    <xf numFmtId="0" fontId="13" fillId="0" borderId="15" xfId="0" applyFont="1" applyBorder="1">
      <alignment vertical="center"/>
    </xf>
    <xf numFmtId="0" fontId="13" fillId="0" borderId="16" xfId="0" applyFont="1" applyBorder="1" applyAlignment="1" applyProtection="1">
      <protection locked="0"/>
    </xf>
    <xf numFmtId="0" fontId="13" fillId="0" borderId="17" xfId="0" applyFont="1" applyBorder="1" applyAlignment="1" applyProtection="1">
      <alignment wrapText="1"/>
      <protection locked="0"/>
    </xf>
    <xf numFmtId="0" fontId="15" fillId="0" borderId="14" xfId="0" applyFont="1" applyBorder="1" applyAlignment="1">
      <alignment horizontal="left" vertical="center" indent="1"/>
    </xf>
    <xf numFmtId="0" fontId="0" fillId="0" borderId="14" xfId="0" applyBorder="1">
      <alignment vertical="center"/>
    </xf>
    <xf numFmtId="0" fontId="0" fillId="0" borderId="0" xfId="0" applyAlignment="1">
      <alignment horizontal="left" vertical="center"/>
    </xf>
    <xf numFmtId="38" fontId="0" fillId="0" borderId="0" xfId="0" applyNumberFormat="1" applyAlignment="1">
      <alignment horizontal="right" vertical="center"/>
    </xf>
    <xf numFmtId="41" fontId="0" fillId="0" borderId="0" xfId="2" applyFont="1">
      <alignment vertical="center"/>
    </xf>
    <xf numFmtId="41" fontId="5" fillId="0" borderId="0" xfId="2" applyFont="1">
      <alignment vertical="center"/>
    </xf>
    <xf numFmtId="41" fontId="3" fillId="0" borderId="0" xfId="2" applyFont="1">
      <alignment vertical="center"/>
    </xf>
    <xf numFmtId="41" fontId="0" fillId="3" borderId="3" xfId="2" applyFont="1" applyFill="1" applyBorder="1" applyAlignment="1">
      <alignment horizontal="center" vertical="center" wrapText="1"/>
    </xf>
    <xf numFmtId="41" fontId="0" fillId="3" borderId="6" xfId="2" applyFont="1" applyFill="1" applyBorder="1" applyAlignment="1" applyProtection="1">
      <protection locked="0"/>
    </xf>
    <xf numFmtId="41" fontId="0" fillId="0" borderId="0" xfId="2" applyFont="1" applyProtection="1">
      <alignment vertical="center"/>
      <protection locked="0"/>
    </xf>
    <xf numFmtId="0" fontId="0" fillId="3" borderId="6" xfId="0" applyFill="1" applyBorder="1" applyAlignment="1" applyProtection="1">
      <protection locked="0"/>
    </xf>
    <xf numFmtId="49" fontId="7" fillId="6" borderId="3" xfId="0" applyNumberFormat="1" applyFont="1" applyFill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/>
    </xf>
    <xf numFmtId="0" fontId="0" fillId="3" borderId="6" xfId="0" applyNumberFormat="1" applyFill="1" applyBorder="1" applyAlignment="1" applyProtection="1">
      <protection locked="0"/>
    </xf>
    <xf numFmtId="41" fontId="7" fillId="3" borderId="3" xfId="2" applyFont="1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38" fontId="0" fillId="0" borderId="14" xfId="0" applyNumberFormat="1" applyBorder="1" applyAlignment="1">
      <alignment horizontal="right" vertical="center"/>
    </xf>
    <xf numFmtId="49" fontId="4" fillId="0" borderId="0" xfId="0" applyNumberFormat="1" applyFont="1" applyAlignment="1">
      <alignment horizontal="left" vertical="top" wrapText="1"/>
    </xf>
    <xf numFmtId="49" fontId="0" fillId="0" borderId="0" xfId="0" applyNumberFormat="1">
      <alignment vertical="center"/>
    </xf>
    <xf numFmtId="49" fontId="1" fillId="0" borderId="0" xfId="0" applyNumberFormat="1" applyFont="1" applyAlignment="1">
      <alignment horizontal="center" vertical="center"/>
    </xf>
    <xf numFmtId="49" fontId="6" fillId="0" borderId="1" xfId="0" applyNumberFormat="1" applyFont="1" applyBorder="1" applyAlignment="1">
      <alignment vertical="center" wrapText="1"/>
    </xf>
    <xf numFmtId="0" fontId="0" fillId="0" borderId="1" xfId="0" applyBorder="1" applyAlignment="1"/>
    <xf numFmtId="49" fontId="5" fillId="0" borderId="0" xfId="0" applyNumberFormat="1" applyFont="1">
      <alignment vertical="center"/>
    </xf>
    <xf numFmtId="0" fontId="17" fillId="0" borderId="18" xfId="3" applyBorder="1">
      <alignment vertical="center"/>
    </xf>
  </cellXfs>
  <cellStyles count="4">
    <cellStyle name="Normal" xfId="1"/>
    <cellStyle name="쉼표 [0]" xfId="2" builtinId="6"/>
    <cellStyle name="표준" xfId="0" builtinId="0"/>
    <cellStyle name="하이퍼링크" xfId="3" builtinId="8"/>
  </cellStyles>
  <dxfs count="44">
    <dxf>
      <fill>
        <patternFill>
          <bgColor rgb="FFFFF2CC"/>
        </patternFill>
      </fill>
    </dxf>
    <dxf>
      <fill>
        <patternFill>
          <bgColor rgb="FFF8CBAD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8CBAD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8CBAD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8CBAD"/>
        </patternFill>
      </fill>
    </dxf>
    <dxf>
      <fill>
        <patternFill>
          <bgColor rgb="FFFFF2CC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Calibri"/>
      </font>
      <alignment horizontal="center" vertical="center"/>
      <border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Calibri"/>
      </font>
      <alignment horizontal="center" vertical="center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i/>
        <strike val="0"/>
        <condense val="0"/>
        <extend val="0"/>
        <outline val="0"/>
        <shadow val="0"/>
        <vertAlign val="baseline"/>
        <sz val="11"/>
        <color rgb="FF7F7F7F"/>
        <name val="Calibri"/>
      </font>
      <numFmt numFmtId="176" formatCode="yyyy\-mm\-dd"/>
      <fill>
        <patternFill patternType="solid">
          <fgColor indexed="64"/>
          <bgColor rgb="FFF2F2F2"/>
        </patternFill>
      </fill>
      <alignment horizontal="general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i/>
        <strike val="0"/>
        <condense val="0"/>
        <extend val="0"/>
        <outline val="0"/>
        <shadow val="0"/>
        <vertAlign val="baseline"/>
        <sz val="11"/>
        <color rgb="FF7F7F7F"/>
        <name val="Calibri"/>
      </font>
      <fill>
        <patternFill patternType="solid">
          <fgColor indexed="64"/>
          <bgColor rgb="FFF2F2F2"/>
        </patternFill>
      </fill>
      <alignment horizontal="general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맑은 고딕"/>
        <scheme val="minor"/>
      </font>
      <alignment horizontal="general" vertical="top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맑은 고딕"/>
        <scheme val="minor"/>
      </font>
      <alignment horizontal="general" vertical="top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맑은 고딕"/>
        <scheme val="minor"/>
      </font>
      <alignment horizontal="general" vertical="top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맑은 고딕"/>
        <scheme val="minor"/>
      </font>
      <alignment horizontal="general" vertical="top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맑은 고딕"/>
        <scheme val="minor"/>
      </font>
      <alignment horizontal="general" vertical="top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alignment horizontal="general" vertical="center"/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alignment horizontal="general" vertical="center"/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alignment horizontal="general" vertical="center"/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alignment horizontal="general" vertical="center"/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alignment horizontal="general" vertical="center"/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alignment horizontal="general" vertical="center"/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numFmt numFmtId="30" formatCode="@"/>
      <alignment horizontal="general" vertical="center"/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border outline="0"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border outline="0">
        <bottom style="thin">
          <color rgb="FFD9D9D9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/>
        <bottom/>
      </border>
    </dxf>
    <dxf>
      <fill>
        <patternFill>
          <bgColor rgb="FFFFF2CC"/>
        </patternFill>
      </fill>
    </dxf>
    <dxf>
      <fill>
        <patternFill>
          <bgColor rgb="FFF8CBAD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8CBAD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8CBAD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8CBAD"/>
        </patternFill>
      </fill>
    </dxf>
    <dxf>
      <fill>
        <patternFill>
          <bgColor rgb="FFFFF2CC"/>
        </patternFill>
      </fill>
    </dxf>
    <dxf>
      <fill>
        <gradientFill degree="90">
          <stop position="0">
            <color theme="0"/>
          </stop>
          <stop position="1">
            <color rgb="FFEA4646"/>
          </stop>
        </gradientFill>
      </fill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blClient" displayName="tblClient" ref="A1:P637" totalsRowShown="0" headerRowDxfId="30" headerRowBorderDxfId="29" tableBorderDxfId="28" headerRowCellStyle="Normal">
  <autoFilter ref="A1:P637"/>
  <tableColumns count="16">
    <tableColumn id="1" name="공급받는자 등록번호_x000a_(&quot;-&quot; 없이 입력)" dataDxfId="27"/>
    <tableColumn id="2" name="거래처명 " dataDxfId="26"/>
    <tableColumn id="3" name="대표자(성명)" dataDxfId="25"/>
    <tableColumn id="4" name="사업장주소" dataDxfId="24"/>
    <tableColumn id="5" name="업태" dataDxfId="23"/>
    <tableColumn id="6" name="종목" dataDxfId="22"/>
    <tableColumn id="7" name="이메일1" dataDxfId="21"/>
    <tableColumn id="8" name="이메일2(선택)" dataDxfId="20" dataCellStyle="Normal"/>
    <tableColumn id="9" name="담당자(선택)" dataDxfId="19" dataCellStyle="Normal"/>
    <tableColumn id="10" name="휴대폰(선택)" dataDxfId="18" dataCellStyle="Normal"/>
    <tableColumn id="11" name="전화(선택)" dataDxfId="17" dataCellStyle="Normal"/>
    <tableColumn id="12" name="메모(선택)" dataDxfId="16" dataCellStyle="Normal"/>
    <tableColumn id="13" name="사용여부(Y/N) *" dataDxfId="15" dataCellStyle="Normal"/>
    <tableColumn id="14" name="등록일(선택)" dataDxfId="14" dataCellStyle="Normal"/>
    <tableColumn id="15" name="검증_등록번호" dataDxfId="13" dataCellStyle="Normal">
      <calculatedColumnFormula>IF(A2="","",IFERROR(IF(AND(LEN(A2)=10,NOT(ISERROR(VALUE(A2)))),"OK","확인"),"확인"))</calculatedColumnFormula>
    </tableColumn>
    <tableColumn id="16" name="검증_중복" dataDxfId="12" dataCellStyle="Normal">
      <calculatedColumnFormula>IF(A2="","",IF(COUNTIF($A$2:$A$1946,A2)&gt;1,"중복",""))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0116058758@hanmail.n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G2000"/>
  <sheetViews>
    <sheetView workbookViewId="0">
      <selection activeCell="B11" sqref="B11"/>
    </sheetView>
  </sheetViews>
  <sheetFormatPr defaultColWidth="9" defaultRowHeight="16.5" x14ac:dyDescent="0.3"/>
  <cols>
    <col min="1" max="1" width="22" style="18" bestFit="1" customWidth="1"/>
    <col min="2" max="2" width="10.75" style="18" bestFit="1" customWidth="1"/>
    <col min="3" max="3" width="16.375" style="18" bestFit="1" customWidth="1"/>
    <col min="4" max="5" width="14.375" style="18" bestFit="1" customWidth="1"/>
    <col min="6" max="6" width="12.125" style="18" bestFit="1" customWidth="1"/>
    <col min="7" max="7" width="26.875" style="18" bestFit="1" customWidth="1"/>
    <col min="8" max="9" width="12.125" style="18" bestFit="1" customWidth="1"/>
    <col min="10" max="10" width="19.5" style="18" bestFit="1" customWidth="1"/>
    <col min="11" max="11" width="20.75" style="18" bestFit="1" customWidth="1"/>
    <col min="12" max="12" width="13.625" style="18" bestFit="1" customWidth="1"/>
    <col min="13" max="14" width="16.375" style="18" bestFit="1" customWidth="1"/>
    <col min="15" max="15" width="23" style="18" bestFit="1" customWidth="1"/>
    <col min="16" max="17" width="16.375" style="18" bestFit="1" customWidth="1"/>
    <col min="18" max="18" width="34.25" style="18" bestFit="1" customWidth="1"/>
    <col min="19" max="19" width="22.125" style="18" bestFit="1" customWidth="1"/>
    <col min="20" max="20" width="11.75" style="50" bestFit="1" customWidth="1"/>
    <col min="21" max="21" width="10.75" style="50" bestFit="1" customWidth="1"/>
    <col min="22" max="22" width="5.625" style="18" bestFit="1" customWidth="1"/>
    <col min="23" max="23" width="12.625" style="18" customWidth="1"/>
    <col min="24" max="24" width="12.125" style="18" bestFit="1" customWidth="1"/>
    <col min="25" max="25" width="15.5" style="18" bestFit="1" customWidth="1"/>
    <col min="26" max="26" width="6.875" style="18" bestFit="1" customWidth="1"/>
    <col min="27" max="27" width="7.375" style="18" bestFit="1" customWidth="1"/>
    <col min="28" max="28" width="10.75" style="50" customWidth="1"/>
    <col min="29" max="29" width="8.5" style="50" customWidth="1"/>
    <col min="30" max="30" width="10.375" style="18" bestFit="1" customWidth="1"/>
    <col min="31" max="31" width="12.5" style="18" customWidth="1"/>
    <col min="32" max="32" width="12.125" style="18" bestFit="1" customWidth="1"/>
    <col min="33" max="33" width="15.5" style="18" bestFit="1" customWidth="1"/>
    <col min="34" max="34" width="6.625" style="18" bestFit="1" customWidth="1"/>
    <col min="35" max="35" width="7.375" style="18" bestFit="1" customWidth="1"/>
    <col min="36" max="36" width="10.75" style="18" customWidth="1"/>
    <col min="37" max="37" width="8.5" style="18" customWidth="1"/>
    <col min="38" max="38" width="10.375" style="18" bestFit="1" customWidth="1"/>
    <col min="39" max="39" width="12.125" style="18" customWidth="1"/>
    <col min="40" max="40" width="11.375" style="18" bestFit="1" customWidth="1"/>
    <col min="41" max="41" width="13.125" style="18" bestFit="1" customWidth="1"/>
    <col min="42" max="42" width="6.625" style="18" bestFit="1" customWidth="1"/>
    <col min="43" max="43" width="7.375" style="18" bestFit="1" customWidth="1"/>
    <col min="44" max="44" width="10.75" style="18" customWidth="1"/>
    <col min="45" max="45" width="8.5" style="18" customWidth="1"/>
    <col min="46" max="46" width="10.375" style="18" bestFit="1" customWidth="1"/>
    <col min="47" max="47" width="11.625" style="18" customWidth="1"/>
    <col min="48" max="48" width="11.375" style="18" bestFit="1" customWidth="1"/>
    <col min="49" max="49" width="13.125" style="18" bestFit="1" customWidth="1"/>
    <col min="50" max="50" width="6.625" style="18" bestFit="1" customWidth="1"/>
    <col min="51" max="51" width="7.375" style="18" bestFit="1" customWidth="1"/>
    <col min="52" max="52" width="10.75" style="18" customWidth="1"/>
    <col min="53" max="53" width="8.5" style="18" customWidth="1"/>
    <col min="54" max="54" width="10.375" style="18" bestFit="1" customWidth="1"/>
    <col min="55" max="55" width="9.625" style="18" bestFit="1" customWidth="1"/>
    <col min="56" max="56" width="8.5" style="18" bestFit="1" customWidth="1"/>
    <col min="57" max="57" width="9.625" style="18" bestFit="1" customWidth="1"/>
    <col min="58" max="58" width="11.375" style="18" bestFit="1" customWidth="1"/>
    <col min="59" max="59" width="9.875" style="18" bestFit="1" customWidth="1"/>
    <col min="60" max="60" width="9" style="18" customWidth="1"/>
    <col min="61" max="16384" width="9" style="18"/>
  </cols>
  <sheetData>
    <row r="1" spans="1:59" s="1" customFormat="1" ht="31.15" customHeight="1" thickBot="1" x14ac:dyDescent="0.35">
      <c r="A1" s="60" t="s">
        <v>0</v>
      </c>
      <c r="B1" s="59"/>
      <c r="C1" s="59"/>
      <c r="D1" s="59"/>
      <c r="E1" s="59"/>
      <c r="F1" s="59"/>
      <c r="G1" s="59"/>
      <c r="T1" s="45"/>
      <c r="U1" s="45"/>
      <c r="AB1" s="45"/>
      <c r="AC1" s="45"/>
    </row>
    <row r="2" spans="1:59" s="1" customFormat="1" ht="42" hidden="1" customHeight="1" x14ac:dyDescent="0.3">
      <c r="A2" s="58" t="s">
        <v>1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T2" s="45"/>
      <c r="U2" s="45"/>
      <c r="AB2" s="45"/>
      <c r="AC2" s="45"/>
    </row>
    <row r="3" spans="1:59" s="2" customFormat="1" ht="45" hidden="1" customHeight="1" x14ac:dyDescent="0.3">
      <c r="A3" s="58" t="s">
        <v>2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T3" s="46"/>
      <c r="U3" s="46"/>
      <c r="AB3" s="46"/>
      <c r="AC3" s="46"/>
    </row>
    <row r="4" spans="1:59" s="2" customFormat="1" ht="96" hidden="1" customHeight="1" x14ac:dyDescent="0.3">
      <c r="A4" s="58" t="s">
        <v>3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T4" s="46"/>
      <c r="U4" s="46"/>
      <c r="AB4" s="46"/>
      <c r="AC4" s="46"/>
    </row>
    <row r="5" spans="1:59" s="3" customFormat="1" ht="84.75" hidden="1" customHeight="1" thickBot="1" x14ac:dyDescent="0.35">
      <c r="A5" s="61" t="s">
        <v>4</v>
      </c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1"/>
      <c r="N5" s="1"/>
      <c r="O5" s="1"/>
      <c r="P5" s="1"/>
      <c r="Q5" s="1"/>
      <c r="R5" s="1"/>
      <c r="S5" s="1"/>
      <c r="T5" s="47"/>
      <c r="U5" s="47"/>
      <c r="AB5" s="47"/>
      <c r="AC5" s="47"/>
    </row>
    <row r="6" spans="1:59" s="12" customFormat="1" ht="46.5" customHeight="1" x14ac:dyDescent="0.3">
      <c r="A6" s="4" t="s">
        <v>5</v>
      </c>
      <c r="B6" s="5" t="s">
        <v>6</v>
      </c>
      <c r="C6" s="6" t="s">
        <v>7</v>
      </c>
      <c r="D6" s="7" t="s">
        <v>8</v>
      </c>
      <c r="E6" s="8" t="s">
        <v>9</v>
      </c>
      <c r="F6" s="8" t="s">
        <v>10</v>
      </c>
      <c r="G6" s="9" t="s">
        <v>11</v>
      </c>
      <c r="H6" s="9" t="s">
        <v>12</v>
      </c>
      <c r="I6" s="9" t="s">
        <v>13</v>
      </c>
      <c r="J6" s="9" t="s">
        <v>14</v>
      </c>
      <c r="K6" s="52" t="s">
        <v>15</v>
      </c>
      <c r="L6" s="10" t="s">
        <v>16</v>
      </c>
      <c r="M6" s="8" t="s">
        <v>17</v>
      </c>
      <c r="N6" s="5" t="s">
        <v>18</v>
      </c>
      <c r="O6" s="9" t="s">
        <v>19</v>
      </c>
      <c r="P6" s="9" t="s">
        <v>20</v>
      </c>
      <c r="Q6" s="9" t="s">
        <v>21</v>
      </c>
      <c r="R6" s="9" t="s">
        <v>22</v>
      </c>
      <c r="S6" s="9" t="s">
        <v>23</v>
      </c>
      <c r="T6" s="48" t="s">
        <v>24</v>
      </c>
      <c r="U6" s="48" t="s">
        <v>25</v>
      </c>
      <c r="V6" s="9" t="s">
        <v>26</v>
      </c>
      <c r="W6" s="6" t="s">
        <v>27</v>
      </c>
      <c r="X6" s="9" t="s">
        <v>28</v>
      </c>
      <c r="Y6" s="9" t="s">
        <v>29</v>
      </c>
      <c r="Z6" s="9" t="s">
        <v>30</v>
      </c>
      <c r="AA6" s="9" t="s">
        <v>31</v>
      </c>
      <c r="AB6" s="55" t="s">
        <v>32</v>
      </c>
      <c r="AC6" s="55" t="s">
        <v>33</v>
      </c>
      <c r="AD6" s="9" t="s">
        <v>34</v>
      </c>
      <c r="AE6" s="10" t="s">
        <v>35</v>
      </c>
      <c r="AF6" s="9" t="s">
        <v>36</v>
      </c>
      <c r="AG6" s="9" t="s">
        <v>37</v>
      </c>
      <c r="AH6" s="9" t="s">
        <v>38</v>
      </c>
      <c r="AI6" s="9" t="s">
        <v>39</v>
      </c>
      <c r="AJ6" s="9" t="s">
        <v>40</v>
      </c>
      <c r="AK6" s="9" t="s">
        <v>41</v>
      </c>
      <c r="AL6" s="9" t="s">
        <v>42</v>
      </c>
      <c r="AM6" s="10" t="s">
        <v>43</v>
      </c>
      <c r="AN6" s="9" t="s">
        <v>44</v>
      </c>
      <c r="AO6" s="9" t="s">
        <v>45</v>
      </c>
      <c r="AP6" s="9" t="s">
        <v>46</v>
      </c>
      <c r="AQ6" s="9" t="s">
        <v>47</v>
      </c>
      <c r="AR6" s="9" t="s">
        <v>48</v>
      </c>
      <c r="AS6" s="9" t="s">
        <v>49</v>
      </c>
      <c r="AT6" s="9" t="s">
        <v>50</v>
      </c>
      <c r="AU6" s="10" t="s">
        <v>51</v>
      </c>
      <c r="AV6" s="9" t="s">
        <v>52</v>
      </c>
      <c r="AW6" s="9" t="s">
        <v>53</v>
      </c>
      <c r="AX6" s="9" t="s">
        <v>54</v>
      </c>
      <c r="AY6" s="9" t="s">
        <v>55</v>
      </c>
      <c r="AZ6" s="9" t="s">
        <v>56</v>
      </c>
      <c r="BA6" s="9" t="s">
        <v>57</v>
      </c>
      <c r="BB6" s="9" t="s">
        <v>58</v>
      </c>
      <c r="BC6" s="9" t="s">
        <v>59</v>
      </c>
      <c r="BD6" s="9" t="s">
        <v>60</v>
      </c>
      <c r="BE6" s="9" t="s">
        <v>61</v>
      </c>
      <c r="BF6" s="9" t="s">
        <v>62</v>
      </c>
      <c r="BG6" s="11" t="s">
        <v>63</v>
      </c>
    </row>
    <row r="7" spans="1:59" ht="24" customHeight="1" x14ac:dyDescent="0.3">
      <c r="A7" s="13" t="str">
        <f t="shared" ref="A7:A38" si="0">IF($K7="","","01")</f>
        <v/>
      </c>
      <c r="B7" s="51" t="str">
        <f ca="1">IF($K7="","",IF(파일1!#REF!="",TODAY(),파일1!#REF!))</f>
        <v/>
      </c>
      <c r="C7" s="14" t="str">
        <f t="shared" ref="C7:C38" si="1">IF($K7="","","4031409207")</f>
        <v/>
      </c>
      <c r="D7" s="15" t="str">
        <f t="shared" ref="D7:D38" si="2">IF($K7="","","")</f>
        <v/>
      </c>
      <c r="E7" s="14" t="str">
        <f t="shared" ref="E7:E38" si="3">IF($K7="","","오성AIT")</f>
        <v/>
      </c>
      <c r="F7" s="14" t="str">
        <f t="shared" ref="F7:F38" si="4">IF($K7="","","이후종")</f>
        <v/>
      </c>
      <c r="G7" s="16" t="str">
        <f t="shared" ref="G7:G38" si="5">IF($K7="","","전북 익산시 오산면 오산로 151")</f>
        <v/>
      </c>
      <c r="H7" s="16" t="str">
        <f t="shared" ref="H7:H38" si="6">IF($K7="","","도/소매")</f>
        <v/>
      </c>
      <c r="I7" s="16" t="str">
        <f t="shared" ref="I7:I38" si="7">IF($K7="","","철물/건재")</f>
        <v/>
      </c>
      <c r="J7" s="16" t="str">
        <f t="shared" ref="J7:J38" si="8">IF($K7="","","ohsungait@naver.com")</f>
        <v/>
      </c>
      <c r="K7" s="54" t="str">
        <f>IF(파일1!$B2="","",TEXT(파일1!$B2,"0"))</f>
        <v/>
      </c>
      <c r="L7" s="16"/>
      <c r="M7" s="38" t="str">
        <f>IF($K7="","",IFERROR(VLOOKUP(--SUBSTITUTE(SUBSTITUTE(TRIM($K7),"-","")," ",""),마스터시트!$A$2:$H$1946,2,FALSE),"미등록"))</f>
        <v/>
      </c>
      <c r="N7" s="53" t="str">
        <f>IF($K7="","",IFERROR(VLOOKUP(--SUBSTITUTE(SUBSTITUTE(TRIM($K7),"-","")," ",""),마스터시트!$A$2:$H$1946,3,FALSE),"미등록"))</f>
        <v/>
      </c>
      <c r="O7" s="39" t="str">
        <f>IF($K7="","",IFERROR(VLOOKUP(--SUBSTITUTE(SUBSTITUTE(TRIM($K7),"-","")," ",""),마스터시트!$A$2:$H$1946,4,FALSE),""))</f>
        <v/>
      </c>
      <c r="P7" s="37" t="str">
        <f>IF($K7="","",IFERROR(VLOOKUP(--SUBSTITUTE(SUBSTITUTE(TRIM($K7),"-","")," ",""),마스터시트!$A$2:$H$1946,5,FALSE),""))</f>
        <v/>
      </c>
      <c r="Q7" s="40" t="str">
        <f>IF($K7="","",IFERROR(VLOOKUP(--SUBSTITUTE(SUBSTITUTE(TRIM($K7),"-","")," ",""),마스터시트!$A$2:$H$1946,6,FALSE),""))</f>
        <v/>
      </c>
      <c r="R7" s="41" t="str">
        <f>IF($K7="","",IFERROR(VLOOKUP(--SUBSTITUTE(SUBSTITUTE(TRIM($K7),"-","")," ",""),마스터시트!$A$2:$H$1946,7,FALSE),""))</f>
        <v/>
      </c>
      <c r="S7" s="39"/>
      <c r="T7" s="49" t="s">
        <v>3023</v>
      </c>
      <c r="U7" s="49" t="str">
        <f>IF($K7="","",파일1!$D2)</f>
        <v/>
      </c>
      <c r="V7" s="16"/>
      <c r="W7" s="14" t="str">
        <f t="shared" ref="W7:W38" ca="1" si="9">IF($B7="","",TEXT($B7,"dd"))</f>
        <v/>
      </c>
      <c r="X7" s="16" t="s">
        <v>3024</v>
      </c>
      <c r="Y7" s="16"/>
      <c r="Z7" s="16"/>
      <c r="AA7" s="16"/>
      <c r="AB7" s="49" t="str">
        <f>IF($K7="","",파일1!$C2)</f>
        <v/>
      </c>
      <c r="AC7" s="49" t="str">
        <f>IF($K7="","",파일1!$D2)</f>
        <v/>
      </c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7" t="str">
        <f t="shared" ref="BG7:BG38" si="10">IF($K7="","","02")</f>
        <v/>
      </c>
    </row>
    <row r="8" spans="1:59" ht="24" customHeight="1" x14ac:dyDescent="0.3">
      <c r="A8" s="13" t="str">
        <f t="shared" si="0"/>
        <v/>
      </c>
      <c r="B8" s="51" t="str">
        <f ca="1">IF($K8="","",IF(파일1!#REF!="",TODAY(),파일1!#REF!))</f>
        <v/>
      </c>
      <c r="C8" s="14" t="str">
        <f t="shared" si="1"/>
        <v/>
      </c>
      <c r="D8" s="15" t="str">
        <f t="shared" si="2"/>
        <v/>
      </c>
      <c r="E8" s="14" t="str">
        <f t="shared" si="3"/>
        <v/>
      </c>
      <c r="F8" s="14" t="str">
        <f t="shared" si="4"/>
        <v/>
      </c>
      <c r="G8" s="16" t="str">
        <f t="shared" si="5"/>
        <v/>
      </c>
      <c r="H8" s="16" t="str">
        <f t="shared" si="6"/>
        <v/>
      </c>
      <c r="I8" s="16" t="str">
        <f t="shared" si="7"/>
        <v/>
      </c>
      <c r="J8" s="16" t="str">
        <f t="shared" si="8"/>
        <v/>
      </c>
      <c r="K8" s="54" t="str">
        <f>IF(파일1!$B3="","",TEXT(파일1!$B3,"0"))</f>
        <v/>
      </c>
      <c r="L8" s="16"/>
      <c r="M8" s="38" t="str">
        <f>IF($K8="","",IFERROR(VLOOKUP(--SUBSTITUTE(SUBSTITUTE(TRIM($K8),"-","")," ",""),마스터시트!$A$2:$H$1946,2,FALSE),"미등록"))</f>
        <v/>
      </c>
      <c r="N8" s="53" t="str">
        <f>IF($K8="","",IFERROR(VLOOKUP(--SUBSTITUTE(SUBSTITUTE(TRIM($K8),"-","")," ",""),마스터시트!$A$2:$H$1946,3,FALSE),"미등록"))</f>
        <v/>
      </c>
      <c r="O8" s="39" t="str">
        <f>IF($K8="","",IFERROR(VLOOKUP(--SUBSTITUTE(SUBSTITUTE(TRIM($K8),"-","")," ",""),마스터시트!$A$2:$H$1946,4,FALSE),""))</f>
        <v/>
      </c>
      <c r="P8" s="37" t="str">
        <f>IF($K8="","",IFERROR(VLOOKUP(--SUBSTITUTE(SUBSTITUTE(TRIM($K8),"-","")," ",""),마스터시트!$A$2:$H$1946,5,FALSE),""))</f>
        <v/>
      </c>
      <c r="Q8" s="40" t="str">
        <f>IF($K8="","",IFERROR(VLOOKUP(--SUBSTITUTE(SUBSTITUTE(TRIM($K8),"-","")," ",""),마스터시트!$A$2:$H$1946,6,FALSE),""))</f>
        <v/>
      </c>
      <c r="R8" s="41" t="str">
        <f>IF($K8="","",IFERROR(VLOOKUP(--SUBSTITUTE(SUBSTITUTE(TRIM($K8),"-","")," ",""),마스터시트!$A$2:$H$1946,7,FALSE),""))</f>
        <v/>
      </c>
      <c r="S8" s="39"/>
      <c r="T8" s="49" t="str">
        <f>IF($K8="","",파일1!$C3)</f>
        <v/>
      </c>
      <c r="U8" s="49" t="str">
        <f>IF($K8="","",파일1!$D3)</f>
        <v/>
      </c>
      <c r="V8" s="16"/>
      <c r="W8" s="14" t="str">
        <f t="shared" ca="1" si="9"/>
        <v/>
      </c>
      <c r="X8" s="16" t="s">
        <v>3024</v>
      </c>
      <c r="Y8" s="16" t="str">
        <f>IF($K8="","",파일1!#REF!)</f>
        <v/>
      </c>
      <c r="Z8" s="16" t="str">
        <f>IF($K8="","",IF(파일1!#REF!="",1,파일1!#REF!))</f>
        <v/>
      </c>
      <c r="AA8" s="16" t="str">
        <f>IF($K8="","",IF(파일1!#REF!="","",파일1!#REF!))</f>
        <v/>
      </c>
      <c r="AB8" s="49" t="str">
        <f>IF($K8="","",파일1!$C3)</f>
        <v/>
      </c>
      <c r="AC8" s="49" t="str">
        <f>IF($K8="","",파일1!$D3)</f>
        <v/>
      </c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7" t="str">
        <f t="shared" si="10"/>
        <v/>
      </c>
    </row>
    <row r="9" spans="1:59" ht="24" customHeight="1" x14ac:dyDescent="0.3">
      <c r="A9" s="13" t="str">
        <f t="shared" si="0"/>
        <v/>
      </c>
      <c r="B9" s="51" t="str">
        <f ca="1">IF($K9="","",IF(파일1!#REF!="",TODAY(),파일1!#REF!))</f>
        <v/>
      </c>
      <c r="C9" s="14" t="str">
        <f t="shared" si="1"/>
        <v/>
      </c>
      <c r="D9" s="15" t="str">
        <f t="shared" si="2"/>
        <v/>
      </c>
      <c r="E9" s="14" t="str">
        <f t="shared" si="3"/>
        <v/>
      </c>
      <c r="F9" s="14" t="str">
        <f t="shared" si="4"/>
        <v/>
      </c>
      <c r="G9" s="16" t="str">
        <f t="shared" si="5"/>
        <v/>
      </c>
      <c r="H9" s="16" t="str">
        <f t="shared" si="6"/>
        <v/>
      </c>
      <c r="I9" s="16" t="str">
        <f t="shared" si="7"/>
        <v/>
      </c>
      <c r="J9" s="16" t="str">
        <f t="shared" si="8"/>
        <v/>
      </c>
      <c r="K9" s="54" t="str">
        <f>IF(파일1!$B4="","",TEXT(파일1!$B4,"0"))</f>
        <v/>
      </c>
      <c r="L9" s="16"/>
      <c r="M9" s="38" t="str">
        <f>IF($K9="","",IFERROR(VLOOKUP(--SUBSTITUTE(SUBSTITUTE(TRIM($K9),"-","")," ",""),마스터시트!$A$2:$H$1946,2,FALSE),"미등록"))</f>
        <v/>
      </c>
      <c r="N9" s="53" t="str">
        <f>IF($K9="","",IFERROR(VLOOKUP(--SUBSTITUTE(SUBSTITUTE(TRIM($K9),"-","")," ",""),마스터시트!$A$2:$H$1946,3,FALSE),"미등록"))</f>
        <v/>
      </c>
      <c r="O9" s="39" t="str">
        <f>IF($K9="","",IFERROR(VLOOKUP(--SUBSTITUTE(SUBSTITUTE(TRIM($K9),"-","")," ",""),마스터시트!$A$2:$H$1946,4,FALSE),""))</f>
        <v/>
      </c>
      <c r="P9" s="37" t="str">
        <f>IF($K9="","",IFERROR(VLOOKUP(--SUBSTITUTE(SUBSTITUTE(TRIM($K9),"-","")," ",""),마스터시트!$A$2:$H$1946,5,FALSE),""))</f>
        <v/>
      </c>
      <c r="Q9" s="40" t="str">
        <f>IF($K9="","",IFERROR(VLOOKUP(--SUBSTITUTE(SUBSTITUTE(TRIM($K9),"-","")," ",""),마스터시트!$A$2:$H$1946,6,FALSE),""))</f>
        <v/>
      </c>
      <c r="R9" s="41" t="str">
        <f>IF($K9="","",IFERROR(VLOOKUP(--SUBSTITUTE(SUBSTITUTE(TRIM($K9),"-","")," ",""),마스터시트!$A$2:$H$1946,7,FALSE),""))</f>
        <v/>
      </c>
      <c r="S9" s="39"/>
      <c r="T9" s="49" t="str">
        <f>IF($K9="","",파일1!$C4)</f>
        <v/>
      </c>
      <c r="U9" s="49" t="str">
        <f>IF($K9="","",파일1!$D4)</f>
        <v/>
      </c>
      <c r="V9" s="16"/>
      <c r="W9" s="14" t="str">
        <f t="shared" ca="1" si="9"/>
        <v/>
      </c>
      <c r="X9" s="16" t="s">
        <v>3024</v>
      </c>
      <c r="Y9" s="16" t="str">
        <f>IF($K9="","",파일1!#REF!)</f>
        <v/>
      </c>
      <c r="Z9" s="16" t="str">
        <f>IF($K9="","",IF(파일1!#REF!="",1,파일1!#REF!))</f>
        <v/>
      </c>
      <c r="AA9" s="16" t="str">
        <f>IF($K9="","",IF(파일1!#REF!="","",파일1!#REF!))</f>
        <v/>
      </c>
      <c r="AB9" s="49" t="str">
        <f>IF($K9="","",파일1!$C4)</f>
        <v/>
      </c>
      <c r="AC9" s="49" t="str">
        <f>IF($K9="","",파일1!$D4)</f>
        <v/>
      </c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7" t="str">
        <f t="shared" si="10"/>
        <v/>
      </c>
    </row>
    <row r="10" spans="1:59" ht="24" customHeight="1" x14ac:dyDescent="0.3">
      <c r="A10" s="13" t="str">
        <f t="shared" si="0"/>
        <v/>
      </c>
      <c r="B10" s="51" t="str">
        <f ca="1">IF($K10="","",IF(파일1!#REF!="",TODAY(),파일1!#REF!))</f>
        <v/>
      </c>
      <c r="C10" s="14" t="str">
        <f t="shared" si="1"/>
        <v/>
      </c>
      <c r="D10" s="15" t="str">
        <f t="shared" si="2"/>
        <v/>
      </c>
      <c r="E10" s="14" t="str">
        <f t="shared" si="3"/>
        <v/>
      </c>
      <c r="F10" s="14" t="str">
        <f t="shared" si="4"/>
        <v/>
      </c>
      <c r="G10" s="16" t="str">
        <f t="shared" si="5"/>
        <v/>
      </c>
      <c r="H10" s="16" t="str">
        <f t="shared" si="6"/>
        <v/>
      </c>
      <c r="I10" s="16" t="str">
        <f t="shared" si="7"/>
        <v/>
      </c>
      <c r="J10" s="16" t="str">
        <f t="shared" si="8"/>
        <v/>
      </c>
      <c r="K10" s="54" t="str">
        <f>IF(파일1!$B5="","",TEXT(파일1!$B5,"0"))</f>
        <v/>
      </c>
      <c r="L10" s="16"/>
      <c r="M10" s="38" t="str">
        <f>IF($K10="","",IFERROR(VLOOKUP(--SUBSTITUTE(SUBSTITUTE(TRIM($K10),"-","")," ",""),마스터시트!$A$2:$H$1946,2,FALSE),"미등록"))</f>
        <v/>
      </c>
      <c r="N10" s="53" t="str">
        <f>IF($K10="","",IFERROR(VLOOKUP(--SUBSTITUTE(SUBSTITUTE(TRIM($K10),"-","")," ",""),마스터시트!$A$2:$H$1946,3,FALSE),"미등록"))</f>
        <v/>
      </c>
      <c r="O10" s="39" t="str">
        <f>IF($K10="","",IFERROR(VLOOKUP(--SUBSTITUTE(SUBSTITUTE(TRIM($K10),"-","")," ",""),마스터시트!$A$2:$H$1946,4,FALSE),""))</f>
        <v/>
      </c>
      <c r="P10" s="37" t="str">
        <f>IF($K10="","",IFERROR(VLOOKUP(--SUBSTITUTE(SUBSTITUTE(TRIM($K10),"-","")," ",""),마스터시트!$A$2:$H$1946,5,FALSE),""))</f>
        <v/>
      </c>
      <c r="Q10" s="40" t="str">
        <f>IF($K10="","",IFERROR(VLOOKUP(--SUBSTITUTE(SUBSTITUTE(TRIM($K10),"-","")," ",""),마스터시트!$A$2:$H$1946,6,FALSE),""))</f>
        <v/>
      </c>
      <c r="R10" s="41" t="str">
        <f>IF($K10="","",IFERROR(VLOOKUP(--SUBSTITUTE(SUBSTITUTE(TRIM($K10),"-","")," ",""),마스터시트!$A$2:$H$1946,7,FALSE),""))</f>
        <v/>
      </c>
      <c r="S10" s="39"/>
      <c r="T10" s="49" t="str">
        <f>IF($K10="","",파일1!$C5)</f>
        <v/>
      </c>
      <c r="U10" s="49" t="str">
        <f>IF($K10="","",파일1!$D5)</f>
        <v/>
      </c>
      <c r="V10" s="16"/>
      <c r="W10" s="14" t="str">
        <f t="shared" ca="1" si="9"/>
        <v/>
      </c>
      <c r="X10" s="16" t="s">
        <v>3024</v>
      </c>
      <c r="Y10" s="16" t="str">
        <f>IF($K10="","",파일1!#REF!)</f>
        <v/>
      </c>
      <c r="Z10" s="16" t="str">
        <f>IF($K10="","",IF(파일1!#REF!="",1,파일1!#REF!))</f>
        <v/>
      </c>
      <c r="AA10" s="16" t="str">
        <f>IF($K10="","",IF(파일1!#REF!="","",파일1!#REF!))</f>
        <v/>
      </c>
      <c r="AB10" s="49" t="str">
        <f>IF($K10="","",파일1!$C5)</f>
        <v/>
      </c>
      <c r="AC10" s="49" t="str">
        <f>IF($K10="","",파일1!$D5)</f>
        <v/>
      </c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7" t="str">
        <f t="shared" si="10"/>
        <v/>
      </c>
    </row>
    <row r="11" spans="1:59" ht="24" customHeight="1" x14ac:dyDescent="0.3">
      <c r="A11" s="13" t="str">
        <f t="shared" si="0"/>
        <v/>
      </c>
      <c r="B11" s="51" t="str">
        <f ca="1">IF($K11="","",IF(파일1!#REF!="",TODAY(),파일1!#REF!))</f>
        <v/>
      </c>
      <c r="C11" s="14" t="str">
        <f t="shared" si="1"/>
        <v/>
      </c>
      <c r="D11" s="15" t="str">
        <f t="shared" si="2"/>
        <v/>
      </c>
      <c r="E11" s="14" t="str">
        <f t="shared" si="3"/>
        <v/>
      </c>
      <c r="F11" s="14" t="str">
        <f t="shared" si="4"/>
        <v/>
      </c>
      <c r="G11" s="16" t="str">
        <f t="shared" si="5"/>
        <v/>
      </c>
      <c r="H11" s="16" t="str">
        <f t="shared" si="6"/>
        <v/>
      </c>
      <c r="I11" s="16" t="str">
        <f t="shared" si="7"/>
        <v/>
      </c>
      <c r="J11" s="16" t="str">
        <f t="shared" si="8"/>
        <v/>
      </c>
      <c r="K11" s="54" t="str">
        <f>IF(파일1!$B6="","",TEXT(파일1!$B6,"0"))</f>
        <v/>
      </c>
      <c r="L11" s="16"/>
      <c r="M11" s="38" t="str">
        <f>IF($K11="","",IFERROR(VLOOKUP(--SUBSTITUTE(SUBSTITUTE(TRIM($K11),"-","")," ",""),마스터시트!$A$2:$H$1946,2,FALSE),"미등록"))</f>
        <v/>
      </c>
      <c r="N11" s="53" t="str">
        <f>IF($K11="","",IFERROR(VLOOKUP(--SUBSTITUTE(SUBSTITUTE(TRIM($K11),"-","")," ",""),마스터시트!$A$2:$H$1946,3,FALSE),"미등록"))</f>
        <v/>
      </c>
      <c r="O11" s="39" t="str">
        <f>IF($K11="","",IFERROR(VLOOKUP(--SUBSTITUTE(SUBSTITUTE(TRIM($K11),"-","")," ",""),마스터시트!$A$2:$H$1946,4,FALSE),""))</f>
        <v/>
      </c>
      <c r="P11" s="37" t="str">
        <f>IF($K11="","",IFERROR(VLOOKUP(--SUBSTITUTE(SUBSTITUTE(TRIM($K11),"-","")," ",""),마스터시트!$A$2:$H$1946,5,FALSE),""))</f>
        <v/>
      </c>
      <c r="Q11" s="40" t="str">
        <f>IF($K11="","",IFERROR(VLOOKUP(--SUBSTITUTE(SUBSTITUTE(TRIM($K11),"-","")," ",""),마스터시트!$A$2:$H$1946,6,FALSE),""))</f>
        <v/>
      </c>
      <c r="R11" s="41" t="str">
        <f>IF($K11="","",IFERROR(VLOOKUP(--SUBSTITUTE(SUBSTITUTE(TRIM($K11),"-","")," ",""),마스터시트!$A$2:$H$1946,7,FALSE),""))</f>
        <v/>
      </c>
      <c r="S11" s="39"/>
      <c r="T11" s="49" t="str">
        <f>IF($K11="","",파일1!$C6)</f>
        <v/>
      </c>
      <c r="U11" s="49" t="str">
        <f>IF($K11="","",파일1!$D6)</f>
        <v/>
      </c>
      <c r="V11" s="16"/>
      <c r="W11" s="14" t="str">
        <f t="shared" ca="1" si="9"/>
        <v/>
      </c>
      <c r="X11" s="16" t="s">
        <v>3024</v>
      </c>
      <c r="Y11" s="16" t="str">
        <f>IF($K11="","",파일1!#REF!)</f>
        <v/>
      </c>
      <c r="Z11" s="16" t="str">
        <f>IF($K11="","",IF(파일1!#REF!="",1,파일1!#REF!))</f>
        <v/>
      </c>
      <c r="AA11" s="16" t="str">
        <f>IF($K11="","",IF(파일1!#REF!="","",파일1!#REF!))</f>
        <v/>
      </c>
      <c r="AB11" s="49" t="str">
        <f>IF($K11="","",파일1!$C6)</f>
        <v/>
      </c>
      <c r="AC11" s="49" t="str">
        <f>IF($K11="","",파일1!$D6)</f>
        <v/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7" t="str">
        <f t="shared" si="10"/>
        <v/>
      </c>
    </row>
    <row r="12" spans="1:59" ht="24" customHeight="1" x14ac:dyDescent="0.3">
      <c r="A12" s="13" t="str">
        <f t="shared" si="0"/>
        <v/>
      </c>
      <c r="B12" s="51" t="str">
        <f ca="1">IF($K12="","",IF(파일1!#REF!="",TODAY(),파일1!#REF!))</f>
        <v/>
      </c>
      <c r="C12" s="14" t="str">
        <f t="shared" si="1"/>
        <v/>
      </c>
      <c r="D12" s="15" t="str">
        <f t="shared" si="2"/>
        <v/>
      </c>
      <c r="E12" s="14" t="str">
        <f t="shared" si="3"/>
        <v/>
      </c>
      <c r="F12" s="14" t="str">
        <f t="shared" si="4"/>
        <v/>
      </c>
      <c r="G12" s="16" t="str">
        <f t="shared" si="5"/>
        <v/>
      </c>
      <c r="H12" s="16" t="str">
        <f t="shared" si="6"/>
        <v/>
      </c>
      <c r="I12" s="16" t="str">
        <f t="shared" si="7"/>
        <v/>
      </c>
      <c r="J12" s="16" t="str">
        <f t="shared" si="8"/>
        <v/>
      </c>
      <c r="K12" s="54" t="str">
        <f>IF(파일1!$B7="","",TEXT(파일1!$B7,"0"))</f>
        <v/>
      </c>
      <c r="L12" s="16"/>
      <c r="M12" s="38" t="str">
        <f>IF($K12="","",IFERROR(VLOOKUP(--SUBSTITUTE(SUBSTITUTE(TRIM($K12),"-","")," ",""),마스터시트!$A$2:$H$1946,2,FALSE),"미등록"))</f>
        <v/>
      </c>
      <c r="N12" s="53" t="str">
        <f>IF($K12="","",IFERROR(VLOOKUP(--SUBSTITUTE(SUBSTITUTE(TRIM($K12),"-","")," ",""),마스터시트!$A$2:$H$1946,3,FALSE),"미등록"))</f>
        <v/>
      </c>
      <c r="O12" s="39" t="str">
        <f>IF($K12="","",IFERROR(VLOOKUP(--SUBSTITUTE(SUBSTITUTE(TRIM($K12),"-","")," ",""),마스터시트!$A$2:$H$1946,4,FALSE),""))</f>
        <v/>
      </c>
      <c r="P12" s="37" t="str">
        <f>IF($K12="","",IFERROR(VLOOKUP(--SUBSTITUTE(SUBSTITUTE(TRIM($K12),"-","")," ",""),마스터시트!$A$2:$H$1946,5,FALSE),""))</f>
        <v/>
      </c>
      <c r="Q12" s="40" t="str">
        <f>IF($K12="","",IFERROR(VLOOKUP(--SUBSTITUTE(SUBSTITUTE(TRIM($K12),"-","")," ",""),마스터시트!$A$2:$H$1946,6,FALSE),""))</f>
        <v/>
      </c>
      <c r="R12" s="41" t="str">
        <f>IF($K12="","",IFERROR(VLOOKUP(--SUBSTITUTE(SUBSTITUTE(TRIM($K12),"-","")," ",""),마스터시트!$A$2:$H$1946,7,FALSE),""))</f>
        <v/>
      </c>
      <c r="S12" s="39"/>
      <c r="T12" s="49" t="str">
        <f>IF($K12="","",파일1!$C7)</f>
        <v/>
      </c>
      <c r="U12" s="49" t="str">
        <f>IF($K12="","",파일1!$D7)</f>
        <v/>
      </c>
      <c r="V12" s="16"/>
      <c r="W12" s="14" t="str">
        <f t="shared" ca="1" si="9"/>
        <v/>
      </c>
      <c r="X12" s="16" t="s">
        <v>3024</v>
      </c>
      <c r="Y12" s="16" t="str">
        <f>IF($K12="","",파일1!#REF!)</f>
        <v/>
      </c>
      <c r="Z12" s="16" t="str">
        <f>IF($K12="","",IF(파일1!#REF!="",1,파일1!#REF!))</f>
        <v/>
      </c>
      <c r="AA12" s="16" t="str">
        <f>IF($K12="","",IF(파일1!#REF!="","",파일1!#REF!))</f>
        <v/>
      </c>
      <c r="AB12" s="49" t="str">
        <f>IF($K12="","",파일1!$C7)</f>
        <v/>
      </c>
      <c r="AC12" s="49" t="str">
        <f>IF($K12="","",파일1!$D7)</f>
        <v/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7" t="str">
        <f t="shared" si="10"/>
        <v/>
      </c>
    </row>
    <row r="13" spans="1:59" ht="24" customHeight="1" x14ac:dyDescent="0.3">
      <c r="A13" s="13" t="str">
        <f t="shared" si="0"/>
        <v/>
      </c>
      <c r="B13" s="51" t="str">
        <f ca="1">IF($K13="","",IF(파일1!#REF!="",TODAY(),파일1!#REF!))</f>
        <v/>
      </c>
      <c r="C13" s="14" t="str">
        <f t="shared" si="1"/>
        <v/>
      </c>
      <c r="D13" s="15" t="str">
        <f t="shared" si="2"/>
        <v/>
      </c>
      <c r="E13" s="14" t="str">
        <f t="shared" si="3"/>
        <v/>
      </c>
      <c r="F13" s="14" t="str">
        <f t="shared" si="4"/>
        <v/>
      </c>
      <c r="G13" s="16" t="str">
        <f t="shared" si="5"/>
        <v/>
      </c>
      <c r="H13" s="16" t="str">
        <f t="shared" si="6"/>
        <v/>
      </c>
      <c r="I13" s="16" t="str">
        <f t="shared" si="7"/>
        <v/>
      </c>
      <c r="J13" s="16" t="str">
        <f t="shared" si="8"/>
        <v/>
      </c>
      <c r="K13" s="54" t="str">
        <f>IF(파일1!$B8="","",TEXT(파일1!$B8,"0"))</f>
        <v/>
      </c>
      <c r="L13" s="16"/>
      <c r="M13" s="38" t="str">
        <f>IF($K13="","",IFERROR(VLOOKUP(--SUBSTITUTE(SUBSTITUTE(TRIM($K13),"-","")," ",""),마스터시트!$A$2:$H$1946,2,FALSE),"미등록"))</f>
        <v/>
      </c>
      <c r="N13" s="53" t="str">
        <f>IF($K13="","",IFERROR(VLOOKUP(--SUBSTITUTE(SUBSTITUTE(TRIM($K13),"-","")," ",""),마스터시트!$A$2:$H$1946,3,FALSE),"미등록"))</f>
        <v/>
      </c>
      <c r="O13" s="39" t="str">
        <f>IF($K13="","",IFERROR(VLOOKUP(--SUBSTITUTE(SUBSTITUTE(TRIM($K13),"-","")," ",""),마스터시트!$A$2:$H$1946,4,FALSE),""))</f>
        <v/>
      </c>
      <c r="P13" s="37" t="str">
        <f>IF($K13="","",IFERROR(VLOOKUP(--SUBSTITUTE(SUBSTITUTE(TRIM($K13),"-","")," ",""),마스터시트!$A$2:$H$1946,5,FALSE),""))</f>
        <v/>
      </c>
      <c r="Q13" s="40" t="str">
        <f>IF($K13="","",IFERROR(VLOOKUP(--SUBSTITUTE(SUBSTITUTE(TRIM($K13),"-","")," ",""),마스터시트!$A$2:$H$1946,6,FALSE),""))</f>
        <v/>
      </c>
      <c r="R13" s="41" t="str">
        <f>IF($K13="","",IFERROR(VLOOKUP(--SUBSTITUTE(SUBSTITUTE(TRIM($K13),"-","")," ",""),마스터시트!$A$2:$H$1946,7,FALSE),""))</f>
        <v/>
      </c>
      <c r="S13" s="39"/>
      <c r="T13" s="49" t="str">
        <f>IF($K13="","",파일1!$C8)</f>
        <v/>
      </c>
      <c r="U13" s="49" t="str">
        <f>IF($K13="","",파일1!$D8)</f>
        <v/>
      </c>
      <c r="V13" s="16"/>
      <c r="W13" s="14" t="str">
        <f t="shared" ca="1" si="9"/>
        <v/>
      </c>
      <c r="X13" s="16" t="s">
        <v>3024</v>
      </c>
      <c r="Y13" s="16" t="str">
        <f>IF($K13="","",파일1!#REF!)</f>
        <v/>
      </c>
      <c r="Z13" s="16" t="str">
        <f>IF($K13="","",IF(파일1!#REF!="",1,파일1!#REF!))</f>
        <v/>
      </c>
      <c r="AA13" s="16" t="str">
        <f>IF($K13="","",IF(파일1!#REF!="","",파일1!#REF!))</f>
        <v/>
      </c>
      <c r="AB13" s="49" t="str">
        <f>IF($K13="","",파일1!$C8)</f>
        <v/>
      </c>
      <c r="AC13" s="49" t="str">
        <f>IF($K13="","",파일1!$D8)</f>
        <v/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7" t="str">
        <f t="shared" si="10"/>
        <v/>
      </c>
    </row>
    <row r="14" spans="1:59" ht="24" customHeight="1" x14ac:dyDescent="0.3">
      <c r="A14" s="13" t="str">
        <f t="shared" si="0"/>
        <v/>
      </c>
      <c r="B14" s="51" t="str">
        <f ca="1">IF($K14="","",IF(파일1!#REF!="",TODAY(),파일1!#REF!))</f>
        <v/>
      </c>
      <c r="C14" s="14" t="str">
        <f t="shared" si="1"/>
        <v/>
      </c>
      <c r="D14" s="15" t="str">
        <f t="shared" si="2"/>
        <v/>
      </c>
      <c r="E14" s="14" t="str">
        <f t="shared" si="3"/>
        <v/>
      </c>
      <c r="F14" s="14" t="str">
        <f t="shared" si="4"/>
        <v/>
      </c>
      <c r="G14" s="16" t="str">
        <f t="shared" si="5"/>
        <v/>
      </c>
      <c r="H14" s="16" t="str">
        <f t="shared" si="6"/>
        <v/>
      </c>
      <c r="I14" s="16" t="str">
        <f t="shared" si="7"/>
        <v/>
      </c>
      <c r="J14" s="16" t="str">
        <f t="shared" si="8"/>
        <v/>
      </c>
      <c r="K14" s="54" t="str">
        <f>IF(파일1!$B9="","",TEXT(파일1!$B9,"0"))</f>
        <v/>
      </c>
      <c r="L14" s="16"/>
      <c r="M14" s="38" t="str">
        <f>IF($K14="","",IFERROR(VLOOKUP(--SUBSTITUTE(SUBSTITUTE(TRIM($K14),"-","")," ",""),마스터시트!$A$2:$H$1946,2,FALSE),"미등록"))</f>
        <v/>
      </c>
      <c r="N14" s="53" t="str">
        <f>IF($K14="","",IFERROR(VLOOKUP(--SUBSTITUTE(SUBSTITUTE(TRIM($K14),"-","")," ",""),마스터시트!$A$2:$H$1946,3,FALSE),"미등록"))</f>
        <v/>
      </c>
      <c r="O14" s="39" t="str">
        <f>IF($K14="","",IFERROR(VLOOKUP(--SUBSTITUTE(SUBSTITUTE(TRIM($K14),"-","")," ",""),마스터시트!$A$2:$H$1946,4,FALSE),""))</f>
        <v/>
      </c>
      <c r="P14" s="37" t="str">
        <f>IF($K14="","",IFERROR(VLOOKUP(--SUBSTITUTE(SUBSTITUTE(TRIM($K14),"-","")," ",""),마스터시트!$A$2:$H$1946,5,FALSE),""))</f>
        <v/>
      </c>
      <c r="Q14" s="40" t="str">
        <f>IF($K14="","",IFERROR(VLOOKUP(--SUBSTITUTE(SUBSTITUTE(TRIM($K14),"-","")," ",""),마스터시트!$A$2:$H$1946,6,FALSE),""))</f>
        <v/>
      </c>
      <c r="R14" s="41" t="str">
        <f>IF($K14="","",IFERROR(VLOOKUP(--SUBSTITUTE(SUBSTITUTE(TRIM($K14),"-","")," ",""),마스터시트!$A$2:$H$1946,7,FALSE),""))</f>
        <v/>
      </c>
      <c r="S14" s="39"/>
      <c r="T14" s="49" t="str">
        <f>IF($K14="","",파일1!$C9)</f>
        <v/>
      </c>
      <c r="U14" s="49" t="str">
        <f>IF($K14="","",파일1!$D9)</f>
        <v/>
      </c>
      <c r="V14" s="16"/>
      <c r="W14" s="14" t="str">
        <f t="shared" ca="1" si="9"/>
        <v/>
      </c>
      <c r="X14" s="16" t="s">
        <v>3024</v>
      </c>
      <c r="Y14" s="16" t="str">
        <f>IF($K14="","",파일1!#REF!)</f>
        <v/>
      </c>
      <c r="Z14" s="16" t="str">
        <f>IF($K14="","",IF(파일1!#REF!="",1,파일1!#REF!))</f>
        <v/>
      </c>
      <c r="AA14" s="16" t="str">
        <f>IF($K14="","",IF(파일1!#REF!="","",파일1!#REF!))</f>
        <v/>
      </c>
      <c r="AB14" s="49" t="str">
        <f>IF($K14="","",파일1!$C9)</f>
        <v/>
      </c>
      <c r="AC14" s="49" t="str">
        <f>IF($K14="","",파일1!$D9)</f>
        <v/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7" t="str">
        <f t="shared" si="10"/>
        <v/>
      </c>
    </row>
    <row r="15" spans="1:59" ht="24" customHeight="1" x14ac:dyDescent="0.3">
      <c r="A15" s="13" t="str">
        <f t="shared" si="0"/>
        <v/>
      </c>
      <c r="B15" s="51" t="str">
        <f ca="1">IF($K15="","",IF(파일1!#REF!="",TODAY(),파일1!#REF!))</f>
        <v/>
      </c>
      <c r="C15" s="14" t="str">
        <f t="shared" si="1"/>
        <v/>
      </c>
      <c r="D15" s="15" t="str">
        <f t="shared" si="2"/>
        <v/>
      </c>
      <c r="E15" s="14" t="str">
        <f t="shared" si="3"/>
        <v/>
      </c>
      <c r="F15" s="14" t="str">
        <f t="shared" si="4"/>
        <v/>
      </c>
      <c r="G15" s="16" t="str">
        <f t="shared" si="5"/>
        <v/>
      </c>
      <c r="H15" s="16" t="str">
        <f t="shared" si="6"/>
        <v/>
      </c>
      <c r="I15" s="16" t="str">
        <f t="shared" si="7"/>
        <v/>
      </c>
      <c r="J15" s="16" t="str">
        <f t="shared" si="8"/>
        <v/>
      </c>
      <c r="K15" s="54" t="str">
        <f>IF(파일1!$B10="","",TEXT(파일1!$B10,"0"))</f>
        <v/>
      </c>
      <c r="L15" s="16"/>
      <c r="M15" s="38" t="str">
        <f>IF($K15="","",IFERROR(VLOOKUP(--SUBSTITUTE(SUBSTITUTE(TRIM($K15),"-","")," ",""),마스터시트!$A$2:$H$1946,2,FALSE),"미등록"))</f>
        <v/>
      </c>
      <c r="N15" s="53" t="str">
        <f>IF($K15="","",IFERROR(VLOOKUP(--SUBSTITUTE(SUBSTITUTE(TRIM($K15),"-","")," ",""),마스터시트!$A$2:$H$1946,3,FALSE),"미등록"))</f>
        <v/>
      </c>
      <c r="O15" s="39" t="str">
        <f>IF($K15="","",IFERROR(VLOOKUP(--SUBSTITUTE(SUBSTITUTE(TRIM($K15),"-","")," ",""),마스터시트!$A$2:$H$1946,4,FALSE),""))</f>
        <v/>
      </c>
      <c r="P15" s="37" t="str">
        <f>IF($K15="","",IFERROR(VLOOKUP(--SUBSTITUTE(SUBSTITUTE(TRIM($K15),"-","")," ",""),마스터시트!$A$2:$H$1946,5,FALSE),""))</f>
        <v/>
      </c>
      <c r="Q15" s="40" t="str">
        <f>IF($K15="","",IFERROR(VLOOKUP(--SUBSTITUTE(SUBSTITUTE(TRIM($K15),"-","")," ",""),마스터시트!$A$2:$H$1946,6,FALSE),""))</f>
        <v/>
      </c>
      <c r="R15" s="41" t="str">
        <f>IF($K15="","",IFERROR(VLOOKUP(--SUBSTITUTE(SUBSTITUTE(TRIM($K15),"-","")," ",""),마스터시트!$A$2:$H$1946,7,FALSE),""))</f>
        <v/>
      </c>
      <c r="S15" s="39"/>
      <c r="T15" s="49" t="str">
        <f>IF($K15="","",파일1!$C10)</f>
        <v/>
      </c>
      <c r="U15" s="49" t="str">
        <f>IF($K15="","",파일1!$D10)</f>
        <v/>
      </c>
      <c r="V15" s="16"/>
      <c r="W15" s="14" t="str">
        <f t="shared" ca="1" si="9"/>
        <v/>
      </c>
      <c r="X15" s="16" t="s">
        <v>3024</v>
      </c>
      <c r="Y15" s="16" t="str">
        <f>IF($K15="","",파일1!#REF!)</f>
        <v/>
      </c>
      <c r="Z15" s="16" t="str">
        <f>IF($K15="","",IF(파일1!#REF!="",1,파일1!#REF!))</f>
        <v/>
      </c>
      <c r="AA15" s="16" t="str">
        <f>IF($K15="","",IF(파일1!#REF!="","",파일1!#REF!))</f>
        <v/>
      </c>
      <c r="AB15" s="49" t="str">
        <f>IF($K15="","",파일1!$C10)</f>
        <v/>
      </c>
      <c r="AC15" s="49" t="str">
        <f>IF($K15="","",파일1!$D10)</f>
        <v/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7" t="str">
        <f t="shared" si="10"/>
        <v/>
      </c>
    </row>
    <row r="16" spans="1:59" ht="24" customHeight="1" x14ac:dyDescent="0.3">
      <c r="A16" s="13" t="str">
        <f t="shared" si="0"/>
        <v/>
      </c>
      <c r="B16" s="51" t="str">
        <f ca="1">IF($K16="","",IF(파일1!#REF!="",TODAY(),파일1!#REF!))</f>
        <v/>
      </c>
      <c r="C16" s="14" t="str">
        <f t="shared" si="1"/>
        <v/>
      </c>
      <c r="D16" s="15" t="str">
        <f t="shared" si="2"/>
        <v/>
      </c>
      <c r="E16" s="14" t="str">
        <f t="shared" si="3"/>
        <v/>
      </c>
      <c r="F16" s="14" t="str">
        <f t="shared" si="4"/>
        <v/>
      </c>
      <c r="G16" s="16" t="str">
        <f t="shared" si="5"/>
        <v/>
      </c>
      <c r="H16" s="16" t="str">
        <f t="shared" si="6"/>
        <v/>
      </c>
      <c r="I16" s="16" t="str">
        <f t="shared" si="7"/>
        <v/>
      </c>
      <c r="J16" s="16" t="str">
        <f t="shared" si="8"/>
        <v/>
      </c>
      <c r="K16" s="54" t="str">
        <f>IF(파일1!$B11="","",TEXT(파일1!$B11,"0"))</f>
        <v/>
      </c>
      <c r="L16" s="16"/>
      <c r="M16" s="38" t="str">
        <f>IF($K16="","",IFERROR(VLOOKUP(--SUBSTITUTE(SUBSTITUTE(TRIM($K16),"-","")," ",""),마스터시트!$A$2:$H$1946,2,FALSE),"미등록"))</f>
        <v/>
      </c>
      <c r="N16" s="53" t="str">
        <f>IF($K16="","",IFERROR(VLOOKUP(--SUBSTITUTE(SUBSTITUTE(TRIM($K16),"-","")," ",""),마스터시트!$A$2:$H$1946,3,FALSE),"미등록"))</f>
        <v/>
      </c>
      <c r="O16" s="39" t="str">
        <f>IF($K16="","",IFERROR(VLOOKUP(--SUBSTITUTE(SUBSTITUTE(TRIM($K16),"-","")," ",""),마스터시트!$A$2:$H$1946,4,FALSE),""))</f>
        <v/>
      </c>
      <c r="P16" s="37" t="str">
        <f>IF($K16="","",IFERROR(VLOOKUP(--SUBSTITUTE(SUBSTITUTE(TRIM($K16),"-","")," ",""),마스터시트!$A$2:$H$1946,5,FALSE),""))</f>
        <v/>
      </c>
      <c r="Q16" s="40" t="str">
        <f>IF($K16="","",IFERROR(VLOOKUP(--SUBSTITUTE(SUBSTITUTE(TRIM($K16),"-","")," ",""),마스터시트!$A$2:$H$1946,6,FALSE),""))</f>
        <v/>
      </c>
      <c r="R16" s="41" t="str">
        <f>IF($K16="","",IFERROR(VLOOKUP(--SUBSTITUTE(SUBSTITUTE(TRIM($K16),"-","")," ",""),마스터시트!$A$2:$H$1946,7,FALSE),""))</f>
        <v/>
      </c>
      <c r="S16" s="39"/>
      <c r="T16" s="49" t="str">
        <f>IF($K16="","",파일1!$C11)</f>
        <v/>
      </c>
      <c r="U16" s="49" t="str">
        <f>IF($K16="","",파일1!$D11)</f>
        <v/>
      </c>
      <c r="V16" s="16"/>
      <c r="W16" s="14" t="str">
        <f t="shared" ca="1" si="9"/>
        <v/>
      </c>
      <c r="X16" s="16" t="s">
        <v>3024</v>
      </c>
      <c r="Y16" s="16" t="str">
        <f>IF($K16="","",파일1!#REF!)</f>
        <v/>
      </c>
      <c r="Z16" s="16" t="str">
        <f>IF($K16="","",IF(파일1!#REF!="",1,파일1!#REF!))</f>
        <v/>
      </c>
      <c r="AA16" s="16" t="str">
        <f>IF($K16="","",IF(파일1!#REF!="","",파일1!#REF!))</f>
        <v/>
      </c>
      <c r="AB16" s="49" t="str">
        <f>IF($K16="","",파일1!$C11)</f>
        <v/>
      </c>
      <c r="AC16" s="49" t="str">
        <f>IF($K16="","",파일1!$D11)</f>
        <v/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7" t="str">
        <f t="shared" si="10"/>
        <v/>
      </c>
    </row>
    <row r="17" spans="1:59" ht="24" customHeight="1" x14ac:dyDescent="0.3">
      <c r="A17" s="13" t="str">
        <f t="shared" si="0"/>
        <v/>
      </c>
      <c r="B17" s="51" t="str">
        <f ca="1">IF($K17="","",IF(파일1!#REF!="",TODAY(),파일1!#REF!))</f>
        <v/>
      </c>
      <c r="C17" s="14" t="str">
        <f t="shared" si="1"/>
        <v/>
      </c>
      <c r="D17" s="15" t="str">
        <f t="shared" si="2"/>
        <v/>
      </c>
      <c r="E17" s="14" t="str">
        <f t="shared" si="3"/>
        <v/>
      </c>
      <c r="F17" s="14" t="str">
        <f t="shared" si="4"/>
        <v/>
      </c>
      <c r="G17" s="16" t="str">
        <f t="shared" si="5"/>
        <v/>
      </c>
      <c r="H17" s="16" t="str">
        <f t="shared" si="6"/>
        <v/>
      </c>
      <c r="I17" s="16" t="str">
        <f t="shared" si="7"/>
        <v/>
      </c>
      <c r="J17" s="16" t="str">
        <f t="shared" si="8"/>
        <v/>
      </c>
      <c r="K17" s="54" t="str">
        <f>IF(파일1!$B12="","",TEXT(파일1!$B12,"0"))</f>
        <v/>
      </c>
      <c r="L17" s="16"/>
      <c r="M17" s="38" t="str">
        <f>IF($K17="","",IFERROR(VLOOKUP(--SUBSTITUTE(SUBSTITUTE(TRIM($K17),"-","")," ",""),마스터시트!$A$2:$H$1946,2,FALSE),"미등록"))</f>
        <v/>
      </c>
      <c r="N17" s="53" t="str">
        <f>IF($K17="","",IFERROR(VLOOKUP(--SUBSTITUTE(SUBSTITUTE(TRIM($K17),"-","")," ",""),마스터시트!$A$2:$H$1946,3,FALSE),"미등록"))</f>
        <v/>
      </c>
      <c r="O17" s="39" t="str">
        <f>IF($K17="","",IFERROR(VLOOKUP(--SUBSTITUTE(SUBSTITUTE(TRIM($K17),"-","")," ",""),마스터시트!$A$2:$H$1946,4,FALSE),""))</f>
        <v/>
      </c>
      <c r="P17" s="37" t="str">
        <f>IF($K17="","",IFERROR(VLOOKUP(--SUBSTITUTE(SUBSTITUTE(TRIM($K17),"-","")," ",""),마스터시트!$A$2:$H$1946,5,FALSE),""))</f>
        <v/>
      </c>
      <c r="Q17" s="40" t="str">
        <f>IF($K17="","",IFERROR(VLOOKUP(--SUBSTITUTE(SUBSTITUTE(TRIM($K17),"-","")," ",""),마스터시트!$A$2:$H$1946,6,FALSE),""))</f>
        <v/>
      </c>
      <c r="R17" s="41" t="str">
        <f>IF($K17="","",IFERROR(VLOOKUP(--SUBSTITUTE(SUBSTITUTE(TRIM($K17),"-","")," ",""),마스터시트!$A$2:$H$1946,7,FALSE),""))</f>
        <v/>
      </c>
      <c r="S17" s="39"/>
      <c r="T17" s="49" t="str">
        <f>IF($K17="","",파일1!$C12)</f>
        <v/>
      </c>
      <c r="U17" s="49" t="str">
        <f>IF($K17="","",파일1!$D12)</f>
        <v/>
      </c>
      <c r="V17" s="16"/>
      <c r="W17" s="14" t="str">
        <f t="shared" ca="1" si="9"/>
        <v/>
      </c>
      <c r="X17" s="16" t="s">
        <v>3024</v>
      </c>
      <c r="Y17" s="16" t="str">
        <f>IF($K17="","",파일1!#REF!)</f>
        <v/>
      </c>
      <c r="Z17" s="16" t="str">
        <f>IF($K17="","",IF(파일1!#REF!="",1,파일1!#REF!))</f>
        <v/>
      </c>
      <c r="AA17" s="16" t="str">
        <f>IF($K17="","",IF(파일1!#REF!="","",파일1!#REF!))</f>
        <v/>
      </c>
      <c r="AB17" s="49" t="str">
        <f>IF($K17="","",파일1!$C12)</f>
        <v/>
      </c>
      <c r="AC17" s="49" t="str">
        <f>IF($K17="","",파일1!$D12)</f>
        <v/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7" t="str">
        <f t="shared" si="10"/>
        <v/>
      </c>
    </row>
    <row r="18" spans="1:59" ht="24" customHeight="1" x14ac:dyDescent="0.3">
      <c r="A18" s="13" t="str">
        <f t="shared" si="0"/>
        <v/>
      </c>
      <c r="B18" s="51" t="str">
        <f ca="1">IF($K18="","",IF(파일1!#REF!="",TODAY(),파일1!#REF!))</f>
        <v/>
      </c>
      <c r="C18" s="14" t="str">
        <f t="shared" si="1"/>
        <v/>
      </c>
      <c r="D18" s="15" t="str">
        <f t="shared" si="2"/>
        <v/>
      </c>
      <c r="E18" s="14" t="str">
        <f t="shared" si="3"/>
        <v/>
      </c>
      <c r="F18" s="14" t="str">
        <f t="shared" si="4"/>
        <v/>
      </c>
      <c r="G18" s="16" t="str">
        <f t="shared" si="5"/>
        <v/>
      </c>
      <c r="H18" s="16" t="str">
        <f t="shared" si="6"/>
        <v/>
      </c>
      <c r="I18" s="16" t="str">
        <f t="shared" si="7"/>
        <v/>
      </c>
      <c r="J18" s="16" t="str">
        <f t="shared" si="8"/>
        <v/>
      </c>
      <c r="K18" s="54" t="str">
        <f>IF(파일1!$B13="","",TEXT(파일1!$B13,"0"))</f>
        <v/>
      </c>
      <c r="L18" s="16"/>
      <c r="M18" s="38" t="str">
        <f>IF($K18="","",IFERROR(VLOOKUP(--SUBSTITUTE(SUBSTITUTE(TRIM($K18),"-","")," ",""),마스터시트!$A$2:$H$1946,2,FALSE),"미등록"))</f>
        <v/>
      </c>
      <c r="N18" s="53" t="str">
        <f>IF($K18="","",IFERROR(VLOOKUP(--SUBSTITUTE(SUBSTITUTE(TRIM($K18),"-","")," ",""),마스터시트!$A$2:$H$1946,3,FALSE),"미등록"))</f>
        <v/>
      </c>
      <c r="O18" s="39" t="str">
        <f>IF($K18="","",IFERROR(VLOOKUP(--SUBSTITUTE(SUBSTITUTE(TRIM($K18),"-","")," ",""),마스터시트!$A$2:$H$1946,4,FALSE),""))</f>
        <v/>
      </c>
      <c r="P18" s="37" t="str">
        <f>IF($K18="","",IFERROR(VLOOKUP(--SUBSTITUTE(SUBSTITUTE(TRIM($K18),"-","")," ",""),마스터시트!$A$2:$H$1946,5,FALSE),""))</f>
        <v/>
      </c>
      <c r="Q18" s="40" t="str">
        <f>IF($K18="","",IFERROR(VLOOKUP(--SUBSTITUTE(SUBSTITUTE(TRIM($K18),"-","")," ",""),마스터시트!$A$2:$H$1946,6,FALSE),""))</f>
        <v/>
      </c>
      <c r="R18" s="41" t="str">
        <f>IF($K18="","",IFERROR(VLOOKUP(--SUBSTITUTE(SUBSTITUTE(TRIM($K18),"-","")," ",""),마스터시트!$A$2:$H$1946,7,FALSE),""))</f>
        <v/>
      </c>
      <c r="S18" s="39"/>
      <c r="T18" s="49" t="str">
        <f>IF($K18="","",파일1!$C13)</f>
        <v/>
      </c>
      <c r="U18" s="49" t="str">
        <f>IF($K18="","",파일1!$D13)</f>
        <v/>
      </c>
      <c r="V18" s="16"/>
      <c r="W18" s="14" t="str">
        <f t="shared" ca="1" si="9"/>
        <v/>
      </c>
      <c r="X18" s="16" t="s">
        <v>3024</v>
      </c>
      <c r="Y18" s="16" t="str">
        <f>IF($K18="","",파일1!#REF!)</f>
        <v/>
      </c>
      <c r="Z18" s="16" t="str">
        <f>IF($K18="","",IF(파일1!#REF!="",1,파일1!#REF!))</f>
        <v/>
      </c>
      <c r="AA18" s="16" t="str">
        <f>IF($K18="","",IF(파일1!#REF!="","",파일1!#REF!))</f>
        <v/>
      </c>
      <c r="AB18" s="49" t="str">
        <f>IF($K18="","",파일1!$C13)</f>
        <v/>
      </c>
      <c r="AC18" s="49" t="str">
        <f>IF($K18="","",파일1!$D13)</f>
        <v/>
      </c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7" t="str">
        <f t="shared" si="10"/>
        <v/>
      </c>
    </row>
    <row r="19" spans="1:59" ht="24" customHeight="1" x14ac:dyDescent="0.3">
      <c r="A19" s="13" t="str">
        <f t="shared" si="0"/>
        <v/>
      </c>
      <c r="B19" s="51" t="str">
        <f ca="1">IF($K19="","",IF(파일1!#REF!="",TODAY(),파일1!#REF!))</f>
        <v/>
      </c>
      <c r="C19" s="14" t="str">
        <f t="shared" si="1"/>
        <v/>
      </c>
      <c r="D19" s="15" t="str">
        <f t="shared" si="2"/>
        <v/>
      </c>
      <c r="E19" s="14" t="str">
        <f t="shared" si="3"/>
        <v/>
      </c>
      <c r="F19" s="14" t="str">
        <f t="shared" si="4"/>
        <v/>
      </c>
      <c r="G19" s="16" t="str">
        <f t="shared" si="5"/>
        <v/>
      </c>
      <c r="H19" s="16" t="str">
        <f t="shared" si="6"/>
        <v/>
      </c>
      <c r="I19" s="16" t="str">
        <f t="shared" si="7"/>
        <v/>
      </c>
      <c r="J19" s="16" t="str">
        <f t="shared" si="8"/>
        <v/>
      </c>
      <c r="K19" s="54" t="str">
        <f>IF(파일1!$B14="","",TEXT(파일1!$B14,"0"))</f>
        <v/>
      </c>
      <c r="L19" s="16"/>
      <c r="M19" s="38" t="str">
        <f>IF($K19="","",IFERROR(VLOOKUP(--SUBSTITUTE(SUBSTITUTE(TRIM($K19),"-","")," ",""),마스터시트!$A$2:$H$1946,2,FALSE),"미등록"))</f>
        <v/>
      </c>
      <c r="N19" s="53" t="str">
        <f>IF($K19="","",IFERROR(VLOOKUP(--SUBSTITUTE(SUBSTITUTE(TRIM($K19),"-","")," ",""),마스터시트!$A$2:$H$1946,3,FALSE),"미등록"))</f>
        <v/>
      </c>
      <c r="O19" s="39" t="str">
        <f>IF($K19="","",IFERROR(VLOOKUP(--SUBSTITUTE(SUBSTITUTE(TRIM($K19),"-","")," ",""),마스터시트!$A$2:$H$1946,4,FALSE),""))</f>
        <v/>
      </c>
      <c r="P19" s="37" t="str">
        <f>IF($K19="","",IFERROR(VLOOKUP(--SUBSTITUTE(SUBSTITUTE(TRIM($K19),"-","")," ",""),마스터시트!$A$2:$H$1946,5,FALSE),""))</f>
        <v/>
      </c>
      <c r="Q19" s="40" t="str">
        <f>IF($K19="","",IFERROR(VLOOKUP(--SUBSTITUTE(SUBSTITUTE(TRIM($K19),"-","")," ",""),마스터시트!$A$2:$H$1946,6,FALSE),""))</f>
        <v/>
      </c>
      <c r="R19" s="41" t="str">
        <f>IF($K19="","",IFERROR(VLOOKUP(--SUBSTITUTE(SUBSTITUTE(TRIM($K19),"-","")," ",""),마스터시트!$A$2:$H$1946,7,FALSE),""))</f>
        <v/>
      </c>
      <c r="S19" s="39"/>
      <c r="T19" s="49" t="str">
        <f>IF($K19="","",파일1!$C14)</f>
        <v/>
      </c>
      <c r="U19" s="49" t="str">
        <f>IF($K19="","",파일1!$D14)</f>
        <v/>
      </c>
      <c r="V19" s="16"/>
      <c r="W19" s="14" t="str">
        <f t="shared" ca="1" si="9"/>
        <v/>
      </c>
      <c r="X19" s="16" t="s">
        <v>3024</v>
      </c>
      <c r="Y19" s="16" t="str">
        <f>IF($K19="","",파일1!#REF!)</f>
        <v/>
      </c>
      <c r="Z19" s="16" t="str">
        <f>IF($K19="","",IF(파일1!#REF!="",1,파일1!#REF!))</f>
        <v/>
      </c>
      <c r="AA19" s="16" t="str">
        <f>IF($K19="","",IF(파일1!#REF!="","",파일1!#REF!))</f>
        <v/>
      </c>
      <c r="AB19" s="49" t="str">
        <f>IF($K19="","",파일1!$C14)</f>
        <v/>
      </c>
      <c r="AC19" s="49" t="str">
        <f>IF($K19="","",파일1!$D14)</f>
        <v/>
      </c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7" t="str">
        <f t="shared" si="10"/>
        <v/>
      </c>
    </row>
    <row r="20" spans="1:59" ht="24" customHeight="1" x14ac:dyDescent="0.3">
      <c r="A20" s="13" t="str">
        <f t="shared" si="0"/>
        <v/>
      </c>
      <c r="B20" s="51" t="str">
        <f ca="1">IF($K20="","",IF(파일1!#REF!="",TODAY(),파일1!#REF!))</f>
        <v/>
      </c>
      <c r="C20" s="14" t="str">
        <f t="shared" si="1"/>
        <v/>
      </c>
      <c r="D20" s="15" t="str">
        <f t="shared" si="2"/>
        <v/>
      </c>
      <c r="E20" s="14" t="str">
        <f t="shared" si="3"/>
        <v/>
      </c>
      <c r="F20" s="14" t="str">
        <f t="shared" si="4"/>
        <v/>
      </c>
      <c r="G20" s="16" t="str">
        <f t="shared" si="5"/>
        <v/>
      </c>
      <c r="H20" s="16" t="str">
        <f t="shared" si="6"/>
        <v/>
      </c>
      <c r="I20" s="16" t="str">
        <f t="shared" si="7"/>
        <v/>
      </c>
      <c r="J20" s="16" t="str">
        <f t="shared" si="8"/>
        <v/>
      </c>
      <c r="K20" s="54" t="str">
        <f>IF(파일1!$B15="","",TEXT(파일1!$B15,"0"))</f>
        <v/>
      </c>
      <c r="L20" s="16"/>
      <c r="M20" s="38" t="str">
        <f>IF($K20="","",IFERROR(VLOOKUP(--SUBSTITUTE(SUBSTITUTE(TRIM($K20),"-","")," ",""),마스터시트!$A$2:$H$1946,2,FALSE),"미등록"))</f>
        <v/>
      </c>
      <c r="N20" s="53" t="str">
        <f>IF($K20="","",IFERROR(VLOOKUP(--SUBSTITUTE(SUBSTITUTE(TRIM($K20),"-","")," ",""),마스터시트!$A$2:$H$1946,3,FALSE),"미등록"))</f>
        <v/>
      </c>
      <c r="O20" s="39" t="str">
        <f>IF($K20="","",IFERROR(VLOOKUP(--SUBSTITUTE(SUBSTITUTE(TRIM($K20),"-","")," ",""),마스터시트!$A$2:$H$1946,4,FALSE),""))</f>
        <v/>
      </c>
      <c r="P20" s="37" t="str">
        <f>IF($K20="","",IFERROR(VLOOKUP(--SUBSTITUTE(SUBSTITUTE(TRIM($K20),"-","")," ",""),마스터시트!$A$2:$H$1946,5,FALSE),""))</f>
        <v/>
      </c>
      <c r="Q20" s="40" t="str">
        <f>IF($K20="","",IFERROR(VLOOKUP(--SUBSTITUTE(SUBSTITUTE(TRIM($K20),"-","")," ",""),마스터시트!$A$2:$H$1946,6,FALSE),""))</f>
        <v/>
      </c>
      <c r="R20" s="41" t="str">
        <f>IF($K20="","",IFERROR(VLOOKUP(--SUBSTITUTE(SUBSTITUTE(TRIM($K20),"-","")," ",""),마스터시트!$A$2:$H$1946,7,FALSE),""))</f>
        <v/>
      </c>
      <c r="S20" s="39"/>
      <c r="T20" s="49" t="str">
        <f>IF($K20="","",파일1!$C15)</f>
        <v/>
      </c>
      <c r="U20" s="49" t="str">
        <f>IF($K20="","",파일1!$D15)</f>
        <v/>
      </c>
      <c r="V20" s="16"/>
      <c r="W20" s="14" t="str">
        <f t="shared" ca="1" si="9"/>
        <v/>
      </c>
      <c r="X20" s="16" t="s">
        <v>3024</v>
      </c>
      <c r="Y20" s="16" t="str">
        <f>IF($K20="","",파일1!#REF!)</f>
        <v/>
      </c>
      <c r="Z20" s="16" t="str">
        <f>IF($K20="","",IF(파일1!#REF!="",1,파일1!#REF!))</f>
        <v/>
      </c>
      <c r="AA20" s="16" t="str">
        <f>IF($K20="","",IF(파일1!#REF!="","",파일1!#REF!))</f>
        <v/>
      </c>
      <c r="AB20" s="49" t="str">
        <f>IF($K20="","",파일1!$C15)</f>
        <v/>
      </c>
      <c r="AC20" s="49" t="str">
        <f>IF($K20="","",파일1!$D15)</f>
        <v/>
      </c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7" t="str">
        <f t="shared" si="10"/>
        <v/>
      </c>
    </row>
    <row r="21" spans="1:59" ht="24" customHeight="1" x14ac:dyDescent="0.3">
      <c r="A21" s="13" t="str">
        <f t="shared" si="0"/>
        <v/>
      </c>
      <c r="B21" s="51" t="str">
        <f ca="1">IF($K21="","",IF(파일1!#REF!="",TODAY(),파일1!#REF!))</f>
        <v/>
      </c>
      <c r="C21" s="14" t="str">
        <f t="shared" si="1"/>
        <v/>
      </c>
      <c r="D21" s="15" t="str">
        <f t="shared" si="2"/>
        <v/>
      </c>
      <c r="E21" s="14" t="str">
        <f t="shared" si="3"/>
        <v/>
      </c>
      <c r="F21" s="14" t="str">
        <f t="shared" si="4"/>
        <v/>
      </c>
      <c r="G21" s="16" t="str">
        <f t="shared" si="5"/>
        <v/>
      </c>
      <c r="H21" s="16" t="str">
        <f t="shared" si="6"/>
        <v/>
      </c>
      <c r="I21" s="16" t="str">
        <f t="shared" si="7"/>
        <v/>
      </c>
      <c r="J21" s="16" t="str">
        <f t="shared" si="8"/>
        <v/>
      </c>
      <c r="K21" s="54" t="str">
        <f>IF(파일1!$B16="","",TEXT(파일1!$B16,"0"))</f>
        <v/>
      </c>
      <c r="L21" s="16"/>
      <c r="M21" s="38" t="str">
        <f>IF($K21="","",IFERROR(VLOOKUP(--SUBSTITUTE(SUBSTITUTE(TRIM($K21),"-","")," ",""),마스터시트!$A$2:$H$1946,2,FALSE),"미등록"))</f>
        <v/>
      </c>
      <c r="N21" s="53" t="str">
        <f>IF($K21="","",IFERROR(VLOOKUP(--SUBSTITUTE(SUBSTITUTE(TRIM($K21),"-","")," ",""),마스터시트!$A$2:$H$1946,3,FALSE),"미등록"))</f>
        <v/>
      </c>
      <c r="O21" s="39" t="str">
        <f>IF($K21="","",IFERROR(VLOOKUP(--SUBSTITUTE(SUBSTITUTE(TRIM($K21),"-","")," ",""),마스터시트!$A$2:$H$1946,4,FALSE),""))</f>
        <v/>
      </c>
      <c r="P21" s="37" t="str">
        <f>IF($K21="","",IFERROR(VLOOKUP(--SUBSTITUTE(SUBSTITUTE(TRIM($K21),"-","")," ",""),마스터시트!$A$2:$H$1946,5,FALSE),""))</f>
        <v/>
      </c>
      <c r="Q21" s="40" t="str">
        <f>IF($K21="","",IFERROR(VLOOKUP(--SUBSTITUTE(SUBSTITUTE(TRIM($K21),"-","")," ",""),마스터시트!$A$2:$H$1946,6,FALSE),""))</f>
        <v/>
      </c>
      <c r="R21" s="41" t="str">
        <f>IF($K21="","",IFERROR(VLOOKUP(--SUBSTITUTE(SUBSTITUTE(TRIM($K21),"-","")," ",""),마스터시트!$A$2:$H$1946,7,FALSE),""))</f>
        <v/>
      </c>
      <c r="S21" s="39"/>
      <c r="T21" s="49" t="str">
        <f>IF($K21="","",파일1!$C16)</f>
        <v/>
      </c>
      <c r="U21" s="49" t="str">
        <f>IF($K21="","",파일1!$D16)</f>
        <v/>
      </c>
      <c r="V21" s="16"/>
      <c r="W21" s="14" t="str">
        <f t="shared" ca="1" si="9"/>
        <v/>
      </c>
      <c r="X21" s="16" t="s">
        <v>3024</v>
      </c>
      <c r="Y21" s="16" t="str">
        <f>IF($K21="","",파일1!#REF!)</f>
        <v/>
      </c>
      <c r="Z21" s="16" t="str">
        <f>IF($K21="","",IF(파일1!#REF!="",1,파일1!#REF!))</f>
        <v/>
      </c>
      <c r="AA21" s="16" t="str">
        <f>IF($K21="","",IF(파일1!#REF!="","",파일1!#REF!))</f>
        <v/>
      </c>
      <c r="AB21" s="49" t="str">
        <f>IF($K21="","",파일1!$C16)</f>
        <v/>
      </c>
      <c r="AC21" s="49" t="str">
        <f>IF($K21="","",파일1!$D16)</f>
        <v/>
      </c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7" t="str">
        <f t="shared" si="10"/>
        <v/>
      </c>
    </row>
    <row r="22" spans="1:59" ht="24" customHeight="1" x14ac:dyDescent="0.3">
      <c r="A22" s="13" t="str">
        <f t="shared" si="0"/>
        <v/>
      </c>
      <c r="B22" s="51" t="str">
        <f ca="1">IF($K22="","",IF(파일1!#REF!="",TODAY(),파일1!#REF!))</f>
        <v/>
      </c>
      <c r="C22" s="14" t="str">
        <f t="shared" si="1"/>
        <v/>
      </c>
      <c r="D22" s="15" t="str">
        <f t="shared" si="2"/>
        <v/>
      </c>
      <c r="E22" s="14" t="str">
        <f t="shared" si="3"/>
        <v/>
      </c>
      <c r="F22" s="14" t="str">
        <f t="shared" si="4"/>
        <v/>
      </c>
      <c r="G22" s="16" t="str">
        <f t="shared" si="5"/>
        <v/>
      </c>
      <c r="H22" s="16" t="str">
        <f t="shared" si="6"/>
        <v/>
      </c>
      <c r="I22" s="16" t="str">
        <f t="shared" si="7"/>
        <v/>
      </c>
      <c r="J22" s="16" t="str">
        <f t="shared" si="8"/>
        <v/>
      </c>
      <c r="K22" s="54" t="str">
        <f>IF(파일1!$B17="","",TEXT(파일1!$B17,"0"))</f>
        <v/>
      </c>
      <c r="L22" s="16"/>
      <c r="M22" s="38" t="str">
        <f>IF($K22="","",IFERROR(VLOOKUP(--SUBSTITUTE(SUBSTITUTE(TRIM($K22),"-","")," ",""),마스터시트!$A$2:$H$1946,2,FALSE),"미등록"))</f>
        <v/>
      </c>
      <c r="N22" s="53" t="str">
        <f>IF($K22="","",IFERROR(VLOOKUP(--SUBSTITUTE(SUBSTITUTE(TRIM($K22),"-","")," ",""),마스터시트!$A$2:$H$1946,3,FALSE),"미등록"))</f>
        <v/>
      </c>
      <c r="O22" s="39" t="str">
        <f>IF($K22="","",IFERROR(VLOOKUP(--SUBSTITUTE(SUBSTITUTE(TRIM($K22),"-","")," ",""),마스터시트!$A$2:$H$1946,4,FALSE),""))</f>
        <v/>
      </c>
      <c r="P22" s="37" t="str">
        <f>IF($K22="","",IFERROR(VLOOKUP(--SUBSTITUTE(SUBSTITUTE(TRIM($K22),"-","")," ",""),마스터시트!$A$2:$H$1946,5,FALSE),""))</f>
        <v/>
      </c>
      <c r="Q22" s="40" t="str">
        <f>IF($K22="","",IFERROR(VLOOKUP(--SUBSTITUTE(SUBSTITUTE(TRIM($K22),"-","")," ",""),마스터시트!$A$2:$H$1946,6,FALSE),""))</f>
        <v/>
      </c>
      <c r="R22" s="41" t="str">
        <f>IF($K22="","",IFERROR(VLOOKUP(--SUBSTITUTE(SUBSTITUTE(TRIM($K22),"-","")," ",""),마스터시트!$A$2:$H$1946,7,FALSE),""))</f>
        <v/>
      </c>
      <c r="S22" s="39"/>
      <c r="T22" s="49" t="str">
        <f>IF($K22="","",파일1!$C17)</f>
        <v/>
      </c>
      <c r="U22" s="49" t="str">
        <f>IF($K22="","",파일1!$D17)</f>
        <v/>
      </c>
      <c r="V22" s="16"/>
      <c r="W22" s="14" t="str">
        <f t="shared" ca="1" si="9"/>
        <v/>
      </c>
      <c r="X22" s="16" t="s">
        <v>3024</v>
      </c>
      <c r="Y22" s="16" t="str">
        <f>IF($K22="","",파일1!#REF!)</f>
        <v/>
      </c>
      <c r="Z22" s="16" t="str">
        <f>IF($K22="","",IF(파일1!#REF!="",1,파일1!#REF!))</f>
        <v/>
      </c>
      <c r="AA22" s="16" t="str">
        <f>IF($K22="","",IF(파일1!#REF!="","",파일1!#REF!))</f>
        <v/>
      </c>
      <c r="AB22" s="49" t="str">
        <f>IF($K22="","",파일1!$C17)</f>
        <v/>
      </c>
      <c r="AC22" s="49" t="str">
        <f>IF($K22="","",파일1!$D17)</f>
        <v/>
      </c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7" t="str">
        <f t="shared" si="10"/>
        <v/>
      </c>
    </row>
    <row r="23" spans="1:59" ht="24" customHeight="1" x14ac:dyDescent="0.3">
      <c r="A23" s="13" t="str">
        <f t="shared" si="0"/>
        <v/>
      </c>
      <c r="B23" s="51" t="str">
        <f ca="1">IF($K23="","",IF(파일1!#REF!="",TODAY(),파일1!#REF!))</f>
        <v/>
      </c>
      <c r="C23" s="14" t="str">
        <f t="shared" si="1"/>
        <v/>
      </c>
      <c r="D23" s="15" t="str">
        <f t="shared" si="2"/>
        <v/>
      </c>
      <c r="E23" s="14" t="str">
        <f t="shared" si="3"/>
        <v/>
      </c>
      <c r="F23" s="14" t="str">
        <f t="shared" si="4"/>
        <v/>
      </c>
      <c r="G23" s="16" t="str">
        <f t="shared" si="5"/>
        <v/>
      </c>
      <c r="H23" s="16" t="str">
        <f t="shared" si="6"/>
        <v/>
      </c>
      <c r="I23" s="16" t="str">
        <f t="shared" si="7"/>
        <v/>
      </c>
      <c r="J23" s="16" t="str">
        <f t="shared" si="8"/>
        <v/>
      </c>
      <c r="K23" s="54" t="str">
        <f>IF(파일1!$B18="","",TEXT(파일1!$B18,"0"))</f>
        <v/>
      </c>
      <c r="L23" s="16"/>
      <c r="M23" s="38" t="str">
        <f>IF($K23="","",IFERROR(VLOOKUP(--SUBSTITUTE(SUBSTITUTE(TRIM($K23),"-","")," ",""),마스터시트!$A$2:$H$1946,2,FALSE),"미등록"))</f>
        <v/>
      </c>
      <c r="N23" s="53" t="str">
        <f>IF($K23="","",IFERROR(VLOOKUP(--SUBSTITUTE(SUBSTITUTE(TRIM($K23),"-","")," ",""),마스터시트!$A$2:$H$1946,3,FALSE),"미등록"))</f>
        <v/>
      </c>
      <c r="O23" s="39" t="str">
        <f>IF($K23="","",IFERROR(VLOOKUP(--SUBSTITUTE(SUBSTITUTE(TRIM($K23),"-","")," ",""),마스터시트!$A$2:$H$1946,4,FALSE),""))</f>
        <v/>
      </c>
      <c r="P23" s="37" t="str">
        <f>IF($K23="","",IFERROR(VLOOKUP(--SUBSTITUTE(SUBSTITUTE(TRIM($K23),"-","")," ",""),마스터시트!$A$2:$H$1946,5,FALSE),""))</f>
        <v/>
      </c>
      <c r="Q23" s="40" t="str">
        <f>IF($K23="","",IFERROR(VLOOKUP(--SUBSTITUTE(SUBSTITUTE(TRIM($K23),"-","")," ",""),마스터시트!$A$2:$H$1946,6,FALSE),""))</f>
        <v/>
      </c>
      <c r="R23" s="41" t="str">
        <f>IF($K23="","",IFERROR(VLOOKUP(--SUBSTITUTE(SUBSTITUTE(TRIM($K23),"-","")," ",""),마스터시트!$A$2:$H$1946,7,FALSE),""))</f>
        <v/>
      </c>
      <c r="S23" s="39"/>
      <c r="T23" s="49" t="str">
        <f>IF($K23="","",파일1!$C18)</f>
        <v/>
      </c>
      <c r="U23" s="49" t="str">
        <f>IF($K23="","",파일1!$D18)</f>
        <v/>
      </c>
      <c r="V23" s="16"/>
      <c r="W23" s="14" t="str">
        <f t="shared" ca="1" si="9"/>
        <v/>
      </c>
      <c r="X23" s="16" t="s">
        <v>3024</v>
      </c>
      <c r="Y23" s="16" t="str">
        <f>IF($K23="","",파일1!#REF!)</f>
        <v/>
      </c>
      <c r="Z23" s="16" t="str">
        <f>IF($K23="","",IF(파일1!#REF!="",1,파일1!#REF!))</f>
        <v/>
      </c>
      <c r="AA23" s="16" t="str">
        <f>IF($K23="","",IF(파일1!#REF!="","",파일1!#REF!))</f>
        <v/>
      </c>
      <c r="AB23" s="49" t="str">
        <f>IF($K23="","",파일1!$C18)</f>
        <v/>
      </c>
      <c r="AC23" s="49" t="str">
        <f>IF($K23="","",파일1!$D18)</f>
        <v/>
      </c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7" t="str">
        <f t="shared" si="10"/>
        <v/>
      </c>
    </row>
    <row r="24" spans="1:59" ht="24" customHeight="1" x14ac:dyDescent="0.3">
      <c r="A24" s="13" t="str">
        <f t="shared" si="0"/>
        <v/>
      </c>
      <c r="B24" s="51" t="str">
        <f ca="1">IF($K24="","",IF(파일1!#REF!="",TODAY(),파일1!#REF!))</f>
        <v/>
      </c>
      <c r="C24" s="14" t="str">
        <f t="shared" si="1"/>
        <v/>
      </c>
      <c r="D24" s="15" t="str">
        <f t="shared" si="2"/>
        <v/>
      </c>
      <c r="E24" s="14" t="str">
        <f t="shared" si="3"/>
        <v/>
      </c>
      <c r="F24" s="14" t="str">
        <f t="shared" si="4"/>
        <v/>
      </c>
      <c r="G24" s="16" t="str">
        <f t="shared" si="5"/>
        <v/>
      </c>
      <c r="H24" s="16" t="str">
        <f t="shared" si="6"/>
        <v/>
      </c>
      <c r="I24" s="16" t="str">
        <f t="shared" si="7"/>
        <v/>
      </c>
      <c r="J24" s="16" t="str">
        <f t="shared" si="8"/>
        <v/>
      </c>
      <c r="K24" s="54" t="str">
        <f>IF(파일1!$B19="","",TEXT(파일1!$B19,"0"))</f>
        <v/>
      </c>
      <c r="L24" s="16"/>
      <c r="M24" s="38" t="str">
        <f>IF($K24="","",IFERROR(VLOOKUP(--SUBSTITUTE(SUBSTITUTE(TRIM($K24),"-","")," ",""),마스터시트!$A$2:$H$1946,2,FALSE),"미등록"))</f>
        <v/>
      </c>
      <c r="N24" s="53" t="str">
        <f>IF($K24="","",IFERROR(VLOOKUP(--SUBSTITUTE(SUBSTITUTE(TRIM($K24),"-","")," ",""),마스터시트!$A$2:$H$1946,3,FALSE),"미등록"))</f>
        <v/>
      </c>
      <c r="O24" s="39" t="str">
        <f>IF($K24="","",IFERROR(VLOOKUP(--SUBSTITUTE(SUBSTITUTE(TRIM($K24),"-","")," ",""),마스터시트!$A$2:$H$1946,4,FALSE),""))</f>
        <v/>
      </c>
      <c r="P24" s="37" t="str">
        <f>IF($K24="","",IFERROR(VLOOKUP(--SUBSTITUTE(SUBSTITUTE(TRIM($K24),"-","")," ",""),마스터시트!$A$2:$H$1946,5,FALSE),""))</f>
        <v/>
      </c>
      <c r="Q24" s="40" t="str">
        <f>IF($K24="","",IFERROR(VLOOKUP(--SUBSTITUTE(SUBSTITUTE(TRIM($K24),"-","")," ",""),마스터시트!$A$2:$H$1946,6,FALSE),""))</f>
        <v/>
      </c>
      <c r="R24" s="41" t="str">
        <f>IF($K24="","",IFERROR(VLOOKUP(--SUBSTITUTE(SUBSTITUTE(TRIM($K24),"-","")," ",""),마스터시트!$A$2:$H$1946,7,FALSE),""))</f>
        <v/>
      </c>
      <c r="S24" s="39"/>
      <c r="T24" s="49" t="str">
        <f>IF($K24="","",파일1!$C19)</f>
        <v/>
      </c>
      <c r="U24" s="49" t="str">
        <f>IF($K24="","",파일1!$D19)</f>
        <v/>
      </c>
      <c r="V24" s="16"/>
      <c r="W24" s="14" t="str">
        <f t="shared" ca="1" si="9"/>
        <v/>
      </c>
      <c r="X24" s="16" t="s">
        <v>3024</v>
      </c>
      <c r="Y24" s="16" t="str">
        <f>IF($K24="","",파일1!#REF!)</f>
        <v/>
      </c>
      <c r="Z24" s="16" t="str">
        <f>IF($K24="","",IF(파일1!#REF!="",1,파일1!#REF!))</f>
        <v/>
      </c>
      <c r="AA24" s="16" t="str">
        <f>IF($K24="","",IF(파일1!#REF!="","",파일1!#REF!))</f>
        <v/>
      </c>
      <c r="AB24" s="49" t="str">
        <f>IF($K24="","",파일1!$C19)</f>
        <v/>
      </c>
      <c r="AC24" s="49" t="str">
        <f>IF($K24="","",파일1!$D19)</f>
        <v/>
      </c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7" t="str">
        <f t="shared" si="10"/>
        <v/>
      </c>
    </row>
    <row r="25" spans="1:59" ht="24" customHeight="1" x14ac:dyDescent="0.3">
      <c r="A25" s="13" t="str">
        <f t="shared" si="0"/>
        <v/>
      </c>
      <c r="B25" s="51" t="str">
        <f ca="1">IF($K25="","",IF(파일1!#REF!="",TODAY(),파일1!#REF!))</f>
        <v/>
      </c>
      <c r="C25" s="14" t="str">
        <f t="shared" si="1"/>
        <v/>
      </c>
      <c r="D25" s="15" t="str">
        <f t="shared" si="2"/>
        <v/>
      </c>
      <c r="E25" s="14" t="str">
        <f t="shared" si="3"/>
        <v/>
      </c>
      <c r="F25" s="14" t="str">
        <f t="shared" si="4"/>
        <v/>
      </c>
      <c r="G25" s="16" t="str">
        <f t="shared" si="5"/>
        <v/>
      </c>
      <c r="H25" s="16" t="str">
        <f t="shared" si="6"/>
        <v/>
      </c>
      <c r="I25" s="16" t="str">
        <f t="shared" si="7"/>
        <v/>
      </c>
      <c r="J25" s="16" t="str">
        <f t="shared" si="8"/>
        <v/>
      </c>
      <c r="K25" s="54" t="str">
        <f>IF(파일1!$B20="","",TEXT(파일1!$B20,"0"))</f>
        <v/>
      </c>
      <c r="L25" s="16"/>
      <c r="M25" s="38" t="str">
        <f>IF($K25="","",IFERROR(VLOOKUP(--SUBSTITUTE(SUBSTITUTE(TRIM($K25),"-","")," ",""),마스터시트!$A$2:$H$1946,2,FALSE),"미등록"))</f>
        <v/>
      </c>
      <c r="N25" s="53" t="str">
        <f>IF($K25="","",IFERROR(VLOOKUP(--SUBSTITUTE(SUBSTITUTE(TRIM($K25),"-","")," ",""),마스터시트!$A$2:$H$1946,3,FALSE),"미등록"))</f>
        <v/>
      </c>
      <c r="O25" s="39" t="str">
        <f>IF($K25="","",IFERROR(VLOOKUP(--SUBSTITUTE(SUBSTITUTE(TRIM($K25),"-","")," ",""),마스터시트!$A$2:$H$1946,4,FALSE),""))</f>
        <v/>
      </c>
      <c r="P25" s="37" t="str">
        <f>IF($K25="","",IFERROR(VLOOKUP(--SUBSTITUTE(SUBSTITUTE(TRIM($K25),"-","")," ",""),마스터시트!$A$2:$H$1946,5,FALSE),""))</f>
        <v/>
      </c>
      <c r="Q25" s="40" t="str">
        <f>IF($K25="","",IFERROR(VLOOKUP(--SUBSTITUTE(SUBSTITUTE(TRIM($K25),"-","")," ",""),마스터시트!$A$2:$H$1946,6,FALSE),""))</f>
        <v/>
      </c>
      <c r="R25" s="41" t="str">
        <f>IF($K25="","",IFERROR(VLOOKUP(--SUBSTITUTE(SUBSTITUTE(TRIM($K25),"-","")," ",""),마스터시트!$A$2:$H$1946,7,FALSE),""))</f>
        <v/>
      </c>
      <c r="S25" s="39"/>
      <c r="T25" s="49" t="str">
        <f>IF($K25="","",파일1!$C20)</f>
        <v/>
      </c>
      <c r="U25" s="49" t="str">
        <f>IF($K25="","",파일1!$D20)</f>
        <v/>
      </c>
      <c r="V25" s="16"/>
      <c r="W25" s="14" t="str">
        <f t="shared" ca="1" si="9"/>
        <v/>
      </c>
      <c r="X25" s="16" t="s">
        <v>3024</v>
      </c>
      <c r="Y25" s="16" t="str">
        <f>IF($K25="","",파일1!#REF!)</f>
        <v/>
      </c>
      <c r="Z25" s="16" t="str">
        <f>IF($K25="","",IF(파일1!#REF!="",1,파일1!#REF!))</f>
        <v/>
      </c>
      <c r="AA25" s="16" t="str">
        <f>IF($K25="","",IF(파일1!#REF!="","",파일1!#REF!))</f>
        <v/>
      </c>
      <c r="AB25" s="49" t="str">
        <f>IF($K25="","",파일1!$C20)</f>
        <v/>
      </c>
      <c r="AC25" s="49" t="str">
        <f>IF($K25="","",파일1!$D20)</f>
        <v/>
      </c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7" t="str">
        <f t="shared" si="10"/>
        <v/>
      </c>
    </row>
    <row r="26" spans="1:59" ht="24" customHeight="1" x14ac:dyDescent="0.3">
      <c r="A26" s="13" t="str">
        <f t="shared" si="0"/>
        <v/>
      </c>
      <c r="B26" s="51" t="str">
        <f ca="1">IF($K26="","",IF(파일1!#REF!="",TODAY(),파일1!#REF!))</f>
        <v/>
      </c>
      <c r="C26" s="14" t="str">
        <f t="shared" si="1"/>
        <v/>
      </c>
      <c r="D26" s="15" t="str">
        <f t="shared" si="2"/>
        <v/>
      </c>
      <c r="E26" s="14" t="str">
        <f t="shared" si="3"/>
        <v/>
      </c>
      <c r="F26" s="14" t="str">
        <f t="shared" si="4"/>
        <v/>
      </c>
      <c r="G26" s="16" t="str">
        <f t="shared" si="5"/>
        <v/>
      </c>
      <c r="H26" s="16" t="str">
        <f t="shared" si="6"/>
        <v/>
      </c>
      <c r="I26" s="16" t="str">
        <f t="shared" si="7"/>
        <v/>
      </c>
      <c r="J26" s="16" t="str">
        <f t="shared" si="8"/>
        <v/>
      </c>
      <c r="K26" s="54" t="str">
        <f>IF(파일1!$B21="","",TEXT(파일1!$B21,"0"))</f>
        <v/>
      </c>
      <c r="L26" s="16"/>
      <c r="M26" s="38" t="str">
        <f>IF($K26="","",IFERROR(VLOOKUP(--SUBSTITUTE(SUBSTITUTE(TRIM($K26),"-","")," ",""),마스터시트!$A$2:$H$1946,2,FALSE),"미등록"))</f>
        <v/>
      </c>
      <c r="N26" s="53" t="str">
        <f>IF($K26="","",IFERROR(VLOOKUP(--SUBSTITUTE(SUBSTITUTE(TRIM($K26),"-","")," ",""),마스터시트!$A$2:$H$1946,3,FALSE),"미등록"))</f>
        <v/>
      </c>
      <c r="O26" s="39" t="str">
        <f>IF($K26="","",IFERROR(VLOOKUP(--SUBSTITUTE(SUBSTITUTE(TRIM($K26),"-","")," ",""),마스터시트!$A$2:$H$1946,4,FALSE),""))</f>
        <v/>
      </c>
      <c r="P26" s="37" t="str">
        <f>IF($K26="","",IFERROR(VLOOKUP(--SUBSTITUTE(SUBSTITUTE(TRIM($K26),"-","")," ",""),마스터시트!$A$2:$H$1946,5,FALSE),""))</f>
        <v/>
      </c>
      <c r="Q26" s="40" t="str">
        <f>IF($K26="","",IFERROR(VLOOKUP(--SUBSTITUTE(SUBSTITUTE(TRIM($K26),"-","")," ",""),마스터시트!$A$2:$H$1946,6,FALSE),""))</f>
        <v/>
      </c>
      <c r="R26" s="41" t="str">
        <f>IF($K26="","",IFERROR(VLOOKUP(--SUBSTITUTE(SUBSTITUTE(TRIM($K26),"-","")," ",""),마스터시트!$A$2:$H$1946,7,FALSE),""))</f>
        <v/>
      </c>
      <c r="S26" s="39"/>
      <c r="T26" s="49" t="str">
        <f>IF($K26="","",파일1!$C21)</f>
        <v/>
      </c>
      <c r="U26" s="49" t="str">
        <f>IF($K26="","",파일1!$D21)</f>
        <v/>
      </c>
      <c r="V26" s="16"/>
      <c r="W26" s="14" t="str">
        <f t="shared" ca="1" si="9"/>
        <v/>
      </c>
      <c r="X26" s="16" t="s">
        <v>3024</v>
      </c>
      <c r="Y26" s="16" t="str">
        <f>IF($K26="","",파일1!#REF!)</f>
        <v/>
      </c>
      <c r="Z26" s="16" t="str">
        <f>IF($K26="","",IF(파일1!#REF!="",1,파일1!#REF!))</f>
        <v/>
      </c>
      <c r="AA26" s="16" t="str">
        <f>IF($K26="","",IF(파일1!#REF!="","",파일1!#REF!))</f>
        <v/>
      </c>
      <c r="AB26" s="49" t="str">
        <f>IF($K26="","",파일1!$C21)</f>
        <v/>
      </c>
      <c r="AC26" s="49" t="str">
        <f>IF($K26="","",파일1!$D21)</f>
        <v/>
      </c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 t="str">
        <f t="shared" si="10"/>
        <v/>
      </c>
    </row>
    <row r="27" spans="1:59" ht="24" customHeight="1" x14ac:dyDescent="0.3">
      <c r="A27" s="13" t="str">
        <f t="shared" si="0"/>
        <v/>
      </c>
      <c r="B27" s="51" t="str">
        <f ca="1">IF($K27="","",IF(파일1!#REF!="",TODAY(),파일1!#REF!))</f>
        <v/>
      </c>
      <c r="C27" s="14" t="str">
        <f t="shared" si="1"/>
        <v/>
      </c>
      <c r="D27" s="15" t="str">
        <f t="shared" si="2"/>
        <v/>
      </c>
      <c r="E27" s="14" t="str">
        <f t="shared" si="3"/>
        <v/>
      </c>
      <c r="F27" s="14" t="str">
        <f t="shared" si="4"/>
        <v/>
      </c>
      <c r="G27" s="16" t="str">
        <f t="shared" si="5"/>
        <v/>
      </c>
      <c r="H27" s="16" t="str">
        <f t="shared" si="6"/>
        <v/>
      </c>
      <c r="I27" s="16" t="str">
        <f t="shared" si="7"/>
        <v/>
      </c>
      <c r="J27" s="16" t="str">
        <f t="shared" si="8"/>
        <v/>
      </c>
      <c r="K27" s="54" t="str">
        <f>IF(파일1!$B22="","",TEXT(파일1!$B22,"0"))</f>
        <v/>
      </c>
      <c r="L27" s="16"/>
      <c r="M27" s="38" t="str">
        <f>IF($K27="","",IFERROR(VLOOKUP(--SUBSTITUTE(SUBSTITUTE(TRIM($K27),"-","")," ",""),마스터시트!$A$2:$H$1946,2,FALSE),"미등록"))</f>
        <v/>
      </c>
      <c r="N27" s="53" t="str">
        <f>IF($K27="","",IFERROR(VLOOKUP(--SUBSTITUTE(SUBSTITUTE(TRIM($K27),"-","")," ",""),마스터시트!$A$2:$H$1946,3,FALSE),"미등록"))</f>
        <v/>
      </c>
      <c r="O27" s="39" t="str">
        <f>IF($K27="","",IFERROR(VLOOKUP(--SUBSTITUTE(SUBSTITUTE(TRIM($K27),"-","")," ",""),마스터시트!$A$2:$H$1946,4,FALSE),""))</f>
        <v/>
      </c>
      <c r="P27" s="37" t="str">
        <f>IF($K27="","",IFERROR(VLOOKUP(--SUBSTITUTE(SUBSTITUTE(TRIM($K27),"-","")," ",""),마스터시트!$A$2:$H$1946,5,FALSE),""))</f>
        <v/>
      </c>
      <c r="Q27" s="40" t="str">
        <f>IF($K27="","",IFERROR(VLOOKUP(--SUBSTITUTE(SUBSTITUTE(TRIM($K27),"-","")," ",""),마스터시트!$A$2:$H$1946,6,FALSE),""))</f>
        <v/>
      </c>
      <c r="R27" s="41" t="str">
        <f>IF($K27="","",IFERROR(VLOOKUP(--SUBSTITUTE(SUBSTITUTE(TRIM($K27),"-","")," ",""),마스터시트!$A$2:$H$1946,7,FALSE),""))</f>
        <v/>
      </c>
      <c r="S27" s="39"/>
      <c r="T27" s="49" t="str">
        <f>IF($K27="","",파일1!$C22)</f>
        <v/>
      </c>
      <c r="U27" s="49" t="str">
        <f>IF($K27="","",파일1!$D22)</f>
        <v/>
      </c>
      <c r="V27" s="16"/>
      <c r="W27" s="14" t="str">
        <f t="shared" ca="1" si="9"/>
        <v/>
      </c>
      <c r="X27" s="16" t="s">
        <v>3024</v>
      </c>
      <c r="Y27" s="16" t="str">
        <f>IF($K27="","",파일1!#REF!)</f>
        <v/>
      </c>
      <c r="Z27" s="16" t="str">
        <f>IF($K27="","",IF(파일1!#REF!="",1,파일1!#REF!))</f>
        <v/>
      </c>
      <c r="AA27" s="16" t="str">
        <f>IF($K27="","",IF(파일1!#REF!="","",파일1!#REF!))</f>
        <v/>
      </c>
      <c r="AB27" s="49" t="str">
        <f>IF($K27="","",파일1!$C22)</f>
        <v/>
      </c>
      <c r="AC27" s="49" t="str">
        <f>IF($K27="","",파일1!$D22)</f>
        <v/>
      </c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7" t="str">
        <f t="shared" si="10"/>
        <v/>
      </c>
    </row>
    <row r="28" spans="1:59" ht="24" customHeight="1" x14ac:dyDescent="0.3">
      <c r="A28" s="13" t="str">
        <f t="shared" si="0"/>
        <v/>
      </c>
      <c r="B28" s="51" t="str">
        <f ca="1">IF($K28="","",IF(파일1!#REF!="",TODAY(),파일1!#REF!))</f>
        <v/>
      </c>
      <c r="C28" s="14" t="str">
        <f t="shared" si="1"/>
        <v/>
      </c>
      <c r="D28" s="15" t="str">
        <f t="shared" si="2"/>
        <v/>
      </c>
      <c r="E28" s="14" t="str">
        <f t="shared" si="3"/>
        <v/>
      </c>
      <c r="F28" s="14" t="str">
        <f t="shared" si="4"/>
        <v/>
      </c>
      <c r="G28" s="16" t="str">
        <f t="shared" si="5"/>
        <v/>
      </c>
      <c r="H28" s="16" t="str">
        <f t="shared" si="6"/>
        <v/>
      </c>
      <c r="I28" s="16" t="str">
        <f t="shared" si="7"/>
        <v/>
      </c>
      <c r="J28" s="16" t="str">
        <f t="shared" si="8"/>
        <v/>
      </c>
      <c r="K28" s="54" t="str">
        <f>IF(파일1!$B23="","",TEXT(파일1!$B23,"0"))</f>
        <v/>
      </c>
      <c r="L28" s="16"/>
      <c r="M28" s="38" t="str">
        <f>IF($K28="","",IFERROR(VLOOKUP(--SUBSTITUTE(SUBSTITUTE(TRIM($K28),"-","")," ",""),마스터시트!$A$2:$H$1946,2,FALSE),"미등록"))</f>
        <v/>
      </c>
      <c r="N28" s="53" t="str">
        <f>IF($K28="","",IFERROR(VLOOKUP(--SUBSTITUTE(SUBSTITUTE(TRIM($K28),"-","")," ",""),마스터시트!$A$2:$H$1946,3,FALSE),"미등록"))</f>
        <v/>
      </c>
      <c r="O28" s="39" t="str">
        <f>IF($K28="","",IFERROR(VLOOKUP(--SUBSTITUTE(SUBSTITUTE(TRIM($K28),"-","")," ",""),마스터시트!$A$2:$H$1946,4,FALSE),""))</f>
        <v/>
      </c>
      <c r="P28" s="37" t="str">
        <f>IF($K28="","",IFERROR(VLOOKUP(--SUBSTITUTE(SUBSTITUTE(TRIM($K28),"-","")," ",""),마스터시트!$A$2:$H$1946,5,FALSE),""))</f>
        <v/>
      </c>
      <c r="Q28" s="40" t="str">
        <f>IF($K28="","",IFERROR(VLOOKUP(--SUBSTITUTE(SUBSTITUTE(TRIM($K28),"-","")," ",""),마스터시트!$A$2:$H$1946,6,FALSE),""))</f>
        <v/>
      </c>
      <c r="R28" s="41" t="str">
        <f>IF($K28="","",IFERROR(VLOOKUP(--SUBSTITUTE(SUBSTITUTE(TRIM($K28),"-","")," ",""),마스터시트!$A$2:$H$1946,7,FALSE),""))</f>
        <v/>
      </c>
      <c r="S28" s="39"/>
      <c r="T28" s="49" t="str">
        <f>IF($K28="","",파일1!$C23)</f>
        <v/>
      </c>
      <c r="U28" s="49" t="str">
        <f>IF($K28="","",파일1!$D23)</f>
        <v/>
      </c>
      <c r="V28" s="16"/>
      <c r="W28" s="14" t="str">
        <f t="shared" ca="1" si="9"/>
        <v/>
      </c>
      <c r="X28" s="16" t="s">
        <v>3024</v>
      </c>
      <c r="Y28" s="16" t="str">
        <f>IF($K28="","",파일1!#REF!)</f>
        <v/>
      </c>
      <c r="Z28" s="16" t="str">
        <f>IF($K28="","",IF(파일1!#REF!="",1,파일1!#REF!))</f>
        <v/>
      </c>
      <c r="AA28" s="16" t="str">
        <f>IF($K28="","",IF(파일1!#REF!="","",파일1!#REF!))</f>
        <v/>
      </c>
      <c r="AB28" s="49" t="str">
        <f>IF($K28="","",파일1!$C23)</f>
        <v/>
      </c>
      <c r="AC28" s="49" t="str">
        <f>IF($K28="","",파일1!$D23)</f>
        <v/>
      </c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7" t="str">
        <f t="shared" si="10"/>
        <v/>
      </c>
    </row>
    <row r="29" spans="1:59" ht="24" customHeight="1" x14ac:dyDescent="0.3">
      <c r="A29" s="13" t="str">
        <f t="shared" si="0"/>
        <v/>
      </c>
      <c r="B29" s="51" t="str">
        <f ca="1">IF($K29="","",IF(파일1!#REF!="",TODAY(),파일1!#REF!))</f>
        <v/>
      </c>
      <c r="C29" s="14" t="str">
        <f t="shared" si="1"/>
        <v/>
      </c>
      <c r="D29" s="15" t="str">
        <f t="shared" si="2"/>
        <v/>
      </c>
      <c r="E29" s="14" t="str">
        <f t="shared" si="3"/>
        <v/>
      </c>
      <c r="F29" s="14" t="str">
        <f t="shared" si="4"/>
        <v/>
      </c>
      <c r="G29" s="16" t="str">
        <f t="shared" si="5"/>
        <v/>
      </c>
      <c r="H29" s="16" t="str">
        <f t="shared" si="6"/>
        <v/>
      </c>
      <c r="I29" s="16" t="str">
        <f t="shared" si="7"/>
        <v/>
      </c>
      <c r="J29" s="16" t="str">
        <f t="shared" si="8"/>
        <v/>
      </c>
      <c r="K29" s="54" t="str">
        <f>IF(파일1!$B24="","",TEXT(파일1!$B24,"0"))</f>
        <v/>
      </c>
      <c r="L29" s="16"/>
      <c r="M29" s="38" t="str">
        <f>IF($K29="","",IFERROR(VLOOKUP(--SUBSTITUTE(SUBSTITUTE(TRIM($K29),"-","")," ",""),마스터시트!$A$2:$H$1946,2,FALSE),"미등록"))</f>
        <v/>
      </c>
      <c r="N29" s="53" t="str">
        <f>IF($K29="","",IFERROR(VLOOKUP(--SUBSTITUTE(SUBSTITUTE(TRIM($K29),"-","")," ",""),마스터시트!$A$2:$H$1946,3,FALSE),"미등록"))</f>
        <v/>
      </c>
      <c r="O29" s="39" t="str">
        <f>IF($K29="","",IFERROR(VLOOKUP(--SUBSTITUTE(SUBSTITUTE(TRIM($K29),"-","")," ",""),마스터시트!$A$2:$H$1946,4,FALSE),""))</f>
        <v/>
      </c>
      <c r="P29" s="37" t="str">
        <f>IF($K29="","",IFERROR(VLOOKUP(--SUBSTITUTE(SUBSTITUTE(TRIM($K29),"-","")," ",""),마스터시트!$A$2:$H$1946,5,FALSE),""))</f>
        <v/>
      </c>
      <c r="Q29" s="40" t="str">
        <f>IF($K29="","",IFERROR(VLOOKUP(--SUBSTITUTE(SUBSTITUTE(TRIM($K29),"-","")," ",""),마스터시트!$A$2:$H$1946,6,FALSE),""))</f>
        <v/>
      </c>
      <c r="R29" s="41" t="str">
        <f>IF($K29="","",IFERROR(VLOOKUP(--SUBSTITUTE(SUBSTITUTE(TRIM($K29),"-","")," ",""),마스터시트!$A$2:$H$1946,7,FALSE),""))</f>
        <v/>
      </c>
      <c r="S29" s="39"/>
      <c r="T29" s="49" t="str">
        <f>IF($K29="","",파일1!$C24)</f>
        <v/>
      </c>
      <c r="U29" s="49" t="str">
        <f>IF($K29="","",파일1!$D24)</f>
        <v/>
      </c>
      <c r="V29" s="16"/>
      <c r="W29" s="14" t="str">
        <f t="shared" ca="1" si="9"/>
        <v/>
      </c>
      <c r="X29" s="16" t="s">
        <v>3024</v>
      </c>
      <c r="Y29" s="16" t="str">
        <f>IF($K29="","",파일1!#REF!)</f>
        <v/>
      </c>
      <c r="Z29" s="16" t="str">
        <f>IF($K29="","",IF(파일1!#REF!="",1,파일1!#REF!))</f>
        <v/>
      </c>
      <c r="AA29" s="16" t="str">
        <f>IF($K29="","",IF(파일1!#REF!="","",파일1!#REF!))</f>
        <v/>
      </c>
      <c r="AB29" s="49" t="str">
        <f>IF($K29="","",파일1!$C24)</f>
        <v/>
      </c>
      <c r="AC29" s="49" t="str">
        <f>IF($K29="","",파일1!$D24)</f>
        <v/>
      </c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7" t="str">
        <f t="shared" si="10"/>
        <v/>
      </c>
    </row>
    <row r="30" spans="1:59" ht="24" customHeight="1" x14ac:dyDescent="0.3">
      <c r="A30" s="13" t="str">
        <f t="shared" si="0"/>
        <v/>
      </c>
      <c r="B30" s="51" t="str">
        <f ca="1">IF($K30="","",IF(파일1!#REF!="",TODAY(),파일1!#REF!))</f>
        <v/>
      </c>
      <c r="C30" s="14" t="str">
        <f t="shared" si="1"/>
        <v/>
      </c>
      <c r="D30" s="15" t="str">
        <f t="shared" si="2"/>
        <v/>
      </c>
      <c r="E30" s="14" t="str">
        <f t="shared" si="3"/>
        <v/>
      </c>
      <c r="F30" s="14" t="str">
        <f t="shared" si="4"/>
        <v/>
      </c>
      <c r="G30" s="16" t="str">
        <f t="shared" si="5"/>
        <v/>
      </c>
      <c r="H30" s="16" t="str">
        <f t="shared" si="6"/>
        <v/>
      </c>
      <c r="I30" s="16" t="str">
        <f t="shared" si="7"/>
        <v/>
      </c>
      <c r="J30" s="16" t="str">
        <f t="shared" si="8"/>
        <v/>
      </c>
      <c r="K30" s="54" t="str">
        <f>IF(파일1!$B25="","",TEXT(파일1!$B25,"0"))</f>
        <v/>
      </c>
      <c r="L30" s="16"/>
      <c r="M30" s="38" t="str">
        <f>IF($K30="","",IFERROR(VLOOKUP(--SUBSTITUTE(SUBSTITUTE(TRIM($K30),"-","")," ",""),마스터시트!$A$2:$H$1946,2,FALSE),"미등록"))</f>
        <v/>
      </c>
      <c r="N30" s="53" t="str">
        <f>IF($K30="","",IFERROR(VLOOKUP(--SUBSTITUTE(SUBSTITUTE(TRIM($K30),"-","")," ",""),마스터시트!$A$2:$H$1946,3,FALSE),"미등록"))</f>
        <v/>
      </c>
      <c r="O30" s="39" t="str">
        <f>IF($K30="","",IFERROR(VLOOKUP(--SUBSTITUTE(SUBSTITUTE(TRIM($K30),"-","")," ",""),마스터시트!$A$2:$H$1946,4,FALSE),""))</f>
        <v/>
      </c>
      <c r="P30" s="37" t="str">
        <f>IF($K30="","",IFERROR(VLOOKUP(--SUBSTITUTE(SUBSTITUTE(TRIM($K30),"-","")," ",""),마스터시트!$A$2:$H$1946,5,FALSE),""))</f>
        <v/>
      </c>
      <c r="Q30" s="40" t="str">
        <f>IF($K30="","",IFERROR(VLOOKUP(--SUBSTITUTE(SUBSTITUTE(TRIM($K30),"-","")," ",""),마스터시트!$A$2:$H$1946,6,FALSE),""))</f>
        <v/>
      </c>
      <c r="R30" s="41" t="str">
        <f>IF($K30="","",IFERROR(VLOOKUP(--SUBSTITUTE(SUBSTITUTE(TRIM($K30),"-","")," ",""),마스터시트!$A$2:$H$1946,7,FALSE),""))</f>
        <v/>
      </c>
      <c r="S30" s="39"/>
      <c r="T30" s="49" t="str">
        <f>IF($K30="","",파일1!$C25)</f>
        <v/>
      </c>
      <c r="U30" s="49" t="str">
        <f>IF($K30="","",파일1!$D25)</f>
        <v/>
      </c>
      <c r="V30" s="16"/>
      <c r="W30" s="14" t="str">
        <f t="shared" ca="1" si="9"/>
        <v/>
      </c>
      <c r="X30" s="16" t="s">
        <v>3024</v>
      </c>
      <c r="Y30" s="16" t="str">
        <f>IF($K30="","",파일1!#REF!)</f>
        <v/>
      </c>
      <c r="Z30" s="16" t="str">
        <f>IF($K30="","",IF(파일1!#REF!="",1,파일1!#REF!))</f>
        <v/>
      </c>
      <c r="AA30" s="16" t="str">
        <f>IF($K30="","",IF(파일1!#REF!="","",파일1!#REF!))</f>
        <v/>
      </c>
      <c r="AB30" s="49" t="str">
        <f>IF($K30="","",파일1!$C25)</f>
        <v/>
      </c>
      <c r="AC30" s="49" t="str">
        <f>IF($K30="","",파일1!$D25)</f>
        <v/>
      </c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7" t="str">
        <f t="shared" si="10"/>
        <v/>
      </c>
    </row>
    <row r="31" spans="1:59" ht="24" customHeight="1" x14ac:dyDescent="0.3">
      <c r="A31" s="13" t="str">
        <f t="shared" si="0"/>
        <v/>
      </c>
      <c r="B31" s="51" t="str">
        <f ca="1">IF($K31="","",IF(파일1!#REF!="",TODAY(),파일1!#REF!))</f>
        <v/>
      </c>
      <c r="C31" s="14" t="str">
        <f t="shared" si="1"/>
        <v/>
      </c>
      <c r="D31" s="15" t="str">
        <f t="shared" si="2"/>
        <v/>
      </c>
      <c r="E31" s="14" t="str">
        <f t="shared" si="3"/>
        <v/>
      </c>
      <c r="F31" s="14" t="str">
        <f t="shared" si="4"/>
        <v/>
      </c>
      <c r="G31" s="16" t="str">
        <f t="shared" si="5"/>
        <v/>
      </c>
      <c r="H31" s="16" t="str">
        <f t="shared" si="6"/>
        <v/>
      </c>
      <c r="I31" s="16" t="str">
        <f t="shared" si="7"/>
        <v/>
      </c>
      <c r="J31" s="16" t="str">
        <f t="shared" si="8"/>
        <v/>
      </c>
      <c r="K31" s="54" t="str">
        <f>IF(파일1!$B26="","",TEXT(파일1!$B26,"0"))</f>
        <v/>
      </c>
      <c r="L31" s="16"/>
      <c r="M31" s="38" t="str">
        <f>IF($K31="","",IFERROR(VLOOKUP(--SUBSTITUTE(SUBSTITUTE(TRIM($K31),"-","")," ",""),마스터시트!$A$2:$H$1946,2,FALSE),"미등록"))</f>
        <v/>
      </c>
      <c r="N31" s="53" t="str">
        <f>IF($K31="","",IFERROR(VLOOKUP(--SUBSTITUTE(SUBSTITUTE(TRIM($K31),"-","")," ",""),마스터시트!$A$2:$H$1946,3,FALSE),"미등록"))</f>
        <v/>
      </c>
      <c r="O31" s="39" t="str">
        <f>IF($K31="","",IFERROR(VLOOKUP(--SUBSTITUTE(SUBSTITUTE(TRIM($K31),"-","")," ",""),마스터시트!$A$2:$H$1946,4,FALSE),""))</f>
        <v/>
      </c>
      <c r="P31" s="37" t="str">
        <f>IF($K31="","",IFERROR(VLOOKUP(--SUBSTITUTE(SUBSTITUTE(TRIM($K31),"-","")," ",""),마스터시트!$A$2:$H$1946,5,FALSE),""))</f>
        <v/>
      </c>
      <c r="Q31" s="40" t="str">
        <f>IF($K31="","",IFERROR(VLOOKUP(--SUBSTITUTE(SUBSTITUTE(TRIM($K31),"-","")," ",""),마스터시트!$A$2:$H$1946,6,FALSE),""))</f>
        <v/>
      </c>
      <c r="R31" s="41" t="str">
        <f>IF($K31="","",IFERROR(VLOOKUP(--SUBSTITUTE(SUBSTITUTE(TRIM($K31),"-","")," ",""),마스터시트!$A$2:$H$1946,7,FALSE),""))</f>
        <v/>
      </c>
      <c r="S31" s="39"/>
      <c r="T31" s="49" t="str">
        <f>IF($K31="","",파일1!$C26)</f>
        <v/>
      </c>
      <c r="U31" s="49" t="str">
        <f>IF($K31="","",파일1!$D26)</f>
        <v/>
      </c>
      <c r="V31" s="16"/>
      <c r="W31" s="14" t="str">
        <f t="shared" ca="1" si="9"/>
        <v/>
      </c>
      <c r="X31" s="16" t="s">
        <v>3024</v>
      </c>
      <c r="Y31" s="16" t="str">
        <f>IF($K31="","",파일1!#REF!)</f>
        <v/>
      </c>
      <c r="Z31" s="16" t="str">
        <f>IF($K31="","",IF(파일1!#REF!="",1,파일1!#REF!))</f>
        <v/>
      </c>
      <c r="AA31" s="16" t="str">
        <f>IF($K31="","",IF(파일1!#REF!="","",파일1!#REF!))</f>
        <v/>
      </c>
      <c r="AB31" s="49" t="str">
        <f>IF($K31="","",파일1!$C26)</f>
        <v/>
      </c>
      <c r="AC31" s="49" t="str">
        <f>IF($K31="","",파일1!$D26)</f>
        <v/>
      </c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7" t="str">
        <f t="shared" si="10"/>
        <v/>
      </c>
    </row>
    <row r="32" spans="1:59" ht="24" customHeight="1" x14ac:dyDescent="0.3">
      <c r="A32" s="13" t="str">
        <f t="shared" si="0"/>
        <v/>
      </c>
      <c r="B32" s="51" t="str">
        <f ca="1">IF($K32="","",IF(파일1!#REF!="",TODAY(),파일1!#REF!))</f>
        <v/>
      </c>
      <c r="C32" s="14" t="str">
        <f t="shared" si="1"/>
        <v/>
      </c>
      <c r="D32" s="15" t="str">
        <f t="shared" si="2"/>
        <v/>
      </c>
      <c r="E32" s="14" t="str">
        <f t="shared" si="3"/>
        <v/>
      </c>
      <c r="F32" s="14" t="str">
        <f t="shared" si="4"/>
        <v/>
      </c>
      <c r="G32" s="16" t="str">
        <f t="shared" si="5"/>
        <v/>
      </c>
      <c r="H32" s="16" t="str">
        <f t="shared" si="6"/>
        <v/>
      </c>
      <c r="I32" s="16" t="str">
        <f t="shared" si="7"/>
        <v/>
      </c>
      <c r="J32" s="16" t="str">
        <f t="shared" si="8"/>
        <v/>
      </c>
      <c r="K32" s="54" t="str">
        <f>IF(파일1!$B27="","",TEXT(파일1!$B27,"0"))</f>
        <v/>
      </c>
      <c r="L32" s="16"/>
      <c r="M32" s="38" t="str">
        <f>IF($K32="","",IFERROR(VLOOKUP(--SUBSTITUTE(SUBSTITUTE(TRIM($K32),"-","")," ",""),마스터시트!$A$2:$H$1946,2,FALSE),"미등록"))</f>
        <v/>
      </c>
      <c r="N32" s="53" t="str">
        <f>IF($K32="","",IFERROR(VLOOKUP(--SUBSTITUTE(SUBSTITUTE(TRIM($K32),"-","")," ",""),마스터시트!$A$2:$H$1946,3,FALSE),"미등록"))</f>
        <v/>
      </c>
      <c r="O32" s="39" t="str">
        <f>IF($K32="","",IFERROR(VLOOKUP(--SUBSTITUTE(SUBSTITUTE(TRIM($K32),"-","")," ",""),마스터시트!$A$2:$H$1946,4,FALSE),""))</f>
        <v/>
      </c>
      <c r="P32" s="37" t="str">
        <f>IF($K32="","",IFERROR(VLOOKUP(--SUBSTITUTE(SUBSTITUTE(TRIM($K32),"-","")," ",""),마스터시트!$A$2:$H$1946,5,FALSE),""))</f>
        <v/>
      </c>
      <c r="Q32" s="40" t="str">
        <f>IF($K32="","",IFERROR(VLOOKUP(--SUBSTITUTE(SUBSTITUTE(TRIM($K32),"-","")," ",""),마스터시트!$A$2:$H$1946,6,FALSE),""))</f>
        <v/>
      </c>
      <c r="R32" s="41" t="str">
        <f>IF($K32="","",IFERROR(VLOOKUP(--SUBSTITUTE(SUBSTITUTE(TRIM($K32),"-","")," ",""),마스터시트!$A$2:$H$1946,7,FALSE),""))</f>
        <v/>
      </c>
      <c r="S32" s="39"/>
      <c r="T32" s="49" t="str">
        <f>IF($K32="","",파일1!$C27)</f>
        <v/>
      </c>
      <c r="U32" s="49" t="str">
        <f>IF($K32="","",파일1!$D27)</f>
        <v/>
      </c>
      <c r="V32" s="16"/>
      <c r="W32" s="14" t="str">
        <f t="shared" ca="1" si="9"/>
        <v/>
      </c>
      <c r="X32" s="16" t="s">
        <v>3024</v>
      </c>
      <c r="Y32" s="16" t="str">
        <f>IF($K32="","",파일1!#REF!)</f>
        <v/>
      </c>
      <c r="Z32" s="16" t="str">
        <f>IF($K32="","",IF(파일1!#REF!="",1,파일1!#REF!))</f>
        <v/>
      </c>
      <c r="AA32" s="16" t="str">
        <f>IF($K32="","",IF(파일1!#REF!="","",파일1!#REF!))</f>
        <v/>
      </c>
      <c r="AB32" s="49" t="str">
        <f>IF($K32="","",파일1!$C27)</f>
        <v/>
      </c>
      <c r="AC32" s="49" t="str">
        <f>IF($K32="","",파일1!$D27)</f>
        <v/>
      </c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7" t="str">
        <f t="shared" si="10"/>
        <v/>
      </c>
    </row>
    <row r="33" spans="1:59" ht="24" customHeight="1" x14ac:dyDescent="0.3">
      <c r="A33" s="13" t="str">
        <f t="shared" si="0"/>
        <v/>
      </c>
      <c r="B33" s="51" t="str">
        <f ca="1">IF($K33="","",IF(파일1!#REF!="",TODAY(),파일1!#REF!))</f>
        <v/>
      </c>
      <c r="C33" s="14" t="str">
        <f t="shared" si="1"/>
        <v/>
      </c>
      <c r="D33" s="15" t="str">
        <f t="shared" si="2"/>
        <v/>
      </c>
      <c r="E33" s="14" t="str">
        <f t="shared" si="3"/>
        <v/>
      </c>
      <c r="F33" s="14" t="str">
        <f t="shared" si="4"/>
        <v/>
      </c>
      <c r="G33" s="16" t="str">
        <f t="shared" si="5"/>
        <v/>
      </c>
      <c r="H33" s="16" t="str">
        <f t="shared" si="6"/>
        <v/>
      </c>
      <c r="I33" s="16" t="str">
        <f t="shared" si="7"/>
        <v/>
      </c>
      <c r="J33" s="16" t="str">
        <f t="shared" si="8"/>
        <v/>
      </c>
      <c r="K33" s="54" t="str">
        <f>IF(파일1!$B28="","",TEXT(파일1!$B28,"0"))</f>
        <v/>
      </c>
      <c r="L33" s="16"/>
      <c r="M33" s="38" t="str">
        <f>IF($K33="","",IFERROR(VLOOKUP(--SUBSTITUTE(SUBSTITUTE(TRIM($K33),"-","")," ",""),마스터시트!$A$2:$H$1946,2,FALSE),"미등록"))</f>
        <v/>
      </c>
      <c r="N33" s="53" t="str">
        <f>IF($K33="","",IFERROR(VLOOKUP(--SUBSTITUTE(SUBSTITUTE(TRIM($K33),"-","")," ",""),마스터시트!$A$2:$H$1946,3,FALSE),"미등록"))</f>
        <v/>
      </c>
      <c r="O33" s="39" t="str">
        <f>IF($K33="","",IFERROR(VLOOKUP(--SUBSTITUTE(SUBSTITUTE(TRIM($K33),"-","")," ",""),마스터시트!$A$2:$H$1946,4,FALSE),""))</f>
        <v/>
      </c>
      <c r="P33" s="37" t="str">
        <f>IF($K33="","",IFERROR(VLOOKUP(--SUBSTITUTE(SUBSTITUTE(TRIM($K33),"-","")," ",""),마스터시트!$A$2:$H$1946,5,FALSE),""))</f>
        <v/>
      </c>
      <c r="Q33" s="40" t="str">
        <f>IF($K33="","",IFERROR(VLOOKUP(--SUBSTITUTE(SUBSTITUTE(TRIM($K33),"-","")," ",""),마스터시트!$A$2:$H$1946,6,FALSE),""))</f>
        <v/>
      </c>
      <c r="R33" s="41" t="str">
        <f>IF($K33="","",IFERROR(VLOOKUP(--SUBSTITUTE(SUBSTITUTE(TRIM($K33),"-","")," ",""),마스터시트!$A$2:$H$1946,7,FALSE),""))</f>
        <v/>
      </c>
      <c r="S33" s="39"/>
      <c r="T33" s="49" t="str">
        <f>IF($K33="","",파일1!$C28)</f>
        <v/>
      </c>
      <c r="U33" s="49" t="str">
        <f>IF($K33="","",파일1!$D28)</f>
        <v/>
      </c>
      <c r="V33" s="16"/>
      <c r="W33" s="14" t="str">
        <f t="shared" ca="1" si="9"/>
        <v/>
      </c>
      <c r="X33" s="16" t="s">
        <v>3024</v>
      </c>
      <c r="Y33" s="16" t="str">
        <f>IF($K33="","",파일1!#REF!)</f>
        <v/>
      </c>
      <c r="Z33" s="16" t="str">
        <f>IF($K33="","",IF(파일1!#REF!="",1,파일1!#REF!))</f>
        <v/>
      </c>
      <c r="AA33" s="16" t="str">
        <f>IF($K33="","",IF(파일1!#REF!="","",파일1!#REF!))</f>
        <v/>
      </c>
      <c r="AB33" s="49" t="str">
        <f>IF($K33="","",파일1!$C28)</f>
        <v/>
      </c>
      <c r="AC33" s="49" t="str">
        <f>IF($K33="","",파일1!$D28)</f>
        <v/>
      </c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7" t="str">
        <f t="shared" si="10"/>
        <v/>
      </c>
    </row>
    <row r="34" spans="1:59" ht="24" customHeight="1" x14ac:dyDescent="0.3">
      <c r="A34" s="13" t="str">
        <f t="shared" si="0"/>
        <v/>
      </c>
      <c r="B34" s="51" t="str">
        <f ca="1">IF($K34="","",IF(파일1!#REF!="",TODAY(),파일1!#REF!))</f>
        <v/>
      </c>
      <c r="C34" s="14" t="str">
        <f t="shared" si="1"/>
        <v/>
      </c>
      <c r="D34" s="15" t="str">
        <f t="shared" si="2"/>
        <v/>
      </c>
      <c r="E34" s="14" t="str">
        <f t="shared" si="3"/>
        <v/>
      </c>
      <c r="F34" s="14" t="str">
        <f t="shared" si="4"/>
        <v/>
      </c>
      <c r="G34" s="16" t="str">
        <f t="shared" si="5"/>
        <v/>
      </c>
      <c r="H34" s="16" t="str">
        <f t="shared" si="6"/>
        <v/>
      </c>
      <c r="I34" s="16" t="str">
        <f t="shared" si="7"/>
        <v/>
      </c>
      <c r="J34" s="16" t="str">
        <f t="shared" si="8"/>
        <v/>
      </c>
      <c r="K34" s="54" t="str">
        <f>IF(파일1!$B29="","",TEXT(파일1!$B29,"0"))</f>
        <v/>
      </c>
      <c r="L34" s="16"/>
      <c r="M34" s="38" t="str">
        <f>IF($K34="","",IFERROR(VLOOKUP(--SUBSTITUTE(SUBSTITUTE(TRIM($K34),"-","")," ",""),마스터시트!$A$2:$H$1946,2,FALSE),"미등록"))</f>
        <v/>
      </c>
      <c r="N34" s="53" t="str">
        <f>IF($K34="","",IFERROR(VLOOKUP(--SUBSTITUTE(SUBSTITUTE(TRIM($K34),"-","")," ",""),마스터시트!$A$2:$H$1946,3,FALSE),"미등록"))</f>
        <v/>
      </c>
      <c r="O34" s="39" t="str">
        <f>IF($K34="","",IFERROR(VLOOKUP(--SUBSTITUTE(SUBSTITUTE(TRIM($K34),"-","")," ",""),마스터시트!$A$2:$H$1946,4,FALSE),""))</f>
        <v/>
      </c>
      <c r="P34" s="37" t="str">
        <f>IF($K34="","",IFERROR(VLOOKUP(--SUBSTITUTE(SUBSTITUTE(TRIM($K34),"-","")," ",""),마스터시트!$A$2:$H$1946,5,FALSE),""))</f>
        <v/>
      </c>
      <c r="Q34" s="40" t="str">
        <f>IF($K34="","",IFERROR(VLOOKUP(--SUBSTITUTE(SUBSTITUTE(TRIM($K34),"-","")," ",""),마스터시트!$A$2:$H$1946,6,FALSE),""))</f>
        <v/>
      </c>
      <c r="R34" s="41" t="str">
        <f>IF($K34="","",IFERROR(VLOOKUP(--SUBSTITUTE(SUBSTITUTE(TRIM($K34),"-","")," ",""),마스터시트!$A$2:$H$1946,7,FALSE),""))</f>
        <v/>
      </c>
      <c r="S34" s="39"/>
      <c r="T34" s="49" t="str">
        <f>IF($K34="","",파일1!$C29)</f>
        <v/>
      </c>
      <c r="U34" s="49" t="str">
        <f>IF($K34="","",파일1!$D29)</f>
        <v/>
      </c>
      <c r="V34" s="16"/>
      <c r="W34" s="14" t="str">
        <f t="shared" ca="1" si="9"/>
        <v/>
      </c>
      <c r="X34" s="16" t="s">
        <v>3024</v>
      </c>
      <c r="Y34" s="16" t="str">
        <f>IF($K34="","",파일1!#REF!)</f>
        <v/>
      </c>
      <c r="Z34" s="16" t="str">
        <f>IF($K34="","",IF(파일1!#REF!="",1,파일1!#REF!))</f>
        <v/>
      </c>
      <c r="AA34" s="16" t="str">
        <f>IF($K34="","",IF(파일1!#REF!="","",파일1!#REF!))</f>
        <v/>
      </c>
      <c r="AB34" s="49" t="str">
        <f>IF($K34="","",파일1!$C29)</f>
        <v/>
      </c>
      <c r="AC34" s="49" t="str">
        <f>IF($K34="","",파일1!$D29)</f>
        <v/>
      </c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7" t="str">
        <f t="shared" si="10"/>
        <v/>
      </c>
    </row>
    <row r="35" spans="1:59" ht="24" customHeight="1" x14ac:dyDescent="0.3">
      <c r="A35" s="13" t="str">
        <f t="shared" si="0"/>
        <v/>
      </c>
      <c r="B35" s="51" t="str">
        <f ca="1">IF($K35="","",IF(파일1!#REF!="",TODAY(),파일1!#REF!))</f>
        <v/>
      </c>
      <c r="C35" s="14" t="str">
        <f t="shared" si="1"/>
        <v/>
      </c>
      <c r="D35" s="15" t="str">
        <f t="shared" si="2"/>
        <v/>
      </c>
      <c r="E35" s="14" t="str">
        <f t="shared" si="3"/>
        <v/>
      </c>
      <c r="F35" s="14" t="str">
        <f t="shared" si="4"/>
        <v/>
      </c>
      <c r="G35" s="16" t="str">
        <f t="shared" si="5"/>
        <v/>
      </c>
      <c r="H35" s="16" t="str">
        <f t="shared" si="6"/>
        <v/>
      </c>
      <c r="I35" s="16" t="str">
        <f t="shared" si="7"/>
        <v/>
      </c>
      <c r="J35" s="16" t="str">
        <f t="shared" si="8"/>
        <v/>
      </c>
      <c r="K35" s="54" t="str">
        <f>IF(파일1!$B30="","",TEXT(파일1!$B30,"0"))</f>
        <v/>
      </c>
      <c r="L35" s="16"/>
      <c r="M35" s="38" t="str">
        <f>IF($K35="","",IFERROR(VLOOKUP(--SUBSTITUTE(SUBSTITUTE(TRIM($K35),"-","")," ",""),마스터시트!$A$2:$H$1946,2,FALSE),"미등록"))</f>
        <v/>
      </c>
      <c r="N35" s="53" t="str">
        <f>IF($K35="","",IFERROR(VLOOKUP(--SUBSTITUTE(SUBSTITUTE(TRIM($K35),"-","")," ",""),마스터시트!$A$2:$H$1946,3,FALSE),"미등록"))</f>
        <v/>
      </c>
      <c r="O35" s="39" t="str">
        <f>IF($K35="","",IFERROR(VLOOKUP(--SUBSTITUTE(SUBSTITUTE(TRIM($K35),"-","")," ",""),마스터시트!$A$2:$H$1946,4,FALSE),""))</f>
        <v/>
      </c>
      <c r="P35" s="37" t="str">
        <f>IF($K35="","",IFERROR(VLOOKUP(--SUBSTITUTE(SUBSTITUTE(TRIM($K35),"-","")," ",""),마스터시트!$A$2:$H$1946,5,FALSE),""))</f>
        <v/>
      </c>
      <c r="Q35" s="40" t="str">
        <f>IF($K35="","",IFERROR(VLOOKUP(--SUBSTITUTE(SUBSTITUTE(TRIM($K35),"-","")," ",""),마스터시트!$A$2:$H$1946,6,FALSE),""))</f>
        <v/>
      </c>
      <c r="R35" s="41" t="str">
        <f>IF($K35="","",IFERROR(VLOOKUP(--SUBSTITUTE(SUBSTITUTE(TRIM($K35),"-","")," ",""),마스터시트!$A$2:$H$1946,7,FALSE),""))</f>
        <v/>
      </c>
      <c r="S35" s="39"/>
      <c r="T35" s="49" t="str">
        <f>IF($K35="","",파일1!$C30)</f>
        <v/>
      </c>
      <c r="U35" s="49" t="str">
        <f>IF($K35="","",파일1!$D30)</f>
        <v/>
      </c>
      <c r="V35" s="16"/>
      <c r="W35" s="14" t="str">
        <f t="shared" ca="1" si="9"/>
        <v/>
      </c>
      <c r="X35" s="16" t="s">
        <v>3024</v>
      </c>
      <c r="Y35" s="16" t="str">
        <f>IF($K35="","",파일1!#REF!)</f>
        <v/>
      </c>
      <c r="Z35" s="16" t="str">
        <f>IF($K35="","",IF(파일1!#REF!="",1,파일1!#REF!))</f>
        <v/>
      </c>
      <c r="AA35" s="16" t="str">
        <f>IF($K35="","",IF(파일1!#REF!="","",파일1!#REF!))</f>
        <v/>
      </c>
      <c r="AB35" s="49" t="str">
        <f>IF($K35="","",파일1!$C30)</f>
        <v/>
      </c>
      <c r="AC35" s="49" t="str">
        <f>IF($K35="","",파일1!$D30)</f>
        <v/>
      </c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7" t="str">
        <f t="shared" si="10"/>
        <v/>
      </c>
    </row>
    <row r="36" spans="1:59" ht="24" customHeight="1" x14ac:dyDescent="0.3">
      <c r="A36" s="13" t="str">
        <f t="shared" si="0"/>
        <v/>
      </c>
      <c r="B36" s="51" t="str">
        <f ca="1">IF($K36="","",IF(파일1!#REF!="",TODAY(),파일1!#REF!))</f>
        <v/>
      </c>
      <c r="C36" s="14" t="str">
        <f t="shared" si="1"/>
        <v/>
      </c>
      <c r="D36" s="15" t="str">
        <f t="shared" si="2"/>
        <v/>
      </c>
      <c r="E36" s="14" t="str">
        <f t="shared" si="3"/>
        <v/>
      </c>
      <c r="F36" s="14" t="str">
        <f t="shared" si="4"/>
        <v/>
      </c>
      <c r="G36" s="16" t="str">
        <f t="shared" si="5"/>
        <v/>
      </c>
      <c r="H36" s="16" t="str">
        <f t="shared" si="6"/>
        <v/>
      </c>
      <c r="I36" s="16" t="str">
        <f t="shared" si="7"/>
        <v/>
      </c>
      <c r="J36" s="16" t="str">
        <f t="shared" si="8"/>
        <v/>
      </c>
      <c r="K36" s="54" t="str">
        <f>IF(파일1!$B31="","",TEXT(파일1!$B31,"0"))</f>
        <v/>
      </c>
      <c r="L36" s="16"/>
      <c r="M36" s="38" t="str">
        <f>IF($K36="","",IFERROR(VLOOKUP(--SUBSTITUTE(SUBSTITUTE(TRIM($K36),"-","")," ",""),마스터시트!$A$2:$H$1946,2,FALSE),"미등록"))</f>
        <v/>
      </c>
      <c r="N36" s="53" t="str">
        <f>IF($K36="","",IFERROR(VLOOKUP(--SUBSTITUTE(SUBSTITUTE(TRIM($K36),"-","")," ",""),마스터시트!$A$2:$H$1946,3,FALSE),"미등록"))</f>
        <v/>
      </c>
      <c r="O36" s="39" t="str">
        <f>IF($K36="","",IFERROR(VLOOKUP(--SUBSTITUTE(SUBSTITUTE(TRIM($K36),"-","")," ",""),마스터시트!$A$2:$H$1946,4,FALSE),""))</f>
        <v/>
      </c>
      <c r="P36" s="37" t="str">
        <f>IF($K36="","",IFERROR(VLOOKUP(--SUBSTITUTE(SUBSTITUTE(TRIM($K36),"-","")," ",""),마스터시트!$A$2:$H$1946,5,FALSE),""))</f>
        <v/>
      </c>
      <c r="Q36" s="40" t="str">
        <f>IF($K36="","",IFERROR(VLOOKUP(--SUBSTITUTE(SUBSTITUTE(TRIM($K36),"-","")," ",""),마스터시트!$A$2:$H$1946,6,FALSE),""))</f>
        <v/>
      </c>
      <c r="R36" s="41" t="str">
        <f>IF($K36="","",IFERROR(VLOOKUP(--SUBSTITUTE(SUBSTITUTE(TRIM($K36),"-","")," ",""),마스터시트!$A$2:$H$1946,7,FALSE),""))</f>
        <v/>
      </c>
      <c r="S36" s="39"/>
      <c r="T36" s="49" t="str">
        <f>IF($K36="","",파일1!$C31)</f>
        <v/>
      </c>
      <c r="U36" s="49" t="str">
        <f>IF($K36="","",파일1!$D31)</f>
        <v/>
      </c>
      <c r="V36" s="16"/>
      <c r="W36" s="14" t="str">
        <f t="shared" ca="1" si="9"/>
        <v/>
      </c>
      <c r="X36" s="16" t="s">
        <v>3024</v>
      </c>
      <c r="Y36" s="16" t="str">
        <f>IF($K36="","",파일1!#REF!)</f>
        <v/>
      </c>
      <c r="Z36" s="16" t="str">
        <f>IF($K36="","",IF(파일1!#REF!="",1,파일1!#REF!))</f>
        <v/>
      </c>
      <c r="AA36" s="16" t="str">
        <f>IF($K36="","",IF(파일1!#REF!="","",파일1!#REF!))</f>
        <v/>
      </c>
      <c r="AB36" s="49" t="str">
        <f>IF($K36="","",파일1!$C31)</f>
        <v/>
      </c>
      <c r="AC36" s="49" t="str">
        <f>IF($K36="","",파일1!$D31)</f>
        <v/>
      </c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7" t="str">
        <f t="shared" si="10"/>
        <v/>
      </c>
    </row>
    <row r="37" spans="1:59" ht="24" customHeight="1" x14ac:dyDescent="0.3">
      <c r="A37" s="13" t="str">
        <f t="shared" si="0"/>
        <v/>
      </c>
      <c r="B37" s="51" t="str">
        <f ca="1">IF($K37="","",IF(파일1!#REF!="",TODAY(),파일1!#REF!))</f>
        <v/>
      </c>
      <c r="C37" s="14" t="str">
        <f t="shared" si="1"/>
        <v/>
      </c>
      <c r="D37" s="15" t="str">
        <f t="shared" si="2"/>
        <v/>
      </c>
      <c r="E37" s="14" t="str">
        <f t="shared" si="3"/>
        <v/>
      </c>
      <c r="F37" s="14" t="str">
        <f t="shared" si="4"/>
        <v/>
      </c>
      <c r="G37" s="16" t="str">
        <f t="shared" si="5"/>
        <v/>
      </c>
      <c r="H37" s="16" t="str">
        <f t="shared" si="6"/>
        <v/>
      </c>
      <c r="I37" s="16" t="str">
        <f t="shared" si="7"/>
        <v/>
      </c>
      <c r="J37" s="16" t="str">
        <f t="shared" si="8"/>
        <v/>
      </c>
      <c r="K37" s="54" t="str">
        <f>IF(파일1!$B32="","",TEXT(파일1!$B32,"0"))</f>
        <v/>
      </c>
      <c r="L37" s="16"/>
      <c r="M37" s="38" t="str">
        <f>IF($K37="","",IFERROR(VLOOKUP(--SUBSTITUTE(SUBSTITUTE(TRIM($K37),"-","")," ",""),마스터시트!$A$2:$H$1946,2,FALSE),"미등록"))</f>
        <v/>
      </c>
      <c r="N37" s="53" t="str">
        <f>IF($K37="","",IFERROR(VLOOKUP(--SUBSTITUTE(SUBSTITUTE(TRIM($K37),"-","")," ",""),마스터시트!$A$2:$H$1946,3,FALSE),"미등록"))</f>
        <v/>
      </c>
      <c r="O37" s="39" t="str">
        <f>IF($K37="","",IFERROR(VLOOKUP(--SUBSTITUTE(SUBSTITUTE(TRIM($K37),"-","")," ",""),마스터시트!$A$2:$H$1946,4,FALSE),""))</f>
        <v/>
      </c>
      <c r="P37" s="37" t="str">
        <f>IF($K37="","",IFERROR(VLOOKUP(--SUBSTITUTE(SUBSTITUTE(TRIM($K37),"-","")," ",""),마스터시트!$A$2:$H$1946,5,FALSE),""))</f>
        <v/>
      </c>
      <c r="Q37" s="40" t="str">
        <f>IF($K37="","",IFERROR(VLOOKUP(--SUBSTITUTE(SUBSTITUTE(TRIM($K37),"-","")," ",""),마스터시트!$A$2:$H$1946,6,FALSE),""))</f>
        <v/>
      </c>
      <c r="R37" s="41" t="str">
        <f>IF($K37="","",IFERROR(VLOOKUP(--SUBSTITUTE(SUBSTITUTE(TRIM($K37),"-","")," ",""),마스터시트!$A$2:$H$1946,7,FALSE),""))</f>
        <v/>
      </c>
      <c r="S37" s="39"/>
      <c r="T37" s="49" t="str">
        <f>IF($K37="","",파일1!$C32)</f>
        <v/>
      </c>
      <c r="U37" s="49" t="str">
        <f>IF($K37="","",파일1!$D32)</f>
        <v/>
      </c>
      <c r="V37" s="16"/>
      <c r="W37" s="14" t="str">
        <f t="shared" ca="1" si="9"/>
        <v/>
      </c>
      <c r="X37" s="16" t="s">
        <v>3024</v>
      </c>
      <c r="Y37" s="16" t="str">
        <f>IF($K37="","",파일1!#REF!)</f>
        <v/>
      </c>
      <c r="Z37" s="16" t="str">
        <f>IF($K37="","",IF(파일1!#REF!="",1,파일1!#REF!))</f>
        <v/>
      </c>
      <c r="AA37" s="16" t="str">
        <f>IF($K37="","",IF(파일1!#REF!="","",파일1!#REF!))</f>
        <v/>
      </c>
      <c r="AB37" s="49" t="str">
        <f>IF($K37="","",파일1!$C32)</f>
        <v/>
      </c>
      <c r="AC37" s="49" t="str">
        <f>IF($K37="","",파일1!$D32)</f>
        <v/>
      </c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7" t="str">
        <f t="shared" si="10"/>
        <v/>
      </c>
    </row>
    <row r="38" spans="1:59" ht="24" customHeight="1" x14ac:dyDescent="0.3">
      <c r="A38" s="13" t="str">
        <f t="shared" si="0"/>
        <v/>
      </c>
      <c r="B38" s="51" t="str">
        <f ca="1">IF($K38="","",IF(파일1!#REF!="",TODAY(),파일1!#REF!))</f>
        <v/>
      </c>
      <c r="C38" s="14" t="str">
        <f t="shared" si="1"/>
        <v/>
      </c>
      <c r="D38" s="15" t="str">
        <f t="shared" si="2"/>
        <v/>
      </c>
      <c r="E38" s="14" t="str">
        <f t="shared" si="3"/>
        <v/>
      </c>
      <c r="F38" s="14" t="str">
        <f t="shared" si="4"/>
        <v/>
      </c>
      <c r="G38" s="16" t="str">
        <f t="shared" si="5"/>
        <v/>
      </c>
      <c r="H38" s="16" t="str">
        <f t="shared" si="6"/>
        <v/>
      </c>
      <c r="I38" s="16" t="str">
        <f t="shared" si="7"/>
        <v/>
      </c>
      <c r="J38" s="16" t="str">
        <f t="shared" si="8"/>
        <v/>
      </c>
      <c r="K38" s="54" t="str">
        <f>IF(파일1!$B33="","",TEXT(파일1!$B33,"0"))</f>
        <v/>
      </c>
      <c r="L38" s="16"/>
      <c r="M38" s="38" t="str">
        <f>IF($K38="","",IFERROR(VLOOKUP(--SUBSTITUTE(SUBSTITUTE(TRIM($K38),"-","")," ",""),마스터시트!$A$2:$H$1946,2,FALSE),"미등록"))</f>
        <v/>
      </c>
      <c r="N38" s="53" t="str">
        <f>IF($K38="","",IFERROR(VLOOKUP(--SUBSTITUTE(SUBSTITUTE(TRIM($K38),"-","")," ",""),마스터시트!$A$2:$H$1946,3,FALSE),"미등록"))</f>
        <v/>
      </c>
      <c r="O38" s="39" t="str">
        <f>IF($K38="","",IFERROR(VLOOKUP(--SUBSTITUTE(SUBSTITUTE(TRIM($K38),"-","")," ",""),마스터시트!$A$2:$H$1946,4,FALSE),""))</f>
        <v/>
      </c>
      <c r="P38" s="37" t="str">
        <f>IF($K38="","",IFERROR(VLOOKUP(--SUBSTITUTE(SUBSTITUTE(TRIM($K38),"-","")," ",""),마스터시트!$A$2:$H$1946,5,FALSE),""))</f>
        <v/>
      </c>
      <c r="Q38" s="40" t="str">
        <f>IF($K38="","",IFERROR(VLOOKUP(--SUBSTITUTE(SUBSTITUTE(TRIM($K38),"-","")," ",""),마스터시트!$A$2:$H$1946,6,FALSE),""))</f>
        <v/>
      </c>
      <c r="R38" s="41" t="str">
        <f>IF($K38="","",IFERROR(VLOOKUP(--SUBSTITUTE(SUBSTITUTE(TRIM($K38),"-","")," ",""),마스터시트!$A$2:$H$1946,7,FALSE),""))</f>
        <v/>
      </c>
      <c r="S38" s="39"/>
      <c r="T38" s="49" t="str">
        <f>IF($K38="","",파일1!$C33)</f>
        <v/>
      </c>
      <c r="U38" s="49" t="str">
        <f>IF($K38="","",파일1!$D33)</f>
        <v/>
      </c>
      <c r="V38" s="16"/>
      <c r="W38" s="14" t="str">
        <f t="shared" ca="1" si="9"/>
        <v/>
      </c>
      <c r="X38" s="16" t="s">
        <v>3024</v>
      </c>
      <c r="Y38" s="16" t="str">
        <f>IF($K38="","",파일1!#REF!)</f>
        <v/>
      </c>
      <c r="Z38" s="16" t="str">
        <f>IF($K38="","",IF(파일1!#REF!="",1,파일1!#REF!))</f>
        <v/>
      </c>
      <c r="AA38" s="16" t="str">
        <f>IF($K38="","",IF(파일1!#REF!="","",파일1!#REF!))</f>
        <v/>
      </c>
      <c r="AB38" s="49" t="str">
        <f>IF($K38="","",파일1!$C33)</f>
        <v/>
      </c>
      <c r="AC38" s="49" t="str">
        <f>IF($K38="","",파일1!$D33)</f>
        <v/>
      </c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7" t="str">
        <f t="shared" si="10"/>
        <v/>
      </c>
    </row>
    <row r="39" spans="1:59" ht="24" customHeight="1" x14ac:dyDescent="0.3">
      <c r="A39" s="13" t="str">
        <f t="shared" ref="A39:A70" si="11">IF($K39="","","01")</f>
        <v/>
      </c>
      <c r="B39" s="51" t="str">
        <f ca="1">IF($K39="","",IF(파일1!#REF!="",TODAY(),파일1!#REF!))</f>
        <v/>
      </c>
      <c r="C39" s="14" t="str">
        <f t="shared" ref="C39:C70" si="12">IF($K39="","","4031409207")</f>
        <v/>
      </c>
      <c r="D39" s="15" t="str">
        <f t="shared" ref="D39:D70" si="13">IF($K39="","","")</f>
        <v/>
      </c>
      <c r="E39" s="14" t="str">
        <f t="shared" ref="E39:E70" si="14">IF($K39="","","오성AIT")</f>
        <v/>
      </c>
      <c r="F39" s="14" t="str">
        <f t="shared" ref="F39:F70" si="15">IF($K39="","","이후종")</f>
        <v/>
      </c>
      <c r="G39" s="16" t="str">
        <f t="shared" ref="G39:G70" si="16">IF($K39="","","전북 익산시 오산면 오산로 151")</f>
        <v/>
      </c>
      <c r="H39" s="16" t="str">
        <f t="shared" ref="H39:H70" si="17">IF($K39="","","도/소매")</f>
        <v/>
      </c>
      <c r="I39" s="16" t="str">
        <f t="shared" ref="I39:I70" si="18">IF($K39="","","철물/건재")</f>
        <v/>
      </c>
      <c r="J39" s="16" t="str">
        <f t="shared" ref="J39:J70" si="19">IF($K39="","","ohsungait@naver.com")</f>
        <v/>
      </c>
      <c r="K39" s="54" t="str">
        <f>IF(파일1!$B34="","",TEXT(파일1!$B34,"0"))</f>
        <v/>
      </c>
      <c r="L39" s="16"/>
      <c r="M39" s="38" t="str">
        <f>IF($K39="","",IFERROR(VLOOKUP(--SUBSTITUTE(SUBSTITUTE(TRIM($K39),"-","")," ",""),마스터시트!$A$2:$H$1946,2,FALSE),"미등록"))</f>
        <v/>
      </c>
      <c r="N39" s="53" t="str">
        <f>IF($K39="","",IFERROR(VLOOKUP(--SUBSTITUTE(SUBSTITUTE(TRIM($K39),"-","")," ",""),마스터시트!$A$2:$H$1946,3,FALSE),"미등록"))</f>
        <v/>
      </c>
      <c r="O39" s="39" t="str">
        <f>IF($K39="","",IFERROR(VLOOKUP(--SUBSTITUTE(SUBSTITUTE(TRIM($K39),"-","")," ",""),마스터시트!$A$2:$H$1946,4,FALSE),""))</f>
        <v/>
      </c>
      <c r="P39" s="37" t="str">
        <f>IF($K39="","",IFERROR(VLOOKUP(--SUBSTITUTE(SUBSTITUTE(TRIM($K39),"-","")," ",""),마스터시트!$A$2:$H$1946,5,FALSE),""))</f>
        <v/>
      </c>
      <c r="Q39" s="40" t="str">
        <f>IF($K39="","",IFERROR(VLOOKUP(--SUBSTITUTE(SUBSTITUTE(TRIM($K39),"-","")," ",""),마스터시트!$A$2:$H$1946,6,FALSE),""))</f>
        <v/>
      </c>
      <c r="R39" s="41" t="str">
        <f>IF($K39="","",IFERROR(VLOOKUP(--SUBSTITUTE(SUBSTITUTE(TRIM($K39),"-","")," ",""),마스터시트!$A$2:$H$1946,7,FALSE),""))</f>
        <v/>
      </c>
      <c r="S39" s="39"/>
      <c r="T39" s="49" t="str">
        <f>IF($K39="","",파일1!$C34)</f>
        <v/>
      </c>
      <c r="U39" s="49" t="str">
        <f>IF($K39="","",파일1!$D34)</f>
        <v/>
      </c>
      <c r="V39" s="16"/>
      <c r="W39" s="14" t="str">
        <f t="shared" ref="W39:W70" ca="1" si="20">IF($B39="","",TEXT($B39,"dd"))</f>
        <v/>
      </c>
      <c r="X39" s="16" t="s">
        <v>3024</v>
      </c>
      <c r="Y39" s="16" t="str">
        <f>IF($K39="","",파일1!#REF!)</f>
        <v/>
      </c>
      <c r="Z39" s="16" t="str">
        <f>IF($K39="","",IF(파일1!#REF!="",1,파일1!#REF!))</f>
        <v/>
      </c>
      <c r="AA39" s="16" t="str">
        <f>IF($K39="","",IF(파일1!#REF!="","",파일1!#REF!))</f>
        <v/>
      </c>
      <c r="AB39" s="49" t="str">
        <f>IF($K39="","",파일1!$C34)</f>
        <v/>
      </c>
      <c r="AC39" s="49" t="str">
        <f>IF($K39="","",파일1!$D34)</f>
        <v/>
      </c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7" t="str">
        <f t="shared" ref="BG39:BG70" si="21">IF($K39="","","02")</f>
        <v/>
      </c>
    </row>
    <row r="40" spans="1:59" ht="24" customHeight="1" x14ac:dyDescent="0.3">
      <c r="A40" s="13" t="str">
        <f t="shared" si="11"/>
        <v/>
      </c>
      <c r="B40" s="51" t="str">
        <f ca="1">IF($K40="","",IF(파일1!#REF!="",TODAY(),파일1!#REF!))</f>
        <v/>
      </c>
      <c r="C40" s="14" t="str">
        <f t="shared" si="12"/>
        <v/>
      </c>
      <c r="D40" s="15" t="str">
        <f t="shared" si="13"/>
        <v/>
      </c>
      <c r="E40" s="14" t="str">
        <f t="shared" si="14"/>
        <v/>
      </c>
      <c r="F40" s="14" t="str">
        <f t="shared" si="15"/>
        <v/>
      </c>
      <c r="G40" s="16" t="str">
        <f t="shared" si="16"/>
        <v/>
      </c>
      <c r="H40" s="16" t="str">
        <f t="shared" si="17"/>
        <v/>
      </c>
      <c r="I40" s="16" t="str">
        <f t="shared" si="18"/>
        <v/>
      </c>
      <c r="J40" s="16" t="str">
        <f t="shared" si="19"/>
        <v/>
      </c>
      <c r="K40" s="54" t="str">
        <f>IF(파일1!$B35="","",TEXT(파일1!$B35,"0"))</f>
        <v/>
      </c>
      <c r="L40" s="16"/>
      <c r="M40" s="38" t="str">
        <f>IF($K40="","",IFERROR(VLOOKUP(--SUBSTITUTE(SUBSTITUTE(TRIM($K40),"-","")," ",""),마스터시트!$A$2:$H$1946,2,FALSE),"미등록"))</f>
        <v/>
      </c>
      <c r="N40" s="53" t="str">
        <f>IF($K40="","",IFERROR(VLOOKUP(--SUBSTITUTE(SUBSTITUTE(TRIM($K40),"-","")," ",""),마스터시트!$A$2:$H$1946,3,FALSE),"미등록"))</f>
        <v/>
      </c>
      <c r="O40" s="39" t="str">
        <f>IF($K40="","",IFERROR(VLOOKUP(--SUBSTITUTE(SUBSTITUTE(TRIM($K40),"-","")," ",""),마스터시트!$A$2:$H$1946,4,FALSE),""))</f>
        <v/>
      </c>
      <c r="P40" s="37" t="str">
        <f>IF($K40="","",IFERROR(VLOOKUP(--SUBSTITUTE(SUBSTITUTE(TRIM($K40),"-","")," ",""),마스터시트!$A$2:$H$1946,5,FALSE),""))</f>
        <v/>
      </c>
      <c r="Q40" s="40" t="str">
        <f>IF($K40="","",IFERROR(VLOOKUP(--SUBSTITUTE(SUBSTITUTE(TRIM($K40),"-","")," ",""),마스터시트!$A$2:$H$1946,6,FALSE),""))</f>
        <v/>
      </c>
      <c r="R40" s="41" t="str">
        <f>IF($K40="","",IFERROR(VLOOKUP(--SUBSTITUTE(SUBSTITUTE(TRIM($K40),"-","")," ",""),마스터시트!$A$2:$H$1946,7,FALSE),""))</f>
        <v/>
      </c>
      <c r="S40" s="39"/>
      <c r="T40" s="49" t="str">
        <f>IF($K40="","",파일1!$C35)</f>
        <v/>
      </c>
      <c r="U40" s="49" t="str">
        <f>IF($K40="","",파일1!$D35)</f>
        <v/>
      </c>
      <c r="V40" s="16"/>
      <c r="W40" s="14" t="str">
        <f t="shared" ca="1" si="20"/>
        <v/>
      </c>
      <c r="X40" s="16" t="s">
        <v>3024</v>
      </c>
      <c r="Y40" s="16" t="str">
        <f>IF($K40="","",파일1!#REF!)</f>
        <v/>
      </c>
      <c r="Z40" s="16" t="str">
        <f>IF($K40="","",IF(파일1!#REF!="",1,파일1!#REF!))</f>
        <v/>
      </c>
      <c r="AA40" s="16" t="str">
        <f>IF($K40="","",IF(파일1!#REF!="","",파일1!#REF!))</f>
        <v/>
      </c>
      <c r="AB40" s="49" t="str">
        <f>IF($K40="","",파일1!$C35)</f>
        <v/>
      </c>
      <c r="AC40" s="49" t="str">
        <f>IF($K40="","",파일1!$D35)</f>
        <v/>
      </c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7" t="str">
        <f t="shared" si="21"/>
        <v/>
      </c>
    </row>
    <row r="41" spans="1:59" ht="24" customHeight="1" x14ac:dyDescent="0.3">
      <c r="A41" s="13" t="str">
        <f t="shared" si="11"/>
        <v/>
      </c>
      <c r="B41" s="51" t="str">
        <f ca="1">IF($K41="","",IF(파일1!#REF!="",TODAY(),파일1!#REF!))</f>
        <v/>
      </c>
      <c r="C41" s="14" t="str">
        <f t="shared" si="12"/>
        <v/>
      </c>
      <c r="D41" s="15" t="str">
        <f t="shared" si="13"/>
        <v/>
      </c>
      <c r="E41" s="14" t="str">
        <f t="shared" si="14"/>
        <v/>
      </c>
      <c r="F41" s="14" t="str">
        <f t="shared" si="15"/>
        <v/>
      </c>
      <c r="G41" s="16" t="str">
        <f t="shared" si="16"/>
        <v/>
      </c>
      <c r="H41" s="16" t="str">
        <f t="shared" si="17"/>
        <v/>
      </c>
      <c r="I41" s="16" t="str">
        <f t="shared" si="18"/>
        <v/>
      </c>
      <c r="J41" s="16" t="str">
        <f t="shared" si="19"/>
        <v/>
      </c>
      <c r="K41" s="54" t="str">
        <f>IF(파일1!$B36="","",TEXT(파일1!$B36,"0"))</f>
        <v/>
      </c>
      <c r="L41" s="16"/>
      <c r="M41" s="38" t="str">
        <f>IF($K41="","",IFERROR(VLOOKUP(--SUBSTITUTE(SUBSTITUTE(TRIM($K41),"-","")," ",""),마스터시트!$A$2:$H$1946,2,FALSE),"미등록"))</f>
        <v/>
      </c>
      <c r="N41" s="53" t="str">
        <f>IF($K41="","",IFERROR(VLOOKUP(--SUBSTITUTE(SUBSTITUTE(TRIM($K41),"-","")," ",""),마스터시트!$A$2:$H$1946,3,FALSE),"미등록"))</f>
        <v/>
      </c>
      <c r="O41" s="39" t="str">
        <f>IF($K41="","",IFERROR(VLOOKUP(--SUBSTITUTE(SUBSTITUTE(TRIM($K41),"-","")," ",""),마스터시트!$A$2:$H$1946,4,FALSE),""))</f>
        <v/>
      </c>
      <c r="P41" s="37" t="str">
        <f>IF($K41="","",IFERROR(VLOOKUP(--SUBSTITUTE(SUBSTITUTE(TRIM($K41),"-","")," ",""),마스터시트!$A$2:$H$1946,5,FALSE),""))</f>
        <v/>
      </c>
      <c r="Q41" s="40" t="str">
        <f>IF($K41="","",IFERROR(VLOOKUP(--SUBSTITUTE(SUBSTITUTE(TRIM($K41),"-","")," ",""),마스터시트!$A$2:$H$1946,6,FALSE),""))</f>
        <v/>
      </c>
      <c r="R41" s="41" t="str">
        <f>IF($K41="","",IFERROR(VLOOKUP(--SUBSTITUTE(SUBSTITUTE(TRIM($K41),"-","")," ",""),마스터시트!$A$2:$H$1946,7,FALSE),""))</f>
        <v/>
      </c>
      <c r="S41" s="39"/>
      <c r="T41" s="49" t="str">
        <f>IF($K41="","",파일1!$C36)</f>
        <v/>
      </c>
      <c r="U41" s="49" t="str">
        <f>IF($K41="","",파일1!$D36)</f>
        <v/>
      </c>
      <c r="V41" s="16"/>
      <c r="W41" s="14" t="str">
        <f t="shared" ca="1" si="20"/>
        <v/>
      </c>
      <c r="X41" s="16" t="s">
        <v>3024</v>
      </c>
      <c r="Y41" s="16" t="str">
        <f>IF($K41="","",파일1!#REF!)</f>
        <v/>
      </c>
      <c r="Z41" s="16" t="str">
        <f>IF($K41="","",IF(파일1!#REF!="",1,파일1!#REF!))</f>
        <v/>
      </c>
      <c r="AA41" s="16" t="str">
        <f>IF($K41="","",IF(파일1!#REF!="","",파일1!#REF!))</f>
        <v/>
      </c>
      <c r="AB41" s="49" t="str">
        <f>IF($K41="","",파일1!$C36)</f>
        <v/>
      </c>
      <c r="AC41" s="49" t="str">
        <f>IF($K41="","",파일1!$D36)</f>
        <v/>
      </c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7" t="str">
        <f t="shared" si="21"/>
        <v/>
      </c>
    </row>
    <row r="42" spans="1:59" ht="24" customHeight="1" x14ac:dyDescent="0.3">
      <c r="A42" s="13" t="str">
        <f t="shared" si="11"/>
        <v/>
      </c>
      <c r="B42" s="51" t="str">
        <f ca="1">IF($K42="","",IF(파일1!#REF!="",TODAY(),파일1!#REF!))</f>
        <v/>
      </c>
      <c r="C42" s="14" t="str">
        <f t="shared" si="12"/>
        <v/>
      </c>
      <c r="D42" s="15" t="str">
        <f t="shared" si="13"/>
        <v/>
      </c>
      <c r="E42" s="14" t="str">
        <f t="shared" si="14"/>
        <v/>
      </c>
      <c r="F42" s="14" t="str">
        <f t="shared" si="15"/>
        <v/>
      </c>
      <c r="G42" s="16" t="str">
        <f t="shared" si="16"/>
        <v/>
      </c>
      <c r="H42" s="16" t="str">
        <f t="shared" si="17"/>
        <v/>
      </c>
      <c r="I42" s="16" t="str">
        <f t="shared" si="18"/>
        <v/>
      </c>
      <c r="J42" s="16" t="str">
        <f t="shared" si="19"/>
        <v/>
      </c>
      <c r="K42" s="54" t="str">
        <f>IF(파일1!$B37="","",TEXT(파일1!$B37,"0"))</f>
        <v/>
      </c>
      <c r="L42" s="16"/>
      <c r="M42" s="38" t="str">
        <f>IF($K42="","",IFERROR(VLOOKUP(--SUBSTITUTE(SUBSTITUTE(TRIM($K42),"-","")," ",""),마스터시트!$A$2:$H$1946,2,FALSE),"미등록"))</f>
        <v/>
      </c>
      <c r="N42" s="53" t="str">
        <f>IF($K42="","",IFERROR(VLOOKUP(--SUBSTITUTE(SUBSTITUTE(TRIM($K42),"-","")," ",""),마스터시트!$A$2:$H$1946,3,FALSE),"미등록"))</f>
        <v/>
      </c>
      <c r="O42" s="39" t="str">
        <f>IF($K42="","",IFERROR(VLOOKUP(--SUBSTITUTE(SUBSTITUTE(TRIM($K42),"-","")," ",""),마스터시트!$A$2:$H$1946,4,FALSE),""))</f>
        <v/>
      </c>
      <c r="P42" s="37" t="str">
        <f>IF($K42="","",IFERROR(VLOOKUP(--SUBSTITUTE(SUBSTITUTE(TRIM($K42),"-","")," ",""),마스터시트!$A$2:$H$1946,5,FALSE),""))</f>
        <v/>
      </c>
      <c r="Q42" s="40" t="str">
        <f>IF($K42="","",IFERROR(VLOOKUP(--SUBSTITUTE(SUBSTITUTE(TRIM($K42),"-","")," ",""),마스터시트!$A$2:$H$1946,6,FALSE),""))</f>
        <v/>
      </c>
      <c r="R42" s="41" t="str">
        <f>IF($K42="","",IFERROR(VLOOKUP(--SUBSTITUTE(SUBSTITUTE(TRIM($K42),"-","")," ",""),마스터시트!$A$2:$H$1946,7,FALSE),""))</f>
        <v/>
      </c>
      <c r="S42" s="39"/>
      <c r="T42" s="49" t="str">
        <f>IF($K42="","",파일1!$C37)</f>
        <v/>
      </c>
      <c r="U42" s="49" t="str">
        <f>IF($K42="","",파일1!$D37)</f>
        <v/>
      </c>
      <c r="V42" s="16"/>
      <c r="W42" s="14" t="str">
        <f t="shared" ca="1" si="20"/>
        <v/>
      </c>
      <c r="X42" s="16" t="s">
        <v>3024</v>
      </c>
      <c r="Y42" s="16" t="str">
        <f>IF($K42="","",파일1!#REF!)</f>
        <v/>
      </c>
      <c r="Z42" s="16" t="str">
        <f>IF($K42="","",IF(파일1!#REF!="",1,파일1!#REF!))</f>
        <v/>
      </c>
      <c r="AA42" s="16" t="str">
        <f>IF($K42="","",IF(파일1!#REF!="","",파일1!#REF!))</f>
        <v/>
      </c>
      <c r="AB42" s="49" t="str">
        <f>IF($K42="","",파일1!$C37)</f>
        <v/>
      </c>
      <c r="AC42" s="49" t="str">
        <f>IF($K42="","",파일1!$D37)</f>
        <v/>
      </c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7" t="str">
        <f t="shared" si="21"/>
        <v/>
      </c>
    </row>
    <row r="43" spans="1:59" ht="24" customHeight="1" x14ac:dyDescent="0.3">
      <c r="A43" s="13" t="str">
        <f t="shared" si="11"/>
        <v/>
      </c>
      <c r="B43" s="51" t="str">
        <f ca="1">IF($K43="","",IF(파일1!#REF!="",TODAY(),파일1!#REF!))</f>
        <v/>
      </c>
      <c r="C43" s="14" t="str">
        <f t="shared" si="12"/>
        <v/>
      </c>
      <c r="D43" s="15" t="str">
        <f t="shared" si="13"/>
        <v/>
      </c>
      <c r="E43" s="14" t="str">
        <f t="shared" si="14"/>
        <v/>
      </c>
      <c r="F43" s="14" t="str">
        <f t="shared" si="15"/>
        <v/>
      </c>
      <c r="G43" s="16" t="str">
        <f t="shared" si="16"/>
        <v/>
      </c>
      <c r="H43" s="16" t="str">
        <f t="shared" si="17"/>
        <v/>
      </c>
      <c r="I43" s="16" t="str">
        <f t="shared" si="18"/>
        <v/>
      </c>
      <c r="J43" s="16" t="str">
        <f t="shared" si="19"/>
        <v/>
      </c>
      <c r="K43" s="54" t="str">
        <f>IF(파일1!$B38="","",TEXT(파일1!$B38,"0"))</f>
        <v/>
      </c>
      <c r="L43" s="16"/>
      <c r="M43" s="38" t="str">
        <f>IF($K43="","",IFERROR(VLOOKUP(--SUBSTITUTE(SUBSTITUTE(TRIM($K43),"-","")," ",""),마스터시트!$A$2:$H$1946,2,FALSE),"미등록"))</f>
        <v/>
      </c>
      <c r="N43" s="53" t="str">
        <f>IF($K43="","",IFERROR(VLOOKUP(--SUBSTITUTE(SUBSTITUTE(TRIM($K43),"-","")," ",""),마스터시트!$A$2:$H$1946,3,FALSE),"미등록"))</f>
        <v/>
      </c>
      <c r="O43" s="39" t="str">
        <f>IF($K43="","",IFERROR(VLOOKUP(--SUBSTITUTE(SUBSTITUTE(TRIM($K43),"-","")," ",""),마스터시트!$A$2:$H$1946,4,FALSE),""))</f>
        <v/>
      </c>
      <c r="P43" s="37" t="str">
        <f>IF($K43="","",IFERROR(VLOOKUP(--SUBSTITUTE(SUBSTITUTE(TRIM($K43),"-","")," ",""),마스터시트!$A$2:$H$1946,5,FALSE),""))</f>
        <v/>
      </c>
      <c r="Q43" s="40" t="str">
        <f>IF($K43="","",IFERROR(VLOOKUP(--SUBSTITUTE(SUBSTITUTE(TRIM($K43),"-","")," ",""),마스터시트!$A$2:$H$1946,6,FALSE),""))</f>
        <v/>
      </c>
      <c r="R43" s="41" t="str">
        <f>IF($K43="","",IFERROR(VLOOKUP(--SUBSTITUTE(SUBSTITUTE(TRIM($K43),"-","")," ",""),마스터시트!$A$2:$H$1946,7,FALSE),""))</f>
        <v/>
      </c>
      <c r="S43" s="39"/>
      <c r="T43" s="49" t="str">
        <f>IF($K43="","",파일1!$C38)</f>
        <v/>
      </c>
      <c r="U43" s="49" t="str">
        <f>IF($K43="","",파일1!$D38)</f>
        <v/>
      </c>
      <c r="V43" s="16"/>
      <c r="W43" s="14" t="str">
        <f t="shared" ca="1" si="20"/>
        <v/>
      </c>
      <c r="X43" s="16" t="s">
        <v>3024</v>
      </c>
      <c r="Y43" s="16" t="str">
        <f>IF($K43="","",파일1!#REF!)</f>
        <v/>
      </c>
      <c r="Z43" s="16" t="str">
        <f>IF($K43="","",IF(파일1!#REF!="",1,파일1!#REF!))</f>
        <v/>
      </c>
      <c r="AA43" s="16" t="str">
        <f>IF($K43="","",IF(파일1!#REF!="","",파일1!#REF!))</f>
        <v/>
      </c>
      <c r="AB43" s="49" t="str">
        <f>IF($K43="","",파일1!$C38)</f>
        <v/>
      </c>
      <c r="AC43" s="49" t="str">
        <f>IF($K43="","",파일1!$D38)</f>
        <v/>
      </c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7" t="str">
        <f t="shared" si="21"/>
        <v/>
      </c>
    </row>
    <row r="44" spans="1:59" ht="24" customHeight="1" x14ac:dyDescent="0.3">
      <c r="A44" s="13" t="str">
        <f t="shared" si="11"/>
        <v/>
      </c>
      <c r="B44" s="51" t="str">
        <f ca="1">IF($K44="","",IF(파일1!#REF!="",TODAY(),파일1!#REF!))</f>
        <v/>
      </c>
      <c r="C44" s="14" t="str">
        <f t="shared" si="12"/>
        <v/>
      </c>
      <c r="D44" s="15" t="str">
        <f t="shared" si="13"/>
        <v/>
      </c>
      <c r="E44" s="14" t="str">
        <f t="shared" si="14"/>
        <v/>
      </c>
      <c r="F44" s="14" t="str">
        <f t="shared" si="15"/>
        <v/>
      </c>
      <c r="G44" s="16" t="str">
        <f t="shared" si="16"/>
        <v/>
      </c>
      <c r="H44" s="16" t="str">
        <f t="shared" si="17"/>
        <v/>
      </c>
      <c r="I44" s="16" t="str">
        <f t="shared" si="18"/>
        <v/>
      </c>
      <c r="J44" s="16" t="str">
        <f t="shared" si="19"/>
        <v/>
      </c>
      <c r="K44" s="54" t="str">
        <f>IF(파일1!$B39="","",TEXT(파일1!$B39,"0"))</f>
        <v/>
      </c>
      <c r="L44" s="16"/>
      <c r="M44" s="38" t="str">
        <f>IF($K44="","",IFERROR(VLOOKUP(--SUBSTITUTE(SUBSTITUTE(TRIM($K44),"-","")," ",""),마스터시트!$A$2:$H$1946,2,FALSE),"미등록"))</f>
        <v/>
      </c>
      <c r="N44" s="53" t="str">
        <f>IF($K44="","",IFERROR(VLOOKUP(--SUBSTITUTE(SUBSTITUTE(TRIM($K44),"-","")," ",""),마스터시트!$A$2:$H$1946,3,FALSE),"미등록"))</f>
        <v/>
      </c>
      <c r="O44" s="39" t="str">
        <f>IF($K44="","",IFERROR(VLOOKUP(--SUBSTITUTE(SUBSTITUTE(TRIM($K44),"-","")," ",""),마스터시트!$A$2:$H$1946,4,FALSE),""))</f>
        <v/>
      </c>
      <c r="P44" s="37" t="str">
        <f>IF($K44="","",IFERROR(VLOOKUP(--SUBSTITUTE(SUBSTITUTE(TRIM($K44),"-","")," ",""),마스터시트!$A$2:$H$1946,5,FALSE),""))</f>
        <v/>
      </c>
      <c r="Q44" s="40" t="str">
        <f>IF($K44="","",IFERROR(VLOOKUP(--SUBSTITUTE(SUBSTITUTE(TRIM($K44),"-","")," ",""),마스터시트!$A$2:$H$1946,6,FALSE),""))</f>
        <v/>
      </c>
      <c r="R44" s="41" t="str">
        <f>IF($K44="","",IFERROR(VLOOKUP(--SUBSTITUTE(SUBSTITUTE(TRIM($K44),"-","")," ",""),마스터시트!$A$2:$H$1946,7,FALSE),""))</f>
        <v/>
      </c>
      <c r="S44" s="39"/>
      <c r="T44" s="49" t="str">
        <f>IF($K44="","",파일1!$C39)</f>
        <v/>
      </c>
      <c r="U44" s="49" t="str">
        <f>IF($K44="","",파일1!$D39)</f>
        <v/>
      </c>
      <c r="V44" s="16"/>
      <c r="W44" s="14" t="str">
        <f t="shared" ca="1" si="20"/>
        <v/>
      </c>
      <c r="X44" s="16" t="s">
        <v>3024</v>
      </c>
      <c r="Y44" s="16" t="str">
        <f>IF($K44="","",파일1!#REF!)</f>
        <v/>
      </c>
      <c r="Z44" s="16" t="str">
        <f>IF($K44="","",IF(파일1!#REF!="",1,파일1!#REF!))</f>
        <v/>
      </c>
      <c r="AA44" s="16" t="str">
        <f>IF($K44="","",IF(파일1!#REF!="","",파일1!#REF!))</f>
        <v/>
      </c>
      <c r="AB44" s="49" t="str">
        <f>IF($K44="","",파일1!$C39)</f>
        <v/>
      </c>
      <c r="AC44" s="49" t="str">
        <f>IF($K44="","",파일1!$D39)</f>
        <v/>
      </c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7" t="str">
        <f t="shared" si="21"/>
        <v/>
      </c>
    </row>
    <row r="45" spans="1:59" ht="24" customHeight="1" x14ac:dyDescent="0.3">
      <c r="A45" s="13" t="str">
        <f t="shared" si="11"/>
        <v/>
      </c>
      <c r="B45" s="51" t="str">
        <f ca="1">IF($K45="","",IF(파일1!#REF!="",TODAY(),파일1!#REF!))</f>
        <v/>
      </c>
      <c r="C45" s="14" t="str">
        <f t="shared" si="12"/>
        <v/>
      </c>
      <c r="D45" s="15" t="str">
        <f t="shared" si="13"/>
        <v/>
      </c>
      <c r="E45" s="14" t="str">
        <f t="shared" si="14"/>
        <v/>
      </c>
      <c r="F45" s="14" t="str">
        <f t="shared" si="15"/>
        <v/>
      </c>
      <c r="G45" s="16" t="str">
        <f t="shared" si="16"/>
        <v/>
      </c>
      <c r="H45" s="16" t="str">
        <f t="shared" si="17"/>
        <v/>
      </c>
      <c r="I45" s="16" t="str">
        <f t="shared" si="18"/>
        <v/>
      </c>
      <c r="J45" s="16" t="str">
        <f t="shared" si="19"/>
        <v/>
      </c>
      <c r="K45" s="54" t="str">
        <f>IF(파일1!$B40="","",TEXT(파일1!$B40,"0"))</f>
        <v/>
      </c>
      <c r="L45" s="16"/>
      <c r="M45" s="38" t="str">
        <f>IF($K45="","",IFERROR(VLOOKUP(--SUBSTITUTE(SUBSTITUTE(TRIM($K45),"-","")," ",""),마스터시트!$A$2:$H$1946,2,FALSE),"미등록"))</f>
        <v/>
      </c>
      <c r="N45" s="53" t="str">
        <f>IF($K45="","",IFERROR(VLOOKUP(--SUBSTITUTE(SUBSTITUTE(TRIM($K45),"-","")," ",""),마스터시트!$A$2:$H$1946,3,FALSE),"미등록"))</f>
        <v/>
      </c>
      <c r="O45" s="39" t="str">
        <f>IF($K45="","",IFERROR(VLOOKUP(--SUBSTITUTE(SUBSTITUTE(TRIM($K45),"-","")," ",""),마스터시트!$A$2:$H$1946,4,FALSE),""))</f>
        <v/>
      </c>
      <c r="P45" s="37" t="str">
        <f>IF($K45="","",IFERROR(VLOOKUP(--SUBSTITUTE(SUBSTITUTE(TRIM($K45),"-","")," ",""),마스터시트!$A$2:$H$1946,5,FALSE),""))</f>
        <v/>
      </c>
      <c r="Q45" s="40" t="str">
        <f>IF($K45="","",IFERROR(VLOOKUP(--SUBSTITUTE(SUBSTITUTE(TRIM($K45),"-","")," ",""),마스터시트!$A$2:$H$1946,6,FALSE),""))</f>
        <v/>
      </c>
      <c r="R45" s="41" t="str">
        <f>IF($K45="","",IFERROR(VLOOKUP(--SUBSTITUTE(SUBSTITUTE(TRIM($K45),"-","")," ",""),마스터시트!$A$2:$H$1946,7,FALSE),""))</f>
        <v/>
      </c>
      <c r="S45" s="39"/>
      <c r="T45" s="49" t="str">
        <f>IF($K45="","",파일1!$C40)</f>
        <v/>
      </c>
      <c r="U45" s="49" t="str">
        <f>IF($K45="","",파일1!$D40)</f>
        <v/>
      </c>
      <c r="V45" s="16"/>
      <c r="W45" s="14" t="str">
        <f t="shared" ca="1" si="20"/>
        <v/>
      </c>
      <c r="X45" s="16" t="s">
        <v>3024</v>
      </c>
      <c r="Y45" s="16" t="str">
        <f>IF($K45="","",파일1!#REF!)</f>
        <v/>
      </c>
      <c r="Z45" s="16" t="str">
        <f>IF($K45="","",IF(파일1!#REF!="",1,파일1!#REF!))</f>
        <v/>
      </c>
      <c r="AA45" s="16" t="str">
        <f>IF($K45="","",IF(파일1!#REF!="","",파일1!#REF!))</f>
        <v/>
      </c>
      <c r="AB45" s="49" t="str">
        <f>IF($K45="","",파일1!$C40)</f>
        <v/>
      </c>
      <c r="AC45" s="49" t="str">
        <f>IF($K45="","",파일1!$D40)</f>
        <v/>
      </c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7" t="str">
        <f t="shared" si="21"/>
        <v/>
      </c>
    </row>
    <row r="46" spans="1:59" ht="24" customHeight="1" x14ac:dyDescent="0.3">
      <c r="A46" s="13" t="str">
        <f t="shared" si="11"/>
        <v/>
      </c>
      <c r="B46" s="51" t="str">
        <f ca="1">IF($K46="","",IF(파일1!#REF!="",TODAY(),파일1!#REF!))</f>
        <v/>
      </c>
      <c r="C46" s="14" t="str">
        <f t="shared" si="12"/>
        <v/>
      </c>
      <c r="D46" s="15" t="str">
        <f t="shared" si="13"/>
        <v/>
      </c>
      <c r="E46" s="14" t="str">
        <f t="shared" si="14"/>
        <v/>
      </c>
      <c r="F46" s="14" t="str">
        <f t="shared" si="15"/>
        <v/>
      </c>
      <c r="G46" s="16" t="str">
        <f t="shared" si="16"/>
        <v/>
      </c>
      <c r="H46" s="16" t="str">
        <f t="shared" si="17"/>
        <v/>
      </c>
      <c r="I46" s="16" t="str">
        <f t="shared" si="18"/>
        <v/>
      </c>
      <c r="J46" s="16" t="str">
        <f t="shared" si="19"/>
        <v/>
      </c>
      <c r="K46" s="54" t="str">
        <f>IF(파일1!$B41="","",TEXT(파일1!$B41,"0"))</f>
        <v/>
      </c>
      <c r="L46" s="16"/>
      <c r="M46" s="38" t="str">
        <f>IF($K46="","",IFERROR(VLOOKUP(--SUBSTITUTE(SUBSTITUTE(TRIM($K46),"-","")," ",""),마스터시트!$A$2:$H$1946,2,FALSE),"미등록"))</f>
        <v/>
      </c>
      <c r="N46" s="53" t="str">
        <f>IF($K46="","",IFERROR(VLOOKUP(--SUBSTITUTE(SUBSTITUTE(TRIM($K46),"-","")," ",""),마스터시트!$A$2:$H$1946,3,FALSE),"미등록"))</f>
        <v/>
      </c>
      <c r="O46" s="39" t="str">
        <f>IF($K46="","",IFERROR(VLOOKUP(--SUBSTITUTE(SUBSTITUTE(TRIM($K46),"-","")," ",""),마스터시트!$A$2:$H$1946,4,FALSE),""))</f>
        <v/>
      </c>
      <c r="P46" s="37" t="str">
        <f>IF($K46="","",IFERROR(VLOOKUP(--SUBSTITUTE(SUBSTITUTE(TRIM($K46),"-","")," ",""),마스터시트!$A$2:$H$1946,5,FALSE),""))</f>
        <v/>
      </c>
      <c r="Q46" s="40" t="str">
        <f>IF($K46="","",IFERROR(VLOOKUP(--SUBSTITUTE(SUBSTITUTE(TRIM($K46),"-","")," ",""),마스터시트!$A$2:$H$1946,6,FALSE),""))</f>
        <v/>
      </c>
      <c r="R46" s="41" t="str">
        <f>IF($K46="","",IFERROR(VLOOKUP(--SUBSTITUTE(SUBSTITUTE(TRIM($K46),"-","")," ",""),마스터시트!$A$2:$H$1946,7,FALSE),""))</f>
        <v/>
      </c>
      <c r="S46" s="39"/>
      <c r="T46" s="49" t="str">
        <f>IF($K46="","",파일1!$C41)</f>
        <v/>
      </c>
      <c r="U46" s="49" t="str">
        <f>IF($K46="","",파일1!$D41)</f>
        <v/>
      </c>
      <c r="V46" s="16"/>
      <c r="W46" s="14" t="str">
        <f t="shared" ca="1" si="20"/>
        <v/>
      </c>
      <c r="X46" s="16" t="s">
        <v>3024</v>
      </c>
      <c r="Y46" s="16" t="str">
        <f>IF($K46="","",파일1!#REF!)</f>
        <v/>
      </c>
      <c r="Z46" s="16" t="str">
        <f>IF($K46="","",IF(파일1!#REF!="",1,파일1!#REF!))</f>
        <v/>
      </c>
      <c r="AA46" s="16" t="str">
        <f>IF($K46="","",IF(파일1!#REF!="","",파일1!#REF!))</f>
        <v/>
      </c>
      <c r="AB46" s="49" t="str">
        <f>IF($K46="","",파일1!$C41)</f>
        <v/>
      </c>
      <c r="AC46" s="49" t="str">
        <f>IF($K46="","",파일1!$D41)</f>
        <v/>
      </c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7" t="str">
        <f t="shared" si="21"/>
        <v/>
      </c>
    </row>
    <row r="47" spans="1:59" ht="24" customHeight="1" x14ac:dyDescent="0.3">
      <c r="A47" s="13" t="str">
        <f t="shared" si="11"/>
        <v/>
      </c>
      <c r="B47" s="51" t="str">
        <f ca="1">IF($K47="","",IF(파일1!#REF!="",TODAY(),파일1!#REF!))</f>
        <v/>
      </c>
      <c r="C47" s="14" t="str">
        <f t="shared" si="12"/>
        <v/>
      </c>
      <c r="D47" s="15" t="str">
        <f t="shared" si="13"/>
        <v/>
      </c>
      <c r="E47" s="14" t="str">
        <f t="shared" si="14"/>
        <v/>
      </c>
      <c r="F47" s="14" t="str">
        <f t="shared" si="15"/>
        <v/>
      </c>
      <c r="G47" s="16" t="str">
        <f t="shared" si="16"/>
        <v/>
      </c>
      <c r="H47" s="16" t="str">
        <f t="shared" si="17"/>
        <v/>
      </c>
      <c r="I47" s="16" t="str">
        <f t="shared" si="18"/>
        <v/>
      </c>
      <c r="J47" s="16" t="str">
        <f t="shared" si="19"/>
        <v/>
      </c>
      <c r="K47" s="54" t="str">
        <f>IF(파일1!$B42="","",TEXT(파일1!$B42,"0"))</f>
        <v/>
      </c>
      <c r="L47" s="16"/>
      <c r="M47" s="38" t="str">
        <f>IF($K47="","",IFERROR(VLOOKUP(--SUBSTITUTE(SUBSTITUTE(TRIM($K47),"-","")," ",""),마스터시트!$A$2:$H$1946,2,FALSE),"미등록"))</f>
        <v/>
      </c>
      <c r="N47" s="53" t="str">
        <f>IF($K47="","",IFERROR(VLOOKUP(--SUBSTITUTE(SUBSTITUTE(TRIM($K47),"-","")," ",""),마스터시트!$A$2:$H$1946,3,FALSE),"미등록"))</f>
        <v/>
      </c>
      <c r="O47" s="39" t="str">
        <f>IF($K47="","",IFERROR(VLOOKUP(--SUBSTITUTE(SUBSTITUTE(TRIM($K47),"-","")," ",""),마스터시트!$A$2:$H$1946,4,FALSE),""))</f>
        <v/>
      </c>
      <c r="P47" s="37" t="str">
        <f>IF($K47="","",IFERROR(VLOOKUP(--SUBSTITUTE(SUBSTITUTE(TRIM($K47),"-","")," ",""),마스터시트!$A$2:$H$1946,5,FALSE),""))</f>
        <v/>
      </c>
      <c r="Q47" s="40" t="str">
        <f>IF($K47="","",IFERROR(VLOOKUP(--SUBSTITUTE(SUBSTITUTE(TRIM($K47),"-","")," ",""),마스터시트!$A$2:$H$1946,6,FALSE),""))</f>
        <v/>
      </c>
      <c r="R47" s="41" t="str">
        <f>IF($K47="","",IFERROR(VLOOKUP(--SUBSTITUTE(SUBSTITUTE(TRIM($K47),"-","")," ",""),마스터시트!$A$2:$H$1946,7,FALSE),""))</f>
        <v/>
      </c>
      <c r="S47" s="39"/>
      <c r="T47" s="49" t="str">
        <f>IF($K47="","",파일1!$C42)</f>
        <v/>
      </c>
      <c r="U47" s="49" t="str">
        <f>IF($K47="","",파일1!$D42)</f>
        <v/>
      </c>
      <c r="V47" s="16"/>
      <c r="W47" s="14" t="str">
        <f t="shared" ca="1" si="20"/>
        <v/>
      </c>
      <c r="X47" s="16" t="s">
        <v>3024</v>
      </c>
      <c r="Y47" s="16" t="str">
        <f>IF($K47="","",파일1!#REF!)</f>
        <v/>
      </c>
      <c r="Z47" s="16" t="str">
        <f>IF($K47="","",IF(파일1!#REF!="",1,파일1!#REF!))</f>
        <v/>
      </c>
      <c r="AA47" s="16" t="str">
        <f>IF($K47="","",IF(파일1!#REF!="","",파일1!#REF!))</f>
        <v/>
      </c>
      <c r="AB47" s="49" t="str">
        <f>IF($K47="","",파일1!$C42)</f>
        <v/>
      </c>
      <c r="AC47" s="49" t="str">
        <f>IF($K47="","",파일1!$D42)</f>
        <v/>
      </c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7" t="str">
        <f t="shared" si="21"/>
        <v/>
      </c>
    </row>
    <row r="48" spans="1:59" ht="24" customHeight="1" x14ac:dyDescent="0.3">
      <c r="A48" s="13" t="str">
        <f t="shared" si="11"/>
        <v/>
      </c>
      <c r="B48" s="51" t="str">
        <f ca="1">IF($K48="","",IF(파일1!#REF!="",TODAY(),파일1!#REF!))</f>
        <v/>
      </c>
      <c r="C48" s="14" t="str">
        <f t="shared" si="12"/>
        <v/>
      </c>
      <c r="D48" s="15" t="str">
        <f t="shared" si="13"/>
        <v/>
      </c>
      <c r="E48" s="14" t="str">
        <f t="shared" si="14"/>
        <v/>
      </c>
      <c r="F48" s="14" t="str">
        <f t="shared" si="15"/>
        <v/>
      </c>
      <c r="G48" s="16" t="str">
        <f t="shared" si="16"/>
        <v/>
      </c>
      <c r="H48" s="16" t="str">
        <f t="shared" si="17"/>
        <v/>
      </c>
      <c r="I48" s="16" t="str">
        <f t="shared" si="18"/>
        <v/>
      </c>
      <c r="J48" s="16" t="str">
        <f t="shared" si="19"/>
        <v/>
      </c>
      <c r="K48" s="54" t="str">
        <f>IF(파일1!$B43="","",TEXT(파일1!$B43,"0"))</f>
        <v/>
      </c>
      <c r="L48" s="16"/>
      <c r="M48" s="38" t="str">
        <f>IF($K48="","",IFERROR(VLOOKUP(--SUBSTITUTE(SUBSTITUTE(TRIM($K48),"-","")," ",""),마스터시트!$A$2:$H$1946,2,FALSE),"미등록"))</f>
        <v/>
      </c>
      <c r="N48" s="53" t="str">
        <f>IF($K48="","",IFERROR(VLOOKUP(--SUBSTITUTE(SUBSTITUTE(TRIM($K48),"-","")," ",""),마스터시트!$A$2:$H$1946,3,FALSE),"미등록"))</f>
        <v/>
      </c>
      <c r="O48" s="39" t="str">
        <f>IF($K48="","",IFERROR(VLOOKUP(--SUBSTITUTE(SUBSTITUTE(TRIM($K48),"-","")," ",""),마스터시트!$A$2:$H$1946,4,FALSE),""))</f>
        <v/>
      </c>
      <c r="P48" s="37" t="str">
        <f>IF($K48="","",IFERROR(VLOOKUP(--SUBSTITUTE(SUBSTITUTE(TRIM($K48),"-","")," ",""),마스터시트!$A$2:$H$1946,5,FALSE),""))</f>
        <v/>
      </c>
      <c r="Q48" s="40" t="str">
        <f>IF($K48="","",IFERROR(VLOOKUP(--SUBSTITUTE(SUBSTITUTE(TRIM($K48),"-","")," ",""),마스터시트!$A$2:$H$1946,6,FALSE),""))</f>
        <v/>
      </c>
      <c r="R48" s="41" t="str">
        <f>IF($K48="","",IFERROR(VLOOKUP(--SUBSTITUTE(SUBSTITUTE(TRIM($K48),"-","")," ",""),마스터시트!$A$2:$H$1946,7,FALSE),""))</f>
        <v/>
      </c>
      <c r="S48" s="39"/>
      <c r="T48" s="49" t="str">
        <f>IF($K48="","",파일1!$C43)</f>
        <v/>
      </c>
      <c r="U48" s="49" t="str">
        <f>IF($K48="","",파일1!$D43)</f>
        <v/>
      </c>
      <c r="V48" s="16"/>
      <c r="W48" s="14" t="str">
        <f t="shared" ca="1" si="20"/>
        <v/>
      </c>
      <c r="X48" s="16" t="s">
        <v>3024</v>
      </c>
      <c r="Y48" s="16" t="str">
        <f>IF($K48="","",파일1!#REF!)</f>
        <v/>
      </c>
      <c r="Z48" s="16" t="str">
        <f>IF($K48="","",IF(파일1!#REF!="",1,파일1!#REF!))</f>
        <v/>
      </c>
      <c r="AA48" s="16" t="str">
        <f>IF($K48="","",IF(파일1!#REF!="","",파일1!#REF!))</f>
        <v/>
      </c>
      <c r="AB48" s="49" t="str">
        <f>IF($K48="","",파일1!$C43)</f>
        <v/>
      </c>
      <c r="AC48" s="49" t="str">
        <f>IF($K48="","",파일1!$D43)</f>
        <v/>
      </c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7" t="str">
        <f t="shared" si="21"/>
        <v/>
      </c>
    </row>
    <row r="49" spans="1:59" ht="24" customHeight="1" x14ac:dyDescent="0.3">
      <c r="A49" s="13" t="str">
        <f t="shared" si="11"/>
        <v/>
      </c>
      <c r="B49" s="51" t="str">
        <f ca="1">IF($K49="","",IF(파일1!#REF!="",TODAY(),파일1!#REF!))</f>
        <v/>
      </c>
      <c r="C49" s="14" t="str">
        <f t="shared" si="12"/>
        <v/>
      </c>
      <c r="D49" s="15" t="str">
        <f t="shared" si="13"/>
        <v/>
      </c>
      <c r="E49" s="14" t="str">
        <f t="shared" si="14"/>
        <v/>
      </c>
      <c r="F49" s="14" t="str">
        <f t="shared" si="15"/>
        <v/>
      </c>
      <c r="G49" s="16" t="str">
        <f t="shared" si="16"/>
        <v/>
      </c>
      <c r="H49" s="16" t="str">
        <f t="shared" si="17"/>
        <v/>
      </c>
      <c r="I49" s="16" t="str">
        <f t="shared" si="18"/>
        <v/>
      </c>
      <c r="J49" s="16" t="str">
        <f t="shared" si="19"/>
        <v/>
      </c>
      <c r="K49" s="54" t="str">
        <f>IF(파일1!$B44="","",TEXT(파일1!$B44,"0"))</f>
        <v/>
      </c>
      <c r="L49" s="16"/>
      <c r="M49" s="38" t="str">
        <f>IF($K49="","",IFERROR(VLOOKUP(--SUBSTITUTE(SUBSTITUTE(TRIM($K49),"-","")," ",""),마스터시트!$A$2:$H$1946,2,FALSE),"미등록"))</f>
        <v/>
      </c>
      <c r="N49" s="53" t="str">
        <f>IF($K49="","",IFERROR(VLOOKUP(--SUBSTITUTE(SUBSTITUTE(TRIM($K49),"-","")," ",""),마스터시트!$A$2:$H$1946,3,FALSE),"미등록"))</f>
        <v/>
      </c>
      <c r="O49" s="39" t="str">
        <f>IF($K49="","",IFERROR(VLOOKUP(--SUBSTITUTE(SUBSTITUTE(TRIM($K49),"-","")," ",""),마스터시트!$A$2:$H$1946,4,FALSE),""))</f>
        <v/>
      </c>
      <c r="P49" s="37" t="str">
        <f>IF($K49="","",IFERROR(VLOOKUP(--SUBSTITUTE(SUBSTITUTE(TRIM($K49),"-","")," ",""),마스터시트!$A$2:$H$1946,5,FALSE),""))</f>
        <v/>
      </c>
      <c r="Q49" s="40" t="str">
        <f>IF($K49="","",IFERROR(VLOOKUP(--SUBSTITUTE(SUBSTITUTE(TRIM($K49),"-","")," ",""),마스터시트!$A$2:$H$1946,6,FALSE),""))</f>
        <v/>
      </c>
      <c r="R49" s="41" t="str">
        <f>IF($K49="","",IFERROR(VLOOKUP(--SUBSTITUTE(SUBSTITUTE(TRIM($K49),"-","")," ",""),마스터시트!$A$2:$H$1946,7,FALSE),""))</f>
        <v/>
      </c>
      <c r="S49" s="39"/>
      <c r="T49" s="49" t="str">
        <f>IF($K49="","",파일1!$C44)</f>
        <v/>
      </c>
      <c r="U49" s="49" t="str">
        <f>IF($K49="","",파일1!$D44)</f>
        <v/>
      </c>
      <c r="V49" s="16"/>
      <c r="W49" s="14" t="str">
        <f t="shared" ca="1" si="20"/>
        <v/>
      </c>
      <c r="X49" s="16" t="s">
        <v>3024</v>
      </c>
      <c r="Y49" s="16" t="str">
        <f>IF($K49="","",파일1!#REF!)</f>
        <v/>
      </c>
      <c r="Z49" s="16" t="str">
        <f>IF($K49="","",IF(파일1!#REF!="",1,파일1!#REF!))</f>
        <v/>
      </c>
      <c r="AA49" s="16" t="str">
        <f>IF($K49="","",IF(파일1!#REF!="","",파일1!#REF!))</f>
        <v/>
      </c>
      <c r="AB49" s="49" t="str">
        <f>IF($K49="","",파일1!$C44)</f>
        <v/>
      </c>
      <c r="AC49" s="49" t="str">
        <f>IF($K49="","",파일1!$D44)</f>
        <v/>
      </c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7" t="str">
        <f t="shared" si="21"/>
        <v/>
      </c>
    </row>
    <row r="50" spans="1:59" ht="24" customHeight="1" x14ac:dyDescent="0.3">
      <c r="A50" s="13" t="str">
        <f t="shared" si="11"/>
        <v/>
      </c>
      <c r="B50" s="51" t="str">
        <f ca="1">IF($K50="","",IF(파일1!#REF!="",TODAY(),파일1!#REF!))</f>
        <v/>
      </c>
      <c r="C50" s="14" t="str">
        <f t="shared" si="12"/>
        <v/>
      </c>
      <c r="D50" s="15" t="str">
        <f t="shared" si="13"/>
        <v/>
      </c>
      <c r="E50" s="14" t="str">
        <f t="shared" si="14"/>
        <v/>
      </c>
      <c r="F50" s="14" t="str">
        <f t="shared" si="15"/>
        <v/>
      </c>
      <c r="G50" s="16" t="str">
        <f t="shared" si="16"/>
        <v/>
      </c>
      <c r="H50" s="16" t="str">
        <f t="shared" si="17"/>
        <v/>
      </c>
      <c r="I50" s="16" t="str">
        <f t="shared" si="18"/>
        <v/>
      </c>
      <c r="J50" s="16" t="str">
        <f t="shared" si="19"/>
        <v/>
      </c>
      <c r="K50" s="54" t="str">
        <f>IF(파일1!$B45="","",TEXT(파일1!$B45,"0"))</f>
        <v/>
      </c>
      <c r="L50" s="16"/>
      <c r="M50" s="38" t="str">
        <f>IF($K50="","",IFERROR(VLOOKUP(--SUBSTITUTE(SUBSTITUTE(TRIM($K50),"-","")," ",""),마스터시트!$A$2:$H$1946,2,FALSE),"미등록"))</f>
        <v/>
      </c>
      <c r="N50" s="53" t="str">
        <f>IF($K50="","",IFERROR(VLOOKUP(--SUBSTITUTE(SUBSTITUTE(TRIM($K50),"-","")," ",""),마스터시트!$A$2:$H$1946,3,FALSE),"미등록"))</f>
        <v/>
      </c>
      <c r="O50" s="39" t="str">
        <f>IF($K50="","",IFERROR(VLOOKUP(--SUBSTITUTE(SUBSTITUTE(TRIM($K50),"-","")," ",""),마스터시트!$A$2:$H$1946,4,FALSE),""))</f>
        <v/>
      </c>
      <c r="P50" s="37" t="str">
        <f>IF($K50="","",IFERROR(VLOOKUP(--SUBSTITUTE(SUBSTITUTE(TRIM($K50),"-","")," ",""),마스터시트!$A$2:$H$1946,5,FALSE),""))</f>
        <v/>
      </c>
      <c r="Q50" s="40" t="str">
        <f>IF($K50="","",IFERROR(VLOOKUP(--SUBSTITUTE(SUBSTITUTE(TRIM($K50),"-","")," ",""),마스터시트!$A$2:$H$1946,6,FALSE),""))</f>
        <v/>
      </c>
      <c r="R50" s="41" t="str">
        <f>IF($K50="","",IFERROR(VLOOKUP(--SUBSTITUTE(SUBSTITUTE(TRIM($K50),"-","")," ",""),마스터시트!$A$2:$H$1946,7,FALSE),""))</f>
        <v/>
      </c>
      <c r="S50" s="39"/>
      <c r="T50" s="49" t="str">
        <f>IF($K50="","",파일1!$C45)</f>
        <v/>
      </c>
      <c r="U50" s="49" t="str">
        <f>IF($K50="","",파일1!$D45)</f>
        <v/>
      </c>
      <c r="V50" s="16"/>
      <c r="W50" s="14" t="str">
        <f t="shared" ca="1" si="20"/>
        <v/>
      </c>
      <c r="X50" s="16" t="s">
        <v>3024</v>
      </c>
      <c r="Y50" s="16" t="str">
        <f>IF($K50="","",파일1!#REF!)</f>
        <v/>
      </c>
      <c r="Z50" s="16" t="str">
        <f>IF($K50="","",IF(파일1!#REF!="",1,파일1!#REF!))</f>
        <v/>
      </c>
      <c r="AA50" s="16" t="str">
        <f>IF($K50="","",IF(파일1!#REF!="","",파일1!#REF!))</f>
        <v/>
      </c>
      <c r="AB50" s="49" t="str">
        <f>IF($K50="","",파일1!$C45)</f>
        <v/>
      </c>
      <c r="AC50" s="49" t="str">
        <f>IF($K50="","",파일1!$D45)</f>
        <v/>
      </c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7" t="str">
        <f t="shared" si="21"/>
        <v/>
      </c>
    </row>
    <row r="51" spans="1:59" ht="24" customHeight="1" x14ac:dyDescent="0.3">
      <c r="A51" s="13" t="str">
        <f t="shared" si="11"/>
        <v/>
      </c>
      <c r="B51" s="51" t="str">
        <f ca="1">IF($K51="","",IF(파일1!#REF!="",TODAY(),파일1!#REF!))</f>
        <v/>
      </c>
      <c r="C51" s="14" t="str">
        <f t="shared" si="12"/>
        <v/>
      </c>
      <c r="D51" s="15" t="str">
        <f t="shared" si="13"/>
        <v/>
      </c>
      <c r="E51" s="14" t="str">
        <f t="shared" si="14"/>
        <v/>
      </c>
      <c r="F51" s="14" t="str">
        <f t="shared" si="15"/>
        <v/>
      </c>
      <c r="G51" s="16" t="str">
        <f t="shared" si="16"/>
        <v/>
      </c>
      <c r="H51" s="16" t="str">
        <f t="shared" si="17"/>
        <v/>
      </c>
      <c r="I51" s="16" t="str">
        <f t="shared" si="18"/>
        <v/>
      </c>
      <c r="J51" s="16" t="str">
        <f t="shared" si="19"/>
        <v/>
      </c>
      <c r="K51" s="54" t="str">
        <f>IF(파일1!$B46="","",TEXT(파일1!$B46,"0"))</f>
        <v/>
      </c>
      <c r="L51" s="16"/>
      <c r="M51" s="38" t="str">
        <f>IF($K51="","",IFERROR(VLOOKUP(--SUBSTITUTE(SUBSTITUTE(TRIM($K51),"-","")," ",""),마스터시트!$A$2:$H$1946,2,FALSE),"미등록"))</f>
        <v/>
      </c>
      <c r="N51" s="53" t="str">
        <f>IF($K51="","",IFERROR(VLOOKUP(--SUBSTITUTE(SUBSTITUTE(TRIM($K51),"-","")," ",""),마스터시트!$A$2:$H$1946,3,FALSE),"미등록"))</f>
        <v/>
      </c>
      <c r="O51" s="39" t="str">
        <f>IF($K51="","",IFERROR(VLOOKUP(--SUBSTITUTE(SUBSTITUTE(TRIM($K51),"-","")," ",""),마스터시트!$A$2:$H$1946,4,FALSE),""))</f>
        <v/>
      </c>
      <c r="P51" s="37" t="str">
        <f>IF($K51="","",IFERROR(VLOOKUP(--SUBSTITUTE(SUBSTITUTE(TRIM($K51),"-","")," ",""),마스터시트!$A$2:$H$1946,5,FALSE),""))</f>
        <v/>
      </c>
      <c r="Q51" s="40" t="str">
        <f>IF($K51="","",IFERROR(VLOOKUP(--SUBSTITUTE(SUBSTITUTE(TRIM($K51),"-","")," ",""),마스터시트!$A$2:$H$1946,6,FALSE),""))</f>
        <v/>
      </c>
      <c r="R51" s="41" t="str">
        <f>IF($K51="","",IFERROR(VLOOKUP(--SUBSTITUTE(SUBSTITUTE(TRIM($K51),"-","")," ",""),마스터시트!$A$2:$H$1946,7,FALSE),""))</f>
        <v/>
      </c>
      <c r="S51" s="39"/>
      <c r="T51" s="49" t="str">
        <f>IF($K51="","",파일1!$C46)</f>
        <v/>
      </c>
      <c r="U51" s="49" t="str">
        <f>IF($K51="","",파일1!$D46)</f>
        <v/>
      </c>
      <c r="V51" s="16"/>
      <c r="W51" s="14" t="str">
        <f t="shared" ca="1" si="20"/>
        <v/>
      </c>
      <c r="X51" s="16" t="s">
        <v>3024</v>
      </c>
      <c r="Y51" s="16" t="str">
        <f>IF($K51="","",파일1!#REF!)</f>
        <v/>
      </c>
      <c r="Z51" s="16" t="str">
        <f>IF($K51="","",IF(파일1!#REF!="",1,파일1!#REF!))</f>
        <v/>
      </c>
      <c r="AA51" s="16" t="str">
        <f>IF($K51="","",IF(파일1!#REF!="","",파일1!#REF!))</f>
        <v/>
      </c>
      <c r="AB51" s="49" t="str">
        <f>IF($K51="","",파일1!$C46)</f>
        <v/>
      </c>
      <c r="AC51" s="49" t="str">
        <f>IF($K51="","",파일1!$D46)</f>
        <v/>
      </c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7" t="str">
        <f t="shared" si="21"/>
        <v/>
      </c>
    </row>
    <row r="52" spans="1:59" ht="24" customHeight="1" x14ac:dyDescent="0.3">
      <c r="A52" s="13" t="str">
        <f t="shared" si="11"/>
        <v/>
      </c>
      <c r="B52" s="51" t="str">
        <f ca="1">IF($K52="","",IF(파일1!#REF!="",TODAY(),파일1!#REF!))</f>
        <v/>
      </c>
      <c r="C52" s="14" t="str">
        <f t="shared" si="12"/>
        <v/>
      </c>
      <c r="D52" s="15" t="str">
        <f t="shared" si="13"/>
        <v/>
      </c>
      <c r="E52" s="14" t="str">
        <f t="shared" si="14"/>
        <v/>
      </c>
      <c r="F52" s="14" t="str">
        <f t="shared" si="15"/>
        <v/>
      </c>
      <c r="G52" s="16" t="str">
        <f t="shared" si="16"/>
        <v/>
      </c>
      <c r="H52" s="16" t="str">
        <f t="shared" si="17"/>
        <v/>
      </c>
      <c r="I52" s="16" t="str">
        <f t="shared" si="18"/>
        <v/>
      </c>
      <c r="J52" s="16" t="str">
        <f t="shared" si="19"/>
        <v/>
      </c>
      <c r="K52" s="54" t="str">
        <f>IF(파일1!$B47="","",TEXT(파일1!$B47,"0"))</f>
        <v/>
      </c>
      <c r="L52" s="16"/>
      <c r="M52" s="38" t="str">
        <f>IF($K52="","",IFERROR(VLOOKUP(--SUBSTITUTE(SUBSTITUTE(TRIM($K52),"-","")," ",""),마스터시트!$A$2:$H$1946,2,FALSE),"미등록"))</f>
        <v/>
      </c>
      <c r="N52" s="53" t="str">
        <f>IF($K52="","",IFERROR(VLOOKUP(--SUBSTITUTE(SUBSTITUTE(TRIM($K52),"-","")," ",""),마스터시트!$A$2:$H$1946,3,FALSE),"미등록"))</f>
        <v/>
      </c>
      <c r="O52" s="39" t="str">
        <f>IF($K52="","",IFERROR(VLOOKUP(--SUBSTITUTE(SUBSTITUTE(TRIM($K52),"-","")," ",""),마스터시트!$A$2:$H$1946,4,FALSE),""))</f>
        <v/>
      </c>
      <c r="P52" s="37" t="str">
        <f>IF($K52="","",IFERROR(VLOOKUP(--SUBSTITUTE(SUBSTITUTE(TRIM($K52),"-","")," ",""),마스터시트!$A$2:$H$1946,5,FALSE),""))</f>
        <v/>
      </c>
      <c r="Q52" s="40" t="str">
        <f>IF($K52="","",IFERROR(VLOOKUP(--SUBSTITUTE(SUBSTITUTE(TRIM($K52),"-","")," ",""),마스터시트!$A$2:$H$1946,6,FALSE),""))</f>
        <v/>
      </c>
      <c r="R52" s="41" t="str">
        <f>IF($K52="","",IFERROR(VLOOKUP(--SUBSTITUTE(SUBSTITUTE(TRIM($K52),"-","")," ",""),마스터시트!$A$2:$H$1946,7,FALSE),""))</f>
        <v/>
      </c>
      <c r="S52" s="39"/>
      <c r="T52" s="49" t="str">
        <f>IF($K52="","",파일1!$C47)</f>
        <v/>
      </c>
      <c r="U52" s="49" t="str">
        <f>IF($K52="","",파일1!$D47)</f>
        <v/>
      </c>
      <c r="V52" s="16"/>
      <c r="W52" s="14" t="str">
        <f t="shared" ca="1" si="20"/>
        <v/>
      </c>
      <c r="X52" s="16" t="s">
        <v>3024</v>
      </c>
      <c r="Y52" s="16" t="str">
        <f>IF($K52="","",파일1!#REF!)</f>
        <v/>
      </c>
      <c r="Z52" s="16" t="str">
        <f>IF($K52="","",IF(파일1!#REF!="",1,파일1!#REF!))</f>
        <v/>
      </c>
      <c r="AA52" s="16" t="str">
        <f>IF($K52="","",IF(파일1!#REF!="","",파일1!#REF!))</f>
        <v/>
      </c>
      <c r="AB52" s="49" t="str">
        <f>IF($K52="","",파일1!$C47)</f>
        <v/>
      </c>
      <c r="AC52" s="49" t="str">
        <f>IF($K52="","",파일1!$D47)</f>
        <v/>
      </c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7" t="str">
        <f t="shared" si="21"/>
        <v/>
      </c>
    </row>
    <row r="53" spans="1:59" ht="24" customHeight="1" x14ac:dyDescent="0.3">
      <c r="A53" s="13" t="str">
        <f t="shared" si="11"/>
        <v/>
      </c>
      <c r="B53" s="51" t="str">
        <f ca="1">IF($K53="","",IF(파일1!#REF!="",TODAY(),파일1!#REF!))</f>
        <v/>
      </c>
      <c r="C53" s="14" t="str">
        <f t="shared" si="12"/>
        <v/>
      </c>
      <c r="D53" s="15" t="str">
        <f t="shared" si="13"/>
        <v/>
      </c>
      <c r="E53" s="14" t="str">
        <f t="shared" si="14"/>
        <v/>
      </c>
      <c r="F53" s="14" t="str">
        <f t="shared" si="15"/>
        <v/>
      </c>
      <c r="G53" s="16" t="str">
        <f t="shared" si="16"/>
        <v/>
      </c>
      <c r="H53" s="16" t="str">
        <f t="shared" si="17"/>
        <v/>
      </c>
      <c r="I53" s="16" t="str">
        <f t="shared" si="18"/>
        <v/>
      </c>
      <c r="J53" s="16" t="str">
        <f t="shared" si="19"/>
        <v/>
      </c>
      <c r="K53" s="54" t="str">
        <f>IF(파일1!$B48="","",TEXT(파일1!$B48,"0"))</f>
        <v/>
      </c>
      <c r="L53" s="16"/>
      <c r="M53" s="38" t="str">
        <f>IF($K53="","",IFERROR(VLOOKUP(--SUBSTITUTE(SUBSTITUTE(TRIM($K53),"-","")," ",""),마스터시트!$A$2:$H$1946,2,FALSE),"미등록"))</f>
        <v/>
      </c>
      <c r="N53" s="53" t="str">
        <f>IF($K53="","",IFERROR(VLOOKUP(--SUBSTITUTE(SUBSTITUTE(TRIM($K53),"-","")," ",""),마스터시트!$A$2:$H$1946,3,FALSE),"미등록"))</f>
        <v/>
      </c>
      <c r="O53" s="39" t="str">
        <f>IF($K53="","",IFERROR(VLOOKUP(--SUBSTITUTE(SUBSTITUTE(TRIM($K53),"-","")," ",""),마스터시트!$A$2:$H$1946,4,FALSE),""))</f>
        <v/>
      </c>
      <c r="P53" s="37" t="str">
        <f>IF($K53="","",IFERROR(VLOOKUP(--SUBSTITUTE(SUBSTITUTE(TRIM($K53),"-","")," ",""),마스터시트!$A$2:$H$1946,5,FALSE),""))</f>
        <v/>
      </c>
      <c r="Q53" s="40" t="str">
        <f>IF($K53="","",IFERROR(VLOOKUP(--SUBSTITUTE(SUBSTITUTE(TRIM($K53),"-","")," ",""),마스터시트!$A$2:$H$1946,6,FALSE),""))</f>
        <v/>
      </c>
      <c r="R53" s="41" t="str">
        <f>IF($K53="","",IFERROR(VLOOKUP(--SUBSTITUTE(SUBSTITUTE(TRIM($K53),"-","")," ",""),마스터시트!$A$2:$H$1946,7,FALSE),""))</f>
        <v/>
      </c>
      <c r="S53" s="39"/>
      <c r="T53" s="49" t="str">
        <f>IF($K53="","",파일1!$C48)</f>
        <v/>
      </c>
      <c r="U53" s="49" t="str">
        <f>IF($K53="","",파일1!$D48)</f>
        <v/>
      </c>
      <c r="V53" s="16"/>
      <c r="W53" s="14" t="str">
        <f t="shared" ca="1" si="20"/>
        <v/>
      </c>
      <c r="X53" s="16" t="s">
        <v>3024</v>
      </c>
      <c r="Y53" s="16" t="str">
        <f>IF($K53="","",파일1!#REF!)</f>
        <v/>
      </c>
      <c r="Z53" s="16" t="str">
        <f>IF($K53="","",IF(파일1!#REF!="",1,파일1!#REF!))</f>
        <v/>
      </c>
      <c r="AA53" s="16" t="str">
        <f>IF($K53="","",IF(파일1!#REF!="","",파일1!#REF!))</f>
        <v/>
      </c>
      <c r="AB53" s="49" t="str">
        <f>IF($K53="","",파일1!$C48)</f>
        <v/>
      </c>
      <c r="AC53" s="49" t="str">
        <f>IF($K53="","",파일1!$D48)</f>
        <v/>
      </c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7" t="str">
        <f t="shared" si="21"/>
        <v/>
      </c>
    </row>
    <row r="54" spans="1:59" ht="24" customHeight="1" x14ac:dyDescent="0.3">
      <c r="A54" s="13" t="str">
        <f t="shared" si="11"/>
        <v/>
      </c>
      <c r="B54" s="51" t="str">
        <f ca="1">IF($K54="","",IF(파일1!#REF!="",TODAY(),파일1!#REF!))</f>
        <v/>
      </c>
      <c r="C54" s="14" t="str">
        <f t="shared" si="12"/>
        <v/>
      </c>
      <c r="D54" s="15" t="str">
        <f t="shared" si="13"/>
        <v/>
      </c>
      <c r="E54" s="14" t="str">
        <f t="shared" si="14"/>
        <v/>
      </c>
      <c r="F54" s="14" t="str">
        <f t="shared" si="15"/>
        <v/>
      </c>
      <c r="G54" s="16" t="str">
        <f t="shared" si="16"/>
        <v/>
      </c>
      <c r="H54" s="16" t="str">
        <f t="shared" si="17"/>
        <v/>
      </c>
      <c r="I54" s="16" t="str">
        <f t="shared" si="18"/>
        <v/>
      </c>
      <c r="J54" s="16" t="str">
        <f t="shared" si="19"/>
        <v/>
      </c>
      <c r="K54" s="54" t="str">
        <f>IF(파일1!$B49="","",TEXT(파일1!$B49,"0"))</f>
        <v/>
      </c>
      <c r="L54" s="16"/>
      <c r="M54" s="38" t="str">
        <f>IF($K54="","",IFERROR(VLOOKUP(--SUBSTITUTE(SUBSTITUTE(TRIM($K54),"-","")," ",""),마스터시트!$A$2:$H$1946,2,FALSE),"미등록"))</f>
        <v/>
      </c>
      <c r="N54" s="53" t="str">
        <f>IF($K54="","",IFERROR(VLOOKUP(--SUBSTITUTE(SUBSTITUTE(TRIM($K54),"-","")," ",""),마스터시트!$A$2:$H$1946,3,FALSE),"미등록"))</f>
        <v/>
      </c>
      <c r="O54" s="39" t="str">
        <f>IF($K54="","",IFERROR(VLOOKUP(--SUBSTITUTE(SUBSTITUTE(TRIM($K54),"-","")," ",""),마스터시트!$A$2:$H$1946,4,FALSE),""))</f>
        <v/>
      </c>
      <c r="P54" s="37" t="str">
        <f>IF($K54="","",IFERROR(VLOOKUP(--SUBSTITUTE(SUBSTITUTE(TRIM($K54),"-","")," ",""),마스터시트!$A$2:$H$1946,5,FALSE),""))</f>
        <v/>
      </c>
      <c r="Q54" s="40" t="str">
        <f>IF($K54="","",IFERROR(VLOOKUP(--SUBSTITUTE(SUBSTITUTE(TRIM($K54),"-","")," ",""),마스터시트!$A$2:$H$1946,6,FALSE),""))</f>
        <v/>
      </c>
      <c r="R54" s="41" t="str">
        <f>IF($K54="","",IFERROR(VLOOKUP(--SUBSTITUTE(SUBSTITUTE(TRIM($K54),"-","")," ",""),마스터시트!$A$2:$H$1946,7,FALSE),""))</f>
        <v/>
      </c>
      <c r="S54" s="39"/>
      <c r="T54" s="49" t="str">
        <f>IF($K54="","",파일1!$C49)</f>
        <v/>
      </c>
      <c r="U54" s="49" t="str">
        <f>IF($K54="","",파일1!$D49)</f>
        <v/>
      </c>
      <c r="V54" s="16"/>
      <c r="W54" s="14" t="str">
        <f t="shared" ca="1" si="20"/>
        <v/>
      </c>
      <c r="X54" s="16" t="s">
        <v>3024</v>
      </c>
      <c r="Y54" s="16" t="str">
        <f>IF($K54="","",파일1!#REF!)</f>
        <v/>
      </c>
      <c r="Z54" s="16" t="str">
        <f>IF($K54="","",IF(파일1!#REF!="",1,파일1!#REF!))</f>
        <v/>
      </c>
      <c r="AA54" s="16" t="str">
        <f>IF($K54="","",IF(파일1!#REF!="","",파일1!#REF!))</f>
        <v/>
      </c>
      <c r="AB54" s="49" t="str">
        <f>IF($K54="","",파일1!$C49)</f>
        <v/>
      </c>
      <c r="AC54" s="49" t="str">
        <f>IF($K54="","",파일1!$D49)</f>
        <v/>
      </c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7" t="str">
        <f t="shared" si="21"/>
        <v/>
      </c>
    </row>
    <row r="55" spans="1:59" ht="24" customHeight="1" x14ac:dyDescent="0.3">
      <c r="A55" s="13" t="str">
        <f t="shared" si="11"/>
        <v/>
      </c>
      <c r="B55" s="51" t="str">
        <f ca="1">IF($K55="","",IF(파일1!#REF!="",TODAY(),파일1!#REF!))</f>
        <v/>
      </c>
      <c r="C55" s="14" t="str">
        <f t="shared" si="12"/>
        <v/>
      </c>
      <c r="D55" s="15" t="str">
        <f t="shared" si="13"/>
        <v/>
      </c>
      <c r="E55" s="14" t="str">
        <f t="shared" si="14"/>
        <v/>
      </c>
      <c r="F55" s="14" t="str">
        <f t="shared" si="15"/>
        <v/>
      </c>
      <c r="G55" s="16" t="str">
        <f t="shared" si="16"/>
        <v/>
      </c>
      <c r="H55" s="16" t="str">
        <f t="shared" si="17"/>
        <v/>
      </c>
      <c r="I55" s="16" t="str">
        <f t="shared" si="18"/>
        <v/>
      </c>
      <c r="J55" s="16" t="str">
        <f t="shared" si="19"/>
        <v/>
      </c>
      <c r="K55" s="54" t="str">
        <f>IF(파일1!$B50="","",TEXT(파일1!$B50,"0"))</f>
        <v/>
      </c>
      <c r="L55" s="16"/>
      <c r="M55" s="38" t="str">
        <f>IF($K55="","",IFERROR(VLOOKUP(--SUBSTITUTE(SUBSTITUTE(TRIM($K55),"-","")," ",""),마스터시트!$A$2:$H$1946,2,FALSE),"미등록"))</f>
        <v/>
      </c>
      <c r="N55" s="53" t="str">
        <f>IF($K55="","",IFERROR(VLOOKUP(--SUBSTITUTE(SUBSTITUTE(TRIM($K55),"-","")," ",""),마스터시트!$A$2:$H$1946,3,FALSE),"미등록"))</f>
        <v/>
      </c>
      <c r="O55" s="39" t="str">
        <f>IF($K55="","",IFERROR(VLOOKUP(--SUBSTITUTE(SUBSTITUTE(TRIM($K55),"-","")," ",""),마스터시트!$A$2:$H$1946,4,FALSE),""))</f>
        <v/>
      </c>
      <c r="P55" s="37" t="str">
        <f>IF($K55="","",IFERROR(VLOOKUP(--SUBSTITUTE(SUBSTITUTE(TRIM($K55),"-","")," ",""),마스터시트!$A$2:$H$1946,5,FALSE),""))</f>
        <v/>
      </c>
      <c r="Q55" s="40" t="str">
        <f>IF($K55="","",IFERROR(VLOOKUP(--SUBSTITUTE(SUBSTITUTE(TRIM($K55),"-","")," ",""),마스터시트!$A$2:$H$1946,6,FALSE),""))</f>
        <v/>
      </c>
      <c r="R55" s="41" t="str">
        <f>IF($K55="","",IFERROR(VLOOKUP(--SUBSTITUTE(SUBSTITUTE(TRIM($K55),"-","")," ",""),마스터시트!$A$2:$H$1946,7,FALSE),""))</f>
        <v/>
      </c>
      <c r="S55" s="39"/>
      <c r="T55" s="49" t="str">
        <f>IF($K55="","",파일1!$C50)</f>
        <v/>
      </c>
      <c r="U55" s="49" t="str">
        <f>IF($K55="","",파일1!$D50)</f>
        <v/>
      </c>
      <c r="V55" s="16"/>
      <c r="W55" s="14" t="str">
        <f t="shared" ca="1" si="20"/>
        <v/>
      </c>
      <c r="X55" s="16" t="s">
        <v>3024</v>
      </c>
      <c r="Y55" s="16" t="str">
        <f>IF($K55="","",파일1!#REF!)</f>
        <v/>
      </c>
      <c r="Z55" s="16" t="str">
        <f>IF($K55="","",IF(파일1!#REF!="",1,파일1!#REF!))</f>
        <v/>
      </c>
      <c r="AA55" s="16" t="str">
        <f>IF($K55="","",IF(파일1!#REF!="","",파일1!#REF!))</f>
        <v/>
      </c>
      <c r="AB55" s="49" t="str">
        <f>IF($K55="","",파일1!$C50)</f>
        <v/>
      </c>
      <c r="AC55" s="49" t="str">
        <f>IF($K55="","",파일1!$D50)</f>
        <v/>
      </c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7" t="str">
        <f t="shared" si="21"/>
        <v/>
      </c>
    </row>
    <row r="56" spans="1:59" ht="24" customHeight="1" x14ac:dyDescent="0.3">
      <c r="A56" s="13" t="str">
        <f t="shared" si="11"/>
        <v/>
      </c>
      <c r="B56" s="51" t="str">
        <f ca="1">IF($K56="","",IF(파일1!#REF!="",TODAY(),파일1!#REF!))</f>
        <v/>
      </c>
      <c r="C56" s="14" t="str">
        <f t="shared" si="12"/>
        <v/>
      </c>
      <c r="D56" s="15" t="str">
        <f t="shared" si="13"/>
        <v/>
      </c>
      <c r="E56" s="14" t="str">
        <f t="shared" si="14"/>
        <v/>
      </c>
      <c r="F56" s="14" t="str">
        <f t="shared" si="15"/>
        <v/>
      </c>
      <c r="G56" s="16" t="str">
        <f t="shared" si="16"/>
        <v/>
      </c>
      <c r="H56" s="16" t="str">
        <f t="shared" si="17"/>
        <v/>
      </c>
      <c r="I56" s="16" t="str">
        <f t="shared" si="18"/>
        <v/>
      </c>
      <c r="J56" s="16" t="str">
        <f t="shared" si="19"/>
        <v/>
      </c>
      <c r="K56" s="54" t="str">
        <f>IF(파일1!$B51="","",TEXT(파일1!$B51,"0"))</f>
        <v/>
      </c>
      <c r="L56" s="16"/>
      <c r="M56" s="38" t="str">
        <f>IF($K56="","",IFERROR(VLOOKUP(--SUBSTITUTE(SUBSTITUTE(TRIM($K56),"-","")," ",""),마스터시트!$A$2:$H$1946,2,FALSE),"미등록"))</f>
        <v/>
      </c>
      <c r="N56" s="53" t="str">
        <f>IF($K56="","",IFERROR(VLOOKUP(--SUBSTITUTE(SUBSTITUTE(TRIM($K56),"-","")," ",""),마스터시트!$A$2:$H$1946,3,FALSE),"미등록"))</f>
        <v/>
      </c>
      <c r="O56" s="39" t="str">
        <f>IF($K56="","",IFERROR(VLOOKUP(--SUBSTITUTE(SUBSTITUTE(TRIM($K56),"-","")," ",""),마스터시트!$A$2:$H$1946,4,FALSE),""))</f>
        <v/>
      </c>
      <c r="P56" s="37" t="str">
        <f>IF($K56="","",IFERROR(VLOOKUP(--SUBSTITUTE(SUBSTITUTE(TRIM($K56),"-","")," ",""),마스터시트!$A$2:$H$1946,5,FALSE),""))</f>
        <v/>
      </c>
      <c r="Q56" s="40" t="str">
        <f>IF($K56="","",IFERROR(VLOOKUP(--SUBSTITUTE(SUBSTITUTE(TRIM($K56),"-","")," ",""),마스터시트!$A$2:$H$1946,6,FALSE),""))</f>
        <v/>
      </c>
      <c r="R56" s="41" t="str">
        <f>IF($K56="","",IFERROR(VLOOKUP(--SUBSTITUTE(SUBSTITUTE(TRIM($K56),"-","")," ",""),마스터시트!$A$2:$H$1946,7,FALSE),""))</f>
        <v/>
      </c>
      <c r="S56" s="39"/>
      <c r="T56" s="49" t="str">
        <f>IF($K56="","",파일1!$C51)</f>
        <v/>
      </c>
      <c r="U56" s="49" t="str">
        <f>IF($K56="","",파일1!$D51)</f>
        <v/>
      </c>
      <c r="V56" s="16"/>
      <c r="W56" s="14" t="str">
        <f t="shared" ca="1" si="20"/>
        <v/>
      </c>
      <c r="X56" s="16" t="s">
        <v>3024</v>
      </c>
      <c r="Y56" s="16" t="str">
        <f>IF($K56="","",파일1!#REF!)</f>
        <v/>
      </c>
      <c r="Z56" s="16" t="str">
        <f>IF($K56="","",IF(파일1!#REF!="",1,파일1!#REF!))</f>
        <v/>
      </c>
      <c r="AA56" s="16" t="str">
        <f>IF($K56="","",IF(파일1!#REF!="","",파일1!#REF!))</f>
        <v/>
      </c>
      <c r="AB56" s="49" t="str">
        <f>IF($K56="","",파일1!$C51)</f>
        <v/>
      </c>
      <c r="AC56" s="49" t="str">
        <f>IF($K56="","",파일1!$D51)</f>
        <v/>
      </c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7" t="str">
        <f t="shared" si="21"/>
        <v/>
      </c>
    </row>
    <row r="57" spans="1:59" ht="24" customHeight="1" x14ac:dyDescent="0.3">
      <c r="A57" s="13" t="str">
        <f t="shared" si="11"/>
        <v/>
      </c>
      <c r="B57" s="51" t="str">
        <f ca="1">IF($K57="","",IF(파일1!#REF!="",TODAY(),파일1!#REF!))</f>
        <v/>
      </c>
      <c r="C57" s="14" t="str">
        <f t="shared" si="12"/>
        <v/>
      </c>
      <c r="D57" s="15" t="str">
        <f t="shared" si="13"/>
        <v/>
      </c>
      <c r="E57" s="14" t="str">
        <f t="shared" si="14"/>
        <v/>
      </c>
      <c r="F57" s="14" t="str">
        <f t="shared" si="15"/>
        <v/>
      </c>
      <c r="G57" s="16" t="str">
        <f t="shared" si="16"/>
        <v/>
      </c>
      <c r="H57" s="16" t="str">
        <f t="shared" si="17"/>
        <v/>
      </c>
      <c r="I57" s="16" t="str">
        <f t="shared" si="18"/>
        <v/>
      </c>
      <c r="J57" s="16" t="str">
        <f t="shared" si="19"/>
        <v/>
      </c>
      <c r="K57" s="54" t="str">
        <f>IF(파일1!$B52="","",TEXT(파일1!$B52,"0"))</f>
        <v/>
      </c>
      <c r="L57" s="16"/>
      <c r="M57" s="38" t="str">
        <f>IF($K57="","",IFERROR(VLOOKUP(--SUBSTITUTE(SUBSTITUTE(TRIM($K57),"-","")," ",""),마스터시트!$A$2:$H$1946,2,FALSE),"미등록"))</f>
        <v/>
      </c>
      <c r="N57" s="53" t="str">
        <f>IF($K57="","",IFERROR(VLOOKUP(--SUBSTITUTE(SUBSTITUTE(TRIM($K57),"-","")," ",""),마스터시트!$A$2:$H$1946,3,FALSE),"미등록"))</f>
        <v/>
      </c>
      <c r="O57" s="39" t="str">
        <f>IF($K57="","",IFERROR(VLOOKUP(--SUBSTITUTE(SUBSTITUTE(TRIM($K57),"-","")," ",""),마스터시트!$A$2:$H$1946,4,FALSE),""))</f>
        <v/>
      </c>
      <c r="P57" s="37" t="str">
        <f>IF($K57="","",IFERROR(VLOOKUP(--SUBSTITUTE(SUBSTITUTE(TRIM($K57),"-","")," ",""),마스터시트!$A$2:$H$1946,5,FALSE),""))</f>
        <v/>
      </c>
      <c r="Q57" s="40" t="str">
        <f>IF($K57="","",IFERROR(VLOOKUP(--SUBSTITUTE(SUBSTITUTE(TRIM($K57),"-","")," ",""),마스터시트!$A$2:$H$1946,6,FALSE),""))</f>
        <v/>
      </c>
      <c r="R57" s="41" t="str">
        <f>IF($K57="","",IFERROR(VLOOKUP(--SUBSTITUTE(SUBSTITUTE(TRIM($K57),"-","")," ",""),마스터시트!$A$2:$H$1946,7,FALSE),""))</f>
        <v/>
      </c>
      <c r="S57" s="39"/>
      <c r="T57" s="49" t="str">
        <f>IF($K57="","",파일1!$C52)</f>
        <v/>
      </c>
      <c r="U57" s="49" t="str">
        <f>IF($K57="","",파일1!$D52)</f>
        <v/>
      </c>
      <c r="V57" s="16"/>
      <c r="W57" s="14" t="str">
        <f t="shared" ca="1" si="20"/>
        <v/>
      </c>
      <c r="X57" s="16" t="s">
        <v>3024</v>
      </c>
      <c r="Y57" s="16" t="str">
        <f>IF($K57="","",파일1!#REF!)</f>
        <v/>
      </c>
      <c r="Z57" s="16" t="str">
        <f>IF($K57="","",IF(파일1!#REF!="",1,파일1!#REF!))</f>
        <v/>
      </c>
      <c r="AA57" s="16" t="str">
        <f>IF($K57="","",IF(파일1!#REF!="","",파일1!#REF!))</f>
        <v/>
      </c>
      <c r="AB57" s="49" t="str">
        <f>IF($K57="","",파일1!$C52)</f>
        <v/>
      </c>
      <c r="AC57" s="49" t="str">
        <f>IF($K57="","",파일1!$D52)</f>
        <v/>
      </c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7" t="str">
        <f t="shared" si="21"/>
        <v/>
      </c>
    </row>
    <row r="58" spans="1:59" ht="24" customHeight="1" x14ac:dyDescent="0.3">
      <c r="A58" s="13" t="str">
        <f t="shared" si="11"/>
        <v/>
      </c>
      <c r="B58" s="51" t="str">
        <f ca="1">IF($K58="","",IF(파일1!#REF!="",TODAY(),파일1!#REF!))</f>
        <v/>
      </c>
      <c r="C58" s="14" t="str">
        <f t="shared" si="12"/>
        <v/>
      </c>
      <c r="D58" s="15" t="str">
        <f t="shared" si="13"/>
        <v/>
      </c>
      <c r="E58" s="14" t="str">
        <f t="shared" si="14"/>
        <v/>
      </c>
      <c r="F58" s="14" t="str">
        <f t="shared" si="15"/>
        <v/>
      </c>
      <c r="G58" s="16" t="str">
        <f t="shared" si="16"/>
        <v/>
      </c>
      <c r="H58" s="16" t="str">
        <f t="shared" si="17"/>
        <v/>
      </c>
      <c r="I58" s="16" t="str">
        <f t="shared" si="18"/>
        <v/>
      </c>
      <c r="J58" s="16" t="str">
        <f t="shared" si="19"/>
        <v/>
      </c>
      <c r="K58" s="54" t="str">
        <f>IF(파일1!$B53="","",TEXT(파일1!$B53,"0"))</f>
        <v/>
      </c>
      <c r="L58" s="16"/>
      <c r="M58" s="38" t="str">
        <f>IF($K58="","",IFERROR(VLOOKUP(--SUBSTITUTE(SUBSTITUTE(TRIM($K58),"-","")," ",""),마스터시트!$A$2:$H$1946,2,FALSE),"미등록"))</f>
        <v/>
      </c>
      <c r="N58" s="53" t="str">
        <f>IF($K58="","",IFERROR(VLOOKUP(--SUBSTITUTE(SUBSTITUTE(TRIM($K58),"-","")," ",""),마스터시트!$A$2:$H$1946,3,FALSE),"미등록"))</f>
        <v/>
      </c>
      <c r="O58" s="39" t="str">
        <f>IF($K58="","",IFERROR(VLOOKUP(--SUBSTITUTE(SUBSTITUTE(TRIM($K58),"-","")," ",""),마스터시트!$A$2:$H$1946,4,FALSE),""))</f>
        <v/>
      </c>
      <c r="P58" s="37" t="str">
        <f>IF($K58="","",IFERROR(VLOOKUP(--SUBSTITUTE(SUBSTITUTE(TRIM($K58),"-","")," ",""),마스터시트!$A$2:$H$1946,5,FALSE),""))</f>
        <v/>
      </c>
      <c r="Q58" s="40" t="str">
        <f>IF($K58="","",IFERROR(VLOOKUP(--SUBSTITUTE(SUBSTITUTE(TRIM($K58),"-","")," ",""),마스터시트!$A$2:$H$1946,6,FALSE),""))</f>
        <v/>
      </c>
      <c r="R58" s="41" t="str">
        <f>IF($K58="","",IFERROR(VLOOKUP(--SUBSTITUTE(SUBSTITUTE(TRIM($K58),"-","")," ",""),마스터시트!$A$2:$H$1946,7,FALSE),""))</f>
        <v/>
      </c>
      <c r="S58" s="39"/>
      <c r="T58" s="49" t="str">
        <f>IF($K58="","",파일1!$C53)</f>
        <v/>
      </c>
      <c r="U58" s="49" t="str">
        <f>IF($K58="","",파일1!$D53)</f>
        <v/>
      </c>
      <c r="V58" s="16"/>
      <c r="W58" s="14" t="str">
        <f t="shared" ca="1" si="20"/>
        <v/>
      </c>
      <c r="X58" s="16" t="s">
        <v>3024</v>
      </c>
      <c r="Y58" s="16" t="str">
        <f>IF($K58="","",파일1!#REF!)</f>
        <v/>
      </c>
      <c r="Z58" s="16" t="str">
        <f>IF($K58="","",IF(파일1!#REF!="",1,파일1!#REF!))</f>
        <v/>
      </c>
      <c r="AA58" s="16" t="str">
        <f>IF($K58="","",IF(파일1!#REF!="","",파일1!#REF!))</f>
        <v/>
      </c>
      <c r="AB58" s="49" t="str">
        <f>IF($K58="","",파일1!$C53)</f>
        <v/>
      </c>
      <c r="AC58" s="49" t="str">
        <f>IF($K58="","",파일1!$D53)</f>
        <v/>
      </c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7" t="str">
        <f t="shared" si="21"/>
        <v/>
      </c>
    </row>
    <row r="59" spans="1:59" ht="24" customHeight="1" x14ac:dyDescent="0.3">
      <c r="A59" s="13" t="str">
        <f t="shared" si="11"/>
        <v/>
      </c>
      <c r="B59" s="51" t="str">
        <f ca="1">IF($K59="","",IF(파일1!#REF!="",TODAY(),파일1!#REF!))</f>
        <v/>
      </c>
      <c r="C59" s="14" t="str">
        <f t="shared" si="12"/>
        <v/>
      </c>
      <c r="D59" s="15" t="str">
        <f t="shared" si="13"/>
        <v/>
      </c>
      <c r="E59" s="14" t="str">
        <f t="shared" si="14"/>
        <v/>
      </c>
      <c r="F59" s="14" t="str">
        <f t="shared" si="15"/>
        <v/>
      </c>
      <c r="G59" s="16" t="str">
        <f t="shared" si="16"/>
        <v/>
      </c>
      <c r="H59" s="16" t="str">
        <f t="shared" si="17"/>
        <v/>
      </c>
      <c r="I59" s="16" t="str">
        <f t="shared" si="18"/>
        <v/>
      </c>
      <c r="J59" s="16" t="str">
        <f t="shared" si="19"/>
        <v/>
      </c>
      <c r="K59" s="54" t="str">
        <f>IF(파일1!$B54="","",TEXT(파일1!$B54,"0"))</f>
        <v/>
      </c>
      <c r="L59" s="16"/>
      <c r="M59" s="38" t="str">
        <f>IF($K59="","",IFERROR(VLOOKUP(--SUBSTITUTE(SUBSTITUTE(TRIM($K59),"-","")," ",""),마스터시트!$A$2:$H$1946,2,FALSE),"미등록"))</f>
        <v/>
      </c>
      <c r="N59" s="53" t="str">
        <f>IF($K59="","",IFERROR(VLOOKUP(--SUBSTITUTE(SUBSTITUTE(TRIM($K59),"-","")," ",""),마스터시트!$A$2:$H$1946,3,FALSE),"미등록"))</f>
        <v/>
      </c>
      <c r="O59" s="39" t="str">
        <f>IF($K59="","",IFERROR(VLOOKUP(--SUBSTITUTE(SUBSTITUTE(TRIM($K59),"-","")," ",""),마스터시트!$A$2:$H$1946,4,FALSE),""))</f>
        <v/>
      </c>
      <c r="P59" s="37" t="str">
        <f>IF($K59="","",IFERROR(VLOOKUP(--SUBSTITUTE(SUBSTITUTE(TRIM($K59),"-","")," ",""),마스터시트!$A$2:$H$1946,5,FALSE),""))</f>
        <v/>
      </c>
      <c r="Q59" s="40" t="str">
        <f>IF($K59="","",IFERROR(VLOOKUP(--SUBSTITUTE(SUBSTITUTE(TRIM($K59),"-","")," ",""),마스터시트!$A$2:$H$1946,6,FALSE),""))</f>
        <v/>
      </c>
      <c r="R59" s="41" t="str">
        <f>IF($K59="","",IFERROR(VLOOKUP(--SUBSTITUTE(SUBSTITUTE(TRIM($K59),"-","")," ",""),마스터시트!$A$2:$H$1946,7,FALSE),""))</f>
        <v/>
      </c>
      <c r="S59" s="39"/>
      <c r="T59" s="49" t="str">
        <f>IF($K59="","",파일1!$C54)</f>
        <v/>
      </c>
      <c r="U59" s="49" t="str">
        <f>IF($K59="","",파일1!$D54)</f>
        <v/>
      </c>
      <c r="V59" s="16"/>
      <c r="W59" s="14" t="str">
        <f t="shared" ca="1" si="20"/>
        <v/>
      </c>
      <c r="X59" s="16" t="s">
        <v>3024</v>
      </c>
      <c r="Y59" s="16" t="str">
        <f>IF($K59="","",파일1!#REF!)</f>
        <v/>
      </c>
      <c r="Z59" s="16" t="str">
        <f>IF($K59="","",IF(파일1!#REF!="",1,파일1!#REF!))</f>
        <v/>
      </c>
      <c r="AA59" s="16" t="str">
        <f>IF($K59="","",IF(파일1!#REF!="","",파일1!#REF!))</f>
        <v/>
      </c>
      <c r="AB59" s="49" t="str">
        <f>IF($K59="","",파일1!$C54)</f>
        <v/>
      </c>
      <c r="AC59" s="49" t="str">
        <f>IF($K59="","",파일1!$D54)</f>
        <v/>
      </c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7" t="str">
        <f t="shared" si="21"/>
        <v/>
      </c>
    </row>
    <row r="60" spans="1:59" ht="24" customHeight="1" x14ac:dyDescent="0.3">
      <c r="A60" s="13" t="str">
        <f t="shared" si="11"/>
        <v/>
      </c>
      <c r="B60" s="51" t="str">
        <f ca="1">IF($K60="","",IF(파일1!#REF!="",TODAY(),파일1!#REF!))</f>
        <v/>
      </c>
      <c r="C60" s="14" t="str">
        <f t="shared" si="12"/>
        <v/>
      </c>
      <c r="D60" s="15" t="str">
        <f t="shared" si="13"/>
        <v/>
      </c>
      <c r="E60" s="14" t="str">
        <f t="shared" si="14"/>
        <v/>
      </c>
      <c r="F60" s="14" t="str">
        <f t="shared" si="15"/>
        <v/>
      </c>
      <c r="G60" s="16" t="str">
        <f t="shared" si="16"/>
        <v/>
      </c>
      <c r="H60" s="16" t="str">
        <f t="shared" si="17"/>
        <v/>
      </c>
      <c r="I60" s="16" t="str">
        <f t="shared" si="18"/>
        <v/>
      </c>
      <c r="J60" s="16" t="str">
        <f t="shared" si="19"/>
        <v/>
      </c>
      <c r="K60" s="54" t="str">
        <f>IF(파일1!$B55="","",TEXT(파일1!$B55,"0"))</f>
        <v/>
      </c>
      <c r="L60" s="16"/>
      <c r="M60" s="38" t="str">
        <f>IF($K60="","",IFERROR(VLOOKUP(--SUBSTITUTE(SUBSTITUTE(TRIM($K60),"-","")," ",""),마스터시트!$A$2:$H$1946,2,FALSE),"미등록"))</f>
        <v/>
      </c>
      <c r="N60" s="53" t="str">
        <f>IF($K60="","",IFERROR(VLOOKUP(--SUBSTITUTE(SUBSTITUTE(TRIM($K60),"-","")," ",""),마스터시트!$A$2:$H$1946,3,FALSE),"미등록"))</f>
        <v/>
      </c>
      <c r="O60" s="39" t="str">
        <f>IF($K60="","",IFERROR(VLOOKUP(--SUBSTITUTE(SUBSTITUTE(TRIM($K60),"-","")," ",""),마스터시트!$A$2:$H$1946,4,FALSE),""))</f>
        <v/>
      </c>
      <c r="P60" s="37" t="str">
        <f>IF($K60="","",IFERROR(VLOOKUP(--SUBSTITUTE(SUBSTITUTE(TRIM($K60),"-","")," ",""),마스터시트!$A$2:$H$1946,5,FALSE),""))</f>
        <v/>
      </c>
      <c r="Q60" s="40" t="str">
        <f>IF($K60="","",IFERROR(VLOOKUP(--SUBSTITUTE(SUBSTITUTE(TRIM($K60),"-","")," ",""),마스터시트!$A$2:$H$1946,6,FALSE),""))</f>
        <v/>
      </c>
      <c r="R60" s="41" t="str">
        <f>IF($K60="","",IFERROR(VLOOKUP(--SUBSTITUTE(SUBSTITUTE(TRIM($K60),"-","")," ",""),마스터시트!$A$2:$H$1946,7,FALSE),""))</f>
        <v/>
      </c>
      <c r="S60" s="39"/>
      <c r="T60" s="49" t="str">
        <f>IF($K60="","",파일1!$C55)</f>
        <v/>
      </c>
      <c r="U60" s="49" t="str">
        <f>IF($K60="","",파일1!$D55)</f>
        <v/>
      </c>
      <c r="V60" s="16"/>
      <c r="W60" s="14" t="str">
        <f t="shared" ca="1" si="20"/>
        <v/>
      </c>
      <c r="X60" s="16" t="s">
        <v>3024</v>
      </c>
      <c r="Y60" s="16" t="str">
        <f>IF($K60="","",파일1!#REF!)</f>
        <v/>
      </c>
      <c r="Z60" s="16" t="str">
        <f>IF($K60="","",IF(파일1!#REF!="",1,파일1!#REF!))</f>
        <v/>
      </c>
      <c r="AA60" s="16" t="str">
        <f>IF($K60="","",IF(파일1!#REF!="","",파일1!#REF!))</f>
        <v/>
      </c>
      <c r="AB60" s="49" t="str">
        <f>IF($K60="","",파일1!$C55)</f>
        <v/>
      </c>
      <c r="AC60" s="49" t="str">
        <f>IF($K60="","",파일1!$D55)</f>
        <v/>
      </c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7" t="str">
        <f t="shared" si="21"/>
        <v/>
      </c>
    </row>
    <row r="61" spans="1:59" ht="24" customHeight="1" x14ac:dyDescent="0.3">
      <c r="A61" s="13" t="str">
        <f t="shared" si="11"/>
        <v/>
      </c>
      <c r="B61" s="51" t="str">
        <f ca="1">IF($K61="","",IF(파일1!#REF!="",TODAY(),파일1!#REF!))</f>
        <v/>
      </c>
      <c r="C61" s="14" t="str">
        <f t="shared" si="12"/>
        <v/>
      </c>
      <c r="D61" s="15" t="str">
        <f t="shared" si="13"/>
        <v/>
      </c>
      <c r="E61" s="14" t="str">
        <f t="shared" si="14"/>
        <v/>
      </c>
      <c r="F61" s="14" t="str">
        <f t="shared" si="15"/>
        <v/>
      </c>
      <c r="G61" s="16" t="str">
        <f t="shared" si="16"/>
        <v/>
      </c>
      <c r="H61" s="16" t="str">
        <f t="shared" si="17"/>
        <v/>
      </c>
      <c r="I61" s="16" t="str">
        <f t="shared" si="18"/>
        <v/>
      </c>
      <c r="J61" s="16" t="str">
        <f t="shared" si="19"/>
        <v/>
      </c>
      <c r="K61" s="54" t="str">
        <f>IF(파일1!$B56="","",TEXT(파일1!$B56,"0"))</f>
        <v/>
      </c>
      <c r="L61" s="16"/>
      <c r="M61" s="38" t="str">
        <f>IF($K61="","",IFERROR(VLOOKUP(--SUBSTITUTE(SUBSTITUTE(TRIM($K61),"-","")," ",""),마스터시트!$A$2:$H$1946,2,FALSE),"미등록"))</f>
        <v/>
      </c>
      <c r="N61" s="53" t="str">
        <f>IF($K61="","",IFERROR(VLOOKUP(--SUBSTITUTE(SUBSTITUTE(TRIM($K61),"-","")," ",""),마스터시트!$A$2:$H$1946,3,FALSE),"미등록"))</f>
        <v/>
      </c>
      <c r="O61" s="39" t="str">
        <f>IF($K61="","",IFERROR(VLOOKUP(--SUBSTITUTE(SUBSTITUTE(TRIM($K61),"-","")," ",""),마스터시트!$A$2:$H$1946,4,FALSE),""))</f>
        <v/>
      </c>
      <c r="P61" s="37" t="str">
        <f>IF($K61="","",IFERROR(VLOOKUP(--SUBSTITUTE(SUBSTITUTE(TRIM($K61),"-","")," ",""),마스터시트!$A$2:$H$1946,5,FALSE),""))</f>
        <v/>
      </c>
      <c r="Q61" s="40" t="str">
        <f>IF($K61="","",IFERROR(VLOOKUP(--SUBSTITUTE(SUBSTITUTE(TRIM($K61),"-","")," ",""),마스터시트!$A$2:$H$1946,6,FALSE),""))</f>
        <v/>
      </c>
      <c r="R61" s="41" t="str">
        <f>IF($K61="","",IFERROR(VLOOKUP(--SUBSTITUTE(SUBSTITUTE(TRIM($K61),"-","")," ",""),마스터시트!$A$2:$H$1946,7,FALSE),""))</f>
        <v/>
      </c>
      <c r="S61" s="39"/>
      <c r="T61" s="49" t="str">
        <f>IF($K61="","",파일1!$C56)</f>
        <v/>
      </c>
      <c r="U61" s="49" t="str">
        <f>IF($K61="","",파일1!$D56)</f>
        <v/>
      </c>
      <c r="V61" s="16"/>
      <c r="W61" s="14" t="str">
        <f t="shared" ca="1" si="20"/>
        <v/>
      </c>
      <c r="X61" s="16" t="s">
        <v>3024</v>
      </c>
      <c r="Y61" s="16" t="str">
        <f>IF($K61="","",파일1!#REF!)</f>
        <v/>
      </c>
      <c r="Z61" s="16" t="str">
        <f>IF($K61="","",IF(파일1!#REF!="",1,파일1!#REF!))</f>
        <v/>
      </c>
      <c r="AA61" s="16" t="str">
        <f>IF($K61="","",IF(파일1!#REF!="","",파일1!#REF!))</f>
        <v/>
      </c>
      <c r="AB61" s="49" t="str">
        <f>IF($K61="","",파일1!$C56)</f>
        <v/>
      </c>
      <c r="AC61" s="49" t="str">
        <f>IF($K61="","",파일1!$D56)</f>
        <v/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7" t="str">
        <f t="shared" si="21"/>
        <v/>
      </c>
    </row>
    <row r="62" spans="1:59" ht="24" customHeight="1" x14ac:dyDescent="0.3">
      <c r="A62" s="13" t="str">
        <f t="shared" si="11"/>
        <v/>
      </c>
      <c r="B62" s="51" t="str">
        <f ca="1">IF($K62="","",IF(파일1!#REF!="",TODAY(),파일1!#REF!))</f>
        <v/>
      </c>
      <c r="C62" s="14" t="str">
        <f t="shared" si="12"/>
        <v/>
      </c>
      <c r="D62" s="15" t="str">
        <f t="shared" si="13"/>
        <v/>
      </c>
      <c r="E62" s="14" t="str">
        <f t="shared" si="14"/>
        <v/>
      </c>
      <c r="F62" s="14" t="str">
        <f t="shared" si="15"/>
        <v/>
      </c>
      <c r="G62" s="16" t="str">
        <f t="shared" si="16"/>
        <v/>
      </c>
      <c r="H62" s="16" t="str">
        <f t="shared" si="17"/>
        <v/>
      </c>
      <c r="I62" s="16" t="str">
        <f t="shared" si="18"/>
        <v/>
      </c>
      <c r="J62" s="16" t="str">
        <f t="shared" si="19"/>
        <v/>
      </c>
      <c r="K62" s="54" t="str">
        <f>IF(파일1!$B57="","",TEXT(파일1!$B57,"0"))</f>
        <v/>
      </c>
      <c r="L62" s="16"/>
      <c r="M62" s="38" t="str">
        <f>IF($K62="","",IFERROR(VLOOKUP(--SUBSTITUTE(SUBSTITUTE(TRIM($K62),"-","")," ",""),마스터시트!$A$2:$H$1946,2,FALSE),"미등록"))</f>
        <v/>
      </c>
      <c r="N62" s="53" t="str">
        <f>IF($K62="","",IFERROR(VLOOKUP(--SUBSTITUTE(SUBSTITUTE(TRIM($K62),"-","")," ",""),마스터시트!$A$2:$H$1946,3,FALSE),"미등록"))</f>
        <v/>
      </c>
      <c r="O62" s="39" t="str">
        <f>IF($K62="","",IFERROR(VLOOKUP(--SUBSTITUTE(SUBSTITUTE(TRIM($K62),"-","")," ",""),마스터시트!$A$2:$H$1946,4,FALSE),""))</f>
        <v/>
      </c>
      <c r="P62" s="37" t="str">
        <f>IF($K62="","",IFERROR(VLOOKUP(--SUBSTITUTE(SUBSTITUTE(TRIM($K62),"-","")," ",""),마스터시트!$A$2:$H$1946,5,FALSE),""))</f>
        <v/>
      </c>
      <c r="Q62" s="40" t="str">
        <f>IF($K62="","",IFERROR(VLOOKUP(--SUBSTITUTE(SUBSTITUTE(TRIM($K62),"-","")," ",""),마스터시트!$A$2:$H$1946,6,FALSE),""))</f>
        <v/>
      </c>
      <c r="R62" s="41" t="str">
        <f>IF($K62="","",IFERROR(VLOOKUP(--SUBSTITUTE(SUBSTITUTE(TRIM($K62),"-","")," ",""),마스터시트!$A$2:$H$1946,7,FALSE),""))</f>
        <v/>
      </c>
      <c r="S62" s="39"/>
      <c r="T62" s="49" t="str">
        <f>IF($K62="","",파일1!$C57)</f>
        <v/>
      </c>
      <c r="U62" s="49" t="str">
        <f>IF($K62="","",파일1!$D57)</f>
        <v/>
      </c>
      <c r="V62" s="16"/>
      <c r="W62" s="14" t="str">
        <f t="shared" ca="1" si="20"/>
        <v/>
      </c>
      <c r="X62" s="16" t="s">
        <v>3024</v>
      </c>
      <c r="Y62" s="16" t="str">
        <f>IF($K62="","",파일1!#REF!)</f>
        <v/>
      </c>
      <c r="Z62" s="16" t="str">
        <f>IF($K62="","",IF(파일1!#REF!="",1,파일1!#REF!))</f>
        <v/>
      </c>
      <c r="AA62" s="16" t="str">
        <f>IF($K62="","",IF(파일1!#REF!="","",파일1!#REF!))</f>
        <v/>
      </c>
      <c r="AB62" s="49" t="str">
        <f>IF($K62="","",파일1!$C57)</f>
        <v/>
      </c>
      <c r="AC62" s="49" t="str">
        <f>IF($K62="","",파일1!$D57)</f>
        <v/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7" t="str">
        <f t="shared" si="21"/>
        <v/>
      </c>
    </row>
    <row r="63" spans="1:59" ht="24" customHeight="1" x14ac:dyDescent="0.3">
      <c r="A63" s="13" t="str">
        <f t="shared" si="11"/>
        <v/>
      </c>
      <c r="B63" s="51" t="str">
        <f ca="1">IF($K63="","",IF(파일1!#REF!="",TODAY(),파일1!#REF!))</f>
        <v/>
      </c>
      <c r="C63" s="14" t="str">
        <f t="shared" si="12"/>
        <v/>
      </c>
      <c r="D63" s="15" t="str">
        <f t="shared" si="13"/>
        <v/>
      </c>
      <c r="E63" s="14" t="str">
        <f t="shared" si="14"/>
        <v/>
      </c>
      <c r="F63" s="14" t="str">
        <f t="shared" si="15"/>
        <v/>
      </c>
      <c r="G63" s="16" t="str">
        <f t="shared" si="16"/>
        <v/>
      </c>
      <c r="H63" s="16" t="str">
        <f t="shared" si="17"/>
        <v/>
      </c>
      <c r="I63" s="16" t="str">
        <f t="shared" si="18"/>
        <v/>
      </c>
      <c r="J63" s="16" t="str">
        <f t="shared" si="19"/>
        <v/>
      </c>
      <c r="K63" s="54" t="str">
        <f>IF(파일1!$B58="","",TEXT(파일1!$B58,"0"))</f>
        <v/>
      </c>
      <c r="L63" s="16"/>
      <c r="M63" s="38" t="str">
        <f>IF($K63="","",IFERROR(VLOOKUP(--SUBSTITUTE(SUBSTITUTE(TRIM($K63),"-","")," ",""),마스터시트!$A$2:$H$1946,2,FALSE),"미등록"))</f>
        <v/>
      </c>
      <c r="N63" s="53" t="str">
        <f>IF($K63="","",IFERROR(VLOOKUP(--SUBSTITUTE(SUBSTITUTE(TRIM($K63),"-","")," ",""),마스터시트!$A$2:$H$1946,3,FALSE),"미등록"))</f>
        <v/>
      </c>
      <c r="O63" s="39" t="str">
        <f>IF($K63="","",IFERROR(VLOOKUP(--SUBSTITUTE(SUBSTITUTE(TRIM($K63),"-","")," ",""),마스터시트!$A$2:$H$1946,4,FALSE),""))</f>
        <v/>
      </c>
      <c r="P63" s="37" t="str">
        <f>IF($K63="","",IFERROR(VLOOKUP(--SUBSTITUTE(SUBSTITUTE(TRIM($K63),"-","")," ",""),마스터시트!$A$2:$H$1946,5,FALSE),""))</f>
        <v/>
      </c>
      <c r="Q63" s="40" t="str">
        <f>IF($K63="","",IFERROR(VLOOKUP(--SUBSTITUTE(SUBSTITUTE(TRIM($K63),"-","")," ",""),마스터시트!$A$2:$H$1946,6,FALSE),""))</f>
        <v/>
      </c>
      <c r="R63" s="41" t="str">
        <f>IF($K63="","",IFERROR(VLOOKUP(--SUBSTITUTE(SUBSTITUTE(TRIM($K63),"-","")," ",""),마스터시트!$A$2:$H$1946,7,FALSE),""))</f>
        <v/>
      </c>
      <c r="S63" s="39"/>
      <c r="T63" s="49" t="str">
        <f>IF($K63="","",파일1!$C58)</f>
        <v/>
      </c>
      <c r="U63" s="49" t="str">
        <f>IF($K63="","",파일1!$D58)</f>
        <v/>
      </c>
      <c r="V63" s="16"/>
      <c r="W63" s="14" t="str">
        <f t="shared" ca="1" si="20"/>
        <v/>
      </c>
      <c r="X63" s="16" t="s">
        <v>3024</v>
      </c>
      <c r="Y63" s="16" t="str">
        <f>IF($K63="","",파일1!#REF!)</f>
        <v/>
      </c>
      <c r="Z63" s="16" t="str">
        <f>IF($K63="","",IF(파일1!#REF!="",1,파일1!#REF!))</f>
        <v/>
      </c>
      <c r="AA63" s="16" t="str">
        <f>IF($K63="","",IF(파일1!#REF!="","",파일1!#REF!))</f>
        <v/>
      </c>
      <c r="AB63" s="49" t="str">
        <f>IF($K63="","",파일1!$C58)</f>
        <v/>
      </c>
      <c r="AC63" s="49" t="str">
        <f>IF($K63="","",파일1!$D58)</f>
        <v/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7" t="str">
        <f t="shared" si="21"/>
        <v/>
      </c>
    </row>
    <row r="64" spans="1:59" ht="24" customHeight="1" x14ac:dyDescent="0.3">
      <c r="A64" s="13" t="str">
        <f t="shared" si="11"/>
        <v/>
      </c>
      <c r="B64" s="51" t="str">
        <f ca="1">IF($K64="","",IF(파일1!#REF!="",TODAY(),파일1!#REF!))</f>
        <v/>
      </c>
      <c r="C64" s="14" t="str">
        <f t="shared" si="12"/>
        <v/>
      </c>
      <c r="D64" s="15" t="str">
        <f t="shared" si="13"/>
        <v/>
      </c>
      <c r="E64" s="14" t="str">
        <f t="shared" si="14"/>
        <v/>
      </c>
      <c r="F64" s="14" t="str">
        <f t="shared" si="15"/>
        <v/>
      </c>
      <c r="G64" s="16" t="str">
        <f t="shared" si="16"/>
        <v/>
      </c>
      <c r="H64" s="16" t="str">
        <f t="shared" si="17"/>
        <v/>
      </c>
      <c r="I64" s="16" t="str">
        <f t="shared" si="18"/>
        <v/>
      </c>
      <c r="J64" s="16" t="str">
        <f t="shared" si="19"/>
        <v/>
      </c>
      <c r="K64" s="54" t="str">
        <f>IF(파일1!$B59="","",TEXT(파일1!$B59,"0"))</f>
        <v/>
      </c>
      <c r="L64" s="16"/>
      <c r="M64" s="38" t="str">
        <f>IF($K64="","",IFERROR(VLOOKUP(--SUBSTITUTE(SUBSTITUTE(TRIM($K64),"-","")," ",""),마스터시트!$A$2:$H$1946,2,FALSE),"미등록"))</f>
        <v/>
      </c>
      <c r="N64" s="53" t="str">
        <f>IF($K64="","",IFERROR(VLOOKUP(--SUBSTITUTE(SUBSTITUTE(TRIM($K64),"-","")," ",""),마스터시트!$A$2:$H$1946,3,FALSE),"미등록"))</f>
        <v/>
      </c>
      <c r="O64" s="39" t="str">
        <f>IF($K64="","",IFERROR(VLOOKUP(--SUBSTITUTE(SUBSTITUTE(TRIM($K64),"-","")," ",""),마스터시트!$A$2:$H$1946,4,FALSE),""))</f>
        <v/>
      </c>
      <c r="P64" s="37" t="str">
        <f>IF($K64="","",IFERROR(VLOOKUP(--SUBSTITUTE(SUBSTITUTE(TRIM($K64),"-","")," ",""),마스터시트!$A$2:$H$1946,5,FALSE),""))</f>
        <v/>
      </c>
      <c r="Q64" s="40" t="str">
        <f>IF($K64="","",IFERROR(VLOOKUP(--SUBSTITUTE(SUBSTITUTE(TRIM($K64),"-","")," ",""),마스터시트!$A$2:$H$1946,6,FALSE),""))</f>
        <v/>
      </c>
      <c r="R64" s="41" t="str">
        <f>IF($K64="","",IFERROR(VLOOKUP(--SUBSTITUTE(SUBSTITUTE(TRIM($K64),"-","")," ",""),마스터시트!$A$2:$H$1946,7,FALSE),""))</f>
        <v/>
      </c>
      <c r="S64" s="39"/>
      <c r="T64" s="49" t="str">
        <f>IF($K64="","",파일1!$C59)</f>
        <v/>
      </c>
      <c r="U64" s="49" t="str">
        <f>IF($K64="","",파일1!$D59)</f>
        <v/>
      </c>
      <c r="V64" s="16"/>
      <c r="W64" s="14" t="str">
        <f t="shared" ca="1" si="20"/>
        <v/>
      </c>
      <c r="X64" s="16" t="s">
        <v>3024</v>
      </c>
      <c r="Y64" s="16" t="str">
        <f>IF($K64="","",파일1!#REF!)</f>
        <v/>
      </c>
      <c r="Z64" s="16" t="str">
        <f>IF($K64="","",IF(파일1!#REF!="",1,파일1!#REF!))</f>
        <v/>
      </c>
      <c r="AA64" s="16" t="str">
        <f>IF($K64="","",IF(파일1!#REF!="","",파일1!#REF!))</f>
        <v/>
      </c>
      <c r="AB64" s="49" t="str">
        <f>IF($K64="","",파일1!$C59)</f>
        <v/>
      </c>
      <c r="AC64" s="49" t="str">
        <f>IF($K64="","",파일1!$D59)</f>
        <v/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7" t="str">
        <f t="shared" si="21"/>
        <v/>
      </c>
    </row>
    <row r="65" spans="1:59" ht="24" customHeight="1" x14ac:dyDescent="0.3">
      <c r="A65" s="13" t="str">
        <f t="shared" si="11"/>
        <v/>
      </c>
      <c r="B65" s="51" t="str">
        <f ca="1">IF($K65="","",IF(파일1!#REF!="",TODAY(),파일1!#REF!))</f>
        <v/>
      </c>
      <c r="C65" s="14" t="str">
        <f t="shared" si="12"/>
        <v/>
      </c>
      <c r="D65" s="15" t="str">
        <f t="shared" si="13"/>
        <v/>
      </c>
      <c r="E65" s="14" t="str">
        <f t="shared" si="14"/>
        <v/>
      </c>
      <c r="F65" s="14" t="str">
        <f t="shared" si="15"/>
        <v/>
      </c>
      <c r="G65" s="16" t="str">
        <f t="shared" si="16"/>
        <v/>
      </c>
      <c r="H65" s="16" t="str">
        <f t="shared" si="17"/>
        <v/>
      </c>
      <c r="I65" s="16" t="str">
        <f t="shared" si="18"/>
        <v/>
      </c>
      <c r="J65" s="16" t="str">
        <f t="shared" si="19"/>
        <v/>
      </c>
      <c r="K65" s="54" t="str">
        <f>IF(파일1!$B60="","",TEXT(파일1!$B60,"0"))</f>
        <v/>
      </c>
      <c r="L65" s="16"/>
      <c r="M65" s="38" t="str">
        <f>IF($K65="","",IFERROR(VLOOKUP(--SUBSTITUTE(SUBSTITUTE(TRIM($K65),"-","")," ",""),마스터시트!$A$2:$H$1946,2,FALSE),"미등록"))</f>
        <v/>
      </c>
      <c r="N65" s="53" t="str">
        <f>IF($K65="","",IFERROR(VLOOKUP(--SUBSTITUTE(SUBSTITUTE(TRIM($K65),"-","")," ",""),마스터시트!$A$2:$H$1946,3,FALSE),"미등록"))</f>
        <v/>
      </c>
      <c r="O65" s="39" t="str">
        <f>IF($K65="","",IFERROR(VLOOKUP(--SUBSTITUTE(SUBSTITUTE(TRIM($K65),"-","")," ",""),마스터시트!$A$2:$H$1946,4,FALSE),""))</f>
        <v/>
      </c>
      <c r="P65" s="37" t="str">
        <f>IF($K65="","",IFERROR(VLOOKUP(--SUBSTITUTE(SUBSTITUTE(TRIM($K65),"-","")," ",""),마스터시트!$A$2:$H$1946,5,FALSE),""))</f>
        <v/>
      </c>
      <c r="Q65" s="40" t="str">
        <f>IF($K65="","",IFERROR(VLOOKUP(--SUBSTITUTE(SUBSTITUTE(TRIM($K65),"-","")," ",""),마스터시트!$A$2:$H$1946,6,FALSE),""))</f>
        <v/>
      </c>
      <c r="R65" s="41" t="str">
        <f>IF($K65="","",IFERROR(VLOOKUP(--SUBSTITUTE(SUBSTITUTE(TRIM($K65),"-","")," ",""),마스터시트!$A$2:$H$1946,7,FALSE),""))</f>
        <v/>
      </c>
      <c r="S65" s="39"/>
      <c r="T65" s="49" t="str">
        <f>IF($K65="","",파일1!$C60)</f>
        <v/>
      </c>
      <c r="U65" s="49" t="str">
        <f>IF($K65="","",파일1!$D60)</f>
        <v/>
      </c>
      <c r="V65" s="16"/>
      <c r="W65" s="14" t="str">
        <f t="shared" ca="1" si="20"/>
        <v/>
      </c>
      <c r="X65" s="16" t="s">
        <v>3024</v>
      </c>
      <c r="Y65" s="16" t="str">
        <f>IF($K65="","",파일1!#REF!)</f>
        <v/>
      </c>
      <c r="Z65" s="16" t="str">
        <f>IF($K65="","",IF(파일1!#REF!="",1,파일1!#REF!))</f>
        <v/>
      </c>
      <c r="AA65" s="16" t="str">
        <f>IF($K65="","",IF(파일1!#REF!="","",파일1!#REF!))</f>
        <v/>
      </c>
      <c r="AB65" s="49" t="str">
        <f>IF($K65="","",파일1!$C60)</f>
        <v/>
      </c>
      <c r="AC65" s="49" t="str">
        <f>IF($K65="","",파일1!$D60)</f>
        <v/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7" t="str">
        <f t="shared" si="21"/>
        <v/>
      </c>
    </row>
    <row r="66" spans="1:59" ht="24" customHeight="1" x14ac:dyDescent="0.3">
      <c r="A66" s="13" t="str">
        <f t="shared" si="11"/>
        <v/>
      </c>
      <c r="B66" s="51" t="str">
        <f ca="1">IF($K66="","",IF(파일1!#REF!="",TODAY(),파일1!#REF!))</f>
        <v/>
      </c>
      <c r="C66" s="14" t="str">
        <f t="shared" si="12"/>
        <v/>
      </c>
      <c r="D66" s="15" t="str">
        <f t="shared" si="13"/>
        <v/>
      </c>
      <c r="E66" s="14" t="str">
        <f t="shared" si="14"/>
        <v/>
      </c>
      <c r="F66" s="14" t="str">
        <f t="shared" si="15"/>
        <v/>
      </c>
      <c r="G66" s="16" t="str">
        <f t="shared" si="16"/>
        <v/>
      </c>
      <c r="H66" s="16" t="str">
        <f t="shared" si="17"/>
        <v/>
      </c>
      <c r="I66" s="16" t="str">
        <f t="shared" si="18"/>
        <v/>
      </c>
      <c r="J66" s="16" t="str">
        <f t="shared" si="19"/>
        <v/>
      </c>
      <c r="K66" s="54" t="str">
        <f>IF(파일1!$B61="","",TEXT(파일1!$B61,"0"))</f>
        <v/>
      </c>
      <c r="L66" s="16"/>
      <c r="M66" s="38" t="str">
        <f>IF($K66="","",IFERROR(VLOOKUP(--SUBSTITUTE(SUBSTITUTE(TRIM($K66),"-","")," ",""),마스터시트!$A$2:$H$1946,2,FALSE),"미등록"))</f>
        <v/>
      </c>
      <c r="N66" s="53" t="str">
        <f>IF($K66="","",IFERROR(VLOOKUP(--SUBSTITUTE(SUBSTITUTE(TRIM($K66),"-","")," ",""),마스터시트!$A$2:$H$1946,3,FALSE),"미등록"))</f>
        <v/>
      </c>
      <c r="O66" s="39" t="str">
        <f>IF($K66="","",IFERROR(VLOOKUP(--SUBSTITUTE(SUBSTITUTE(TRIM($K66),"-","")," ",""),마스터시트!$A$2:$H$1946,4,FALSE),""))</f>
        <v/>
      </c>
      <c r="P66" s="37" t="str">
        <f>IF($K66="","",IFERROR(VLOOKUP(--SUBSTITUTE(SUBSTITUTE(TRIM($K66),"-","")," ",""),마스터시트!$A$2:$H$1946,5,FALSE),""))</f>
        <v/>
      </c>
      <c r="Q66" s="40" t="str">
        <f>IF($K66="","",IFERROR(VLOOKUP(--SUBSTITUTE(SUBSTITUTE(TRIM($K66),"-","")," ",""),마스터시트!$A$2:$H$1946,6,FALSE),""))</f>
        <v/>
      </c>
      <c r="R66" s="41" t="str">
        <f>IF($K66="","",IFERROR(VLOOKUP(--SUBSTITUTE(SUBSTITUTE(TRIM($K66),"-","")," ",""),마스터시트!$A$2:$H$1946,7,FALSE),""))</f>
        <v/>
      </c>
      <c r="S66" s="39"/>
      <c r="T66" s="49" t="str">
        <f>IF($K66="","",파일1!$C61)</f>
        <v/>
      </c>
      <c r="U66" s="49" t="str">
        <f>IF($K66="","",파일1!$D61)</f>
        <v/>
      </c>
      <c r="V66" s="16"/>
      <c r="W66" s="14" t="str">
        <f t="shared" ca="1" si="20"/>
        <v/>
      </c>
      <c r="X66" s="16" t="s">
        <v>3024</v>
      </c>
      <c r="Y66" s="16" t="str">
        <f>IF($K66="","",파일1!#REF!)</f>
        <v/>
      </c>
      <c r="Z66" s="16" t="str">
        <f>IF($K66="","",IF(파일1!#REF!="",1,파일1!#REF!))</f>
        <v/>
      </c>
      <c r="AA66" s="16" t="str">
        <f>IF($K66="","",IF(파일1!#REF!="","",파일1!#REF!))</f>
        <v/>
      </c>
      <c r="AB66" s="49" t="str">
        <f>IF($K66="","",파일1!$C61)</f>
        <v/>
      </c>
      <c r="AC66" s="49" t="str">
        <f>IF($K66="","",파일1!$D61)</f>
        <v/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7" t="str">
        <f t="shared" si="21"/>
        <v/>
      </c>
    </row>
    <row r="67" spans="1:59" ht="24" customHeight="1" x14ac:dyDescent="0.3">
      <c r="A67" s="13" t="str">
        <f t="shared" si="11"/>
        <v/>
      </c>
      <c r="B67" s="51" t="str">
        <f ca="1">IF($K67="","",IF(파일1!#REF!="",TODAY(),파일1!#REF!))</f>
        <v/>
      </c>
      <c r="C67" s="14" t="str">
        <f t="shared" si="12"/>
        <v/>
      </c>
      <c r="D67" s="15" t="str">
        <f t="shared" si="13"/>
        <v/>
      </c>
      <c r="E67" s="14" t="str">
        <f t="shared" si="14"/>
        <v/>
      </c>
      <c r="F67" s="14" t="str">
        <f t="shared" si="15"/>
        <v/>
      </c>
      <c r="G67" s="16" t="str">
        <f t="shared" si="16"/>
        <v/>
      </c>
      <c r="H67" s="16" t="str">
        <f t="shared" si="17"/>
        <v/>
      </c>
      <c r="I67" s="16" t="str">
        <f t="shared" si="18"/>
        <v/>
      </c>
      <c r="J67" s="16" t="str">
        <f t="shared" si="19"/>
        <v/>
      </c>
      <c r="K67" s="54" t="str">
        <f>IF(파일1!$B62="","",TEXT(파일1!$B62,"0"))</f>
        <v/>
      </c>
      <c r="L67" s="16"/>
      <c r="M67" s="38" t="str">
        <f>IF($K67="","",IFERROR(VLOOKUP(--SUBSTITUTE(SUBSTITUTE(TRIM($K67),"-","")," ",""),마스터시트!$A$2:$H$1946,2,FALSE),"미등록"))</f>
        <v/>
      </c>
      <c r="N67" s="53" t="str">
        <f>IF($K67="","",IFERROR(VLOOKUP(--SUBSTITUTE(SUBSTITUTE(TRIM($K67),"-","")," ",""),마스터시트!$A$2:$H$1946,3,FALSE),"미등록"))</f>
        <v/>
      </c>
      <c r="O67" s="39" t="str">
        <f>IF($K67="","",IFERROR(VLOOKUP(--SUBSTITUTE(SUBSTITUTE(TRIM($K67),"-","")," ",""),마스터시트!$A$2:$H$1946,4,FALSE),""))</f>
        <v/>
      </c>
      <c r="P67" s="37" t="str">
        <f>IF($K67="","",IFERROR(VLOOKUP(--SUBSTITUTE(SUBSTITUTE(TRIM($K67),"-","")," ",""),마스터시트!$A$2:$H$1946,5,FALSE),""))</f>
        <v/>
      </c>
      <c r="Q67" s="40" t="str">
        <f>IF($K67="","",IFERROR(VLOOKUP(--SUBSTITUTE(SUBSTITUTE(TRIM($K67),"-","")," ",""),마스터시트!$A$2:$H$1946,6,FALSE),""))</f>
        <v/>
      </c>
      <c r="R67" s="41" t="str">
        <f>IF($K67="","",IFERROR(VLOOKUP(--SUBSTITUTE(SUBSTITUTE(TRIM($K67),"-","")," ",""),마스터시트!$A$2:$H$1946,7,FALSE),""))</f>
        <v/>
      </c>
      <c r="S67" s="39"/>
      <c r="T67" s="49" t="str">
        <f>IF($K67="","",파일1!$C62)</f>
        <v/>
      </c>
      <c r="U67" s="49" t="str">
        <f>IF($K67="","",파일1!$D62)</f>
        <v/>
      </c>
      <c r="V67" s="16"/>
      <c r="W67" s="14" t="str">
        <f t="shared" ca="1" si="20"/>
        <v/>
      </c>
      <c r="X67" s="16" t="s">
        <v>3024</v>
      </c>
      <c r="Y67" s="16" t="str">
        <f>IF($K67="","",파일1!#REF!)</f>
        <v/>
      </c>
      <c r="Z67" s="16" t="str">
        <f>IF($K67="","",IF(파일1!#REF!="",1,파일1!#REF!))</f>
        <v/>
      </c>
      <c r="AA67" s="16" t="str">
        <f>IF($K67="","",IF(파일1!#REF!="","",파일1!#REF!))</f>
        <v/>
      </c>
      <c r="AB67" s="49" t="str">
        <f>IF($K67="","",파일1!$C62)</f>
        <v/>
      </c>
      <c r="AC67" s="49" t="str">
        <f>IF($K67="","",파일1!$D62)</f>
        <v/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7" t="str">
        <f t="shared" si="21"/>
        <v/>
      </c>
    </row>
    <row r="68" spans="1:59" ht="24" customHeight="1" x14ac:dyDescent="0.3">
      <c r="A68" s="13" t="str">
        <f t="shared" si="11"/>
        <v/>
      </c>
      <c r="B68" s="51" t="str">
        <f ca="1">IF($K68="","",IF(파일1!#REF!="",TODAY(),파일1!#REF!))</f>
        <v/>
      </c>
      <c r="C68" s="14" t="str">
        <f t="shared" si="12"/>
        <v/>
      </c>
      <c r="D68" s="15" t="str">
        <f t="shared" si="13"/>
        <v/>
      </c>
      <c r="E68" s="14" t="str">
        <f t="shared" si="14"/>
        <v/>
      </c>
      <c r="F68" s="14" t="str">
        <f t="shared" si="15"/>
        <v/>
      </c>
      <c r="G68" s="16" t="str">
        <f t="shared" si="16"/>
        <v/>
      </c>
      <c r="H68" s="16" t="str">
        <f t="shared" si="17"/>
        <v/>
      </c>
      <c r="I68" s="16" t="str">
        <f t="shared" si="18"/>
        <v/>
      </c>
      <c r="J68" s="16" t="str">
        <f t="shared" si="19"/>
        <v/>
      </c>
      <c r="K68" s="54" t="str">
        <f>IF(파일1!$B63="","",TEXT(파일1!$B63,"0"))</f>
        <v/>
      </c>
      <c r="L68" s="16"/>
      <c r="M68" s="38" t="str">
        <f>IF($K68="","",IFERROR(VLOOKUP(--SUBSTITUTE(SUBSTITUTE(TRIM($K68),"-","")," ",""),마스터시트!$A$2:$H$1946,2,FALSE),"미등록"))</f>
        <v/>
      </c>
      <c r="N68" s="53" t="str">
        <f>IF($K68="","",IFERROR(VLOOKUP(--SUBSTITUTE(SUBSTITUTE(TRIM($K68),"-","")," ",""),마스터시트!$A$2:$H$1946,3,FALSE),"미등록"))</f>
        <v/>
      </c>
      <c r="O68" s="39" t="str">
        <f>IF($K68="","",IFERROR(VLOOKUP(--SUBSTITUTE(SUBSTITUTE(TRIM($K68),"-","")," ",""),마스터시트!$A$2:$H$1946,4,FALSE),""))</f>
        <v/>
      </c>
      <c r="P68" s="37" t="str">
        <f>IF($K68="","",IFERROR(VLOOKUP(--SUBSTITUTE(SUBSTITUTE(TRIM($K68),"-","")," ",""),마스터시트!$A$2:$H$1946,5,FALSE),""))</f>
        <v/>
      </c>
      <c r="Q68" s="40" t="str">
        <f>IF($K68="","",IFERROR(VLOOKUP(--SUBSTITUTE(SUBSTITUTE(TRIM($K68),"-","")," ",""),마스터시트!$A$2:$H$1946,6,FALSE),""))</f>
        <v/>
      </c>
      <c r="R68" s="41" t="str">
        <f>IF($K68="","",IFERROR(VLOOKUP(--SUBSTITUTE(SUBSTITUTE(TRIM($K68),"-","")," ",""),마스터시트!$A$2:$H$1946,7,FALSE),""))</f>
        <v/>
      </c>
      <c r="S68" s="39"/>
      <c r="T68" s="49" t="str">
        <f>IF($K68="","",파일1!$C63)</f>
        <v/>
      </c>
      <c r="U68" s="49" t="str">
        <f>IF($K68="","",파일1!$D63)</f>
        <v/>
      </c>
      <c r="V68" s="16"/>
      <c r="W68" s="14" t="str">
        <f t="shared" ca="1" si="20"/>
        <v/>
      </c>
      <c r="X68" s="16" t="s">
        <v>3024</v>
      </c>
      <c r="Y68" s="16" t="str">
        <f>IF($K68="","",파일1!#REF!)</f>
        <v/>
      </c>
      <c r="Z68" s="16" t="str">
        <f>IF($K68="","",IF(파일1!#REF!="",1,파일1!#REF!))</f>
        <v/>
      </c>
      <c r="AA68" s="16" t="str">
        <f>IF($K68="","",IF(파일1!#REF!="","",파일1!#REF!))</f>
        <v/>
      </c>
      <c r="AB68" s="49" t="str">
        <f>IF($K68="","",파일1!$C63)</f>
        <v/>
      </c>
      <c r="AC68" s="49" t="str">
        <f>IF($K68="","",파일1!$D63)</f>
        <v/>
      </c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7" t="str">
        <f t="shared" si="21"/>
        <v/>
      </c>
    </row>
    <row r="69" spans="1:59" ht="24" customHeight="1" x14ac:dyDescent="0.3">
      <c r="A69" s="13" t="str">
        <f t="shared" si="11"/>
        <v/>
      </c>
      <c r="B69" s="51" t="str">
        <f ca="1">IF($K69="","",IF(파일1!#REF!="",TODAY(),파일1!#REF!))</f>
        <v/>
      </c>
      <c r="C69" s="14" t="str">
        <f t="shared" si="12"/>
        <v/>
      </c>
      <c r="D69" s="15" t="str">
        <f t="shared" si="13"/>
        <v/>
      </c>
      <c r="E69" s="14" t="str">
        <f t="shared" si="14"/>
        <v/>
      </c>
      <c r="F69" s="14" t="str">
        <f t="shared" si="15"/>
        <v/>
      </c>
      <c r="G69" s="16" t="str">
        <f t="shared" si="16"/>
        <v/>
      </c>
      <c r="H69" s="16" t="str">
        <f t="shared" si="17"/>
        <v/>
      </c>
      <c r="I69" s="16" t="str">
        <f t="shared" si="18"/>
        <v/>
      </c>
      <c r="J69" s="16" t="str">
        <f t="shared" si="19"/>
        <v/>
      </c>
      <c r="K69" s="54" t="str">
        <f>IF(파일1!$B64="","",TEXT(파일1!$B64,"0"))</f>
        <v/>
      </c>
      <c r="L69" s="16"/>
      <c r="M69" s="38" t="str">
        <f>IF($K69="","",IFERROR(VLOOKUP(--SUBSTITUTE(SUBSTITUTE(TRIM($K69),"-","")," ",""),마스터시트!$A$2:$H$1946,2,FALSE),"미등록"))</f>
        <v/>
      </c>
      <c r="N69" s="53" t="str">
        <f>IF($K69="","",IFERROR(VLOOKUP(--SUBSTITUTE(SUBSTITUTE(TRIM($K69),"-","")," ",""),마스터시트!$A$2:$H$1946,3,FALSE),"미등록"))</f>
        <v/>
      </c>
      <c r="O69" s="39" t="str">
        <f>IF($K69="","",IFERROR(VLOOKUP(--SUBSTITUTE(SUBSTITUTE(TRIM($K69),"-","")," ",""),마스터시트!$A$2:$H$1946,4,FALSE),""))</f>
        <v/>
      </c>
      <c r="P69" s="37" t="str">
        <f>IF($K69="","",IFERROR(VLOOKUP(--SUBSTITUTE(SUBSTITUTE(TRIM($K69),"-","")," ",""),마스터시트!$A$2:$H$1946,5,FALSE),""))</f>
        <v/>
      </c>
      <c r="Q69" s="40" t="str">
        <f>IF($K69="","",IFERROR(VLOOKUP(--SUBSTITUTE(SUBSTITUTE(TRIM($K69),"-","")," ",""),마스터시트!$A$2:$H$1946,6,FALSE),""))</f>
        <v/>
      </c>
      <c r="R69" s="41" t="str">
        <f>IF($K69="","",IFERROR(VLOOKUP(--SUBSTITUTE(SUBSTITUTE(TRIM($K69),"-","")," ",""),마스터시트!$A$2:$H$1946,7,FALSE),""))</f>
        <v/>
      </c>
      <c r="S69" s="39"/>
      <c r="T69" s="49" t="str">
        <f>IF($K69="","",파일1!$C64)</f>
        <v/>
      </c>
      <c r="U69" s="49" t="str">
        <f>IF($K69="","",파일1!$D64)</f>
        <v/>
      </c>
      <c r="V69" s="16"/>
      <c r="W69" s="14" t="str">
        <f t="shared" ca="1" si="20"/>
        <v/>
      </c>
      <c r="X69" s="16" t="s">
        <v>3024</v>
      </c>
      <c r="Y69" s="16" t="str">
        <f>IF($K69="","",파일1!#REF!)</f>
        <v/>
      </c>
      <c r="Z69" s="16" t="str">
        <f>IF($K69="","",IF(파일1!#REF!="",1,파일1!#REF!))</f>
        <v/>
      </c>
      <c r="AA69" s="16" t="str">
        <f>IF($K69="","",IF(파일1!#REF!="","",파일1!#REF!))</f>
        <v/>
      </c>
      <c r="AB69" s="49" t="str">
        <f>IF($K69="","",파일1!$C64)</f>
        <v/>
      </c>
      <c r="AC69" s="49" t="str">
        <f>IF($K69="","",파일1!$D64)</f>
        <v/>
      </c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7" t="str">
        <f t="shared" si="21"/>
        <v/>
      </c>
    </row>
    <row r="70" spans="1:59" ht="24" customHeight="1" x14ac:dyDescent="0.3">
      <c r="A70" s="13" t="str">
        <f t="shared" si="11"/>
        <v/>
      </c>
      <c r="B70" s="51" t="str">
        <f ca="1">IF($K70="","",IF(파일1!#REF!="",TODAY(),파일1!#REF!))</f>
        <v/>
      </c>
      <c r="C70" s="14" t="str">
        <f t="shared" si="12"/>
        <v/>
      </c>
      <c r="D70" s="15" t="str">
        <f t="shared" si="13"/>
        <v/>
      </c>
      <c r="E70" s="14" t="str">
        <f t="shared" si="14"/>
        <v/>
      </c>
      <c r="F70" s="14" t="str">
        <f t="shared" si="15"/>
        <v/>
      </c>
      <c r="G70" s="16" t="str">
        <f t="shared" si="16"/>
        <v/>
      </c>
      <c r="H70" s="16" t="str">
        <f t="shared" si="17"/>
        <v/>
      </c>
      <c r="I70" s="16" t="str">
        <f t="shared" si="18"/>
        <v/>
      </c>
      <c r="J70" s="16" t="str">
        <f t="shared" si="19"/>
        <v/>
      </c>
      <c r="K70" s="54" t="str">
        <f>IF(파일1!$B65="","",TEXT(파일1!$B65,"0"))</f>
        <v/>
      </c>
      <c r="L70" s="16"/>
      <c r="M70" s="38" t="str">
        <f>IF($K70="","",IFERROR(VLOOKUP(--SUBSTITUTE(SUBSTITUTE(TRIM($K70),"-","")," ",""),마스터시트!$A$2:$H$1946,2,FALSE),"미등록"))</f>
        <v/>
      </c>
      <c r="N70" s="53" t="str">
        <f>IF($K70="","",IFERROR(VLOOKUP(--SUBSTITUTE(SUBSTITUTE(TRIM($K70),"-","")," ",""),마스터시트!$A$2:$H$1946,3,FALSE),"미등록"))</f>
        <v/>
      </c>
      <c r="O70" s="39" t="str">
        <f>IF($K70="","",IFERROR(VLOOKUP(--SUBSTITUTE(SUBSTITUTE(TRIM($K70),"-","")," ",""),마스터시트!$A$2:$H$1946,4,FALSE),""))</f>
        <v/>
      </c>
      <c r="P70" s="37" t="str">
        <f>IF($K70="","",IFERROR(VLOOKUP(--SUBSTITUTE(SUBSTITUTE(TRIM($K70),"-","")," ",""),마스터시트!$A$2:$H$1946,5,FALSE),""))</f>
        <v/>
      </c>
      <c r="Q70" s="40" t="str">
        <f>IF($K70="","",IFERROR(VLOOKUP(--SUBSTITUTE(SUBSTITUTE(TRIM($K70),"-","")," ",""),마스터시트!$A$2:$H$1946,6,FALSE),""))</f>
        <v/>
      </c>
      <c r="R70" s="41" t="str">
        <f>IF($K70="","",IFERROR(VLOOKUP(--SUBSTITUTE(SUBSTITUTE(TRIM($K70),"-","")," ",""),마스터시트!$A$2:$H$1946,7,FALSE),""))</f>
        <v/>
      </c>
      <c r="S70" s="39"/>
      <c r="T70" s="49" t="str">
        <f>IF($K70="","",파일1!$C65)</f>
        <v/>
      </c>
      <c r="U70" s="49" t="str">
        <f>IF($K70="","",파일1!$D65)</f>
        <v/>
      </c>
      <c r="V70" s="16"/>
      <c r="W70" s="14" t="str">
        <f t="shared" ca="1" si="20"/>
        <v/>
      </c>
      <c r="X70" s="16" t="s">
        <v>3024</v>
      </c>
      <c r="Y70" s="16" t="str">
        <f>IF($K70="","",파일1!#REF!)</f>
        <v/>
      </c>
      <c r="Z70" s="16" t="str">
        <f>IF($K70="","",IF(파일1!#REF!="",1,파일1!#REF!))</f>
        <v/>
      </c>
      <c r="AA70" s="16" t="str">
        <f>IF($K70="","",IF(파일1!#REF!="","",파일1!#REF!))</f>
        <v/>
      </c>
      <c r="AB70" s="49" t="str">
        <f>IF($K70="","",파일1!$C65)</f>
        <v/>
      </c>
      <c r="AC70" s="49" t="str">
        <f>IF($K70="","",파일1!$D65)</f>
        <v/>
      </c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7" t="str">
        <f t="shared" si="21"/>
        <v/>
      </c>
    </row>
    <row r="71" spans="1:59" ht="24" customHeight="1" x14ac:dyDescent="0.3">
      <c r="A71" s="13" t="str">
        <f t="shared" ref="A71:A106" si="22">IF($K71="","","01")</f>
        <v/>
      </c>
      <c r="B71" s="51" t="str">
        <f ca="1">IF($K71="","",IF(파일1!#REF!="",TODAY(),파일1!#REF!))</f>
        <v/>
      </c>
      <c r="C71" s="14" t="str">
        <f t="shared" ref="C71:C106" si="23">IF($K71="","","4031409207")</f>
        <v/>
      </c>
      <c r="D71" s="15" t="str">
        <f t="shared" ref="D71:D106" si="24">IF($K71="","","")</f>
        <v/>
      </c>
      <c r="E71" s="14" t="str">
        <f t="shared" ref="E71:E106" si="25">IF($K71="","","오성AIT")</f>
        <v/>
      </c>
      <c r="F71" s="14" t="str">
        <f t="shared" ref="F71:F106" si="26">IF($K71="","","이후종")</f>
        <v/>
      </c>
      <c r="G71" s="16" t="str">
        <f t="shared" ref="G71:G106" si="27">IF($K71="","","전북 익산시 오산면 오산로 151")</f>
        <v/>
      </c>
      <c r="H71" s="16" t="str">
        <f t="shared" ref="H71:H106" si="28">IF($K71="","","도/소매")</f>
        <v/>
      </c>
      <c r="I71" s="16" t="str">
        <f t="shared" ref="I71:I106" si="29">IF($K71="","","철물/건재")</f>
        <v/>
      </c>
      <c r="J71" s="16" t="str">
        <f t="shared" ref="J71:J106" si="30">IF($K71="","","ohsungait@naver.com")</f>
        <v/>
      </c>
      <c r="K71" s="54" t="str">
        <f>IF(파일1!$B66="","",TEXT(파일1!$B66,"0"))</f>
        <v/>
      </c>
      <c r="L71" s="16"/>
      <c r="M71" s="38" t="str">
        <f>IF($K71="","",IFERROR(VLOOKUP(--SUBSTITUTE(SUBSTITUTE(TRIM($K71),"-","")," ",""),마스터시트!$A$2:$H$1946,2,FALSE),"미등록"))</f>
        <v/>
      </c>
      <c r="N71" s="53" t="str">
        <f>IF($K71="","",IFERROR(VLOOKUP(--SUBSTITUTE(SUBSTITUTE(TRIM($K71),"-","")," ",""),마스터시트!$A$2:$H$1946,3,FALSE),"미등록"))</f>
        <v/>
      </c>
      <c r="O71" s="39" t="str">
        <f>IF($K71="","",IFERROR(VLOOKUP(--SUBSTITUTE(SUBSTITUTE(TRIM($K71),"-","")," ",""),마스터시트!$A$2:$H$1946,4,FALSE),""))</f>
        <v/>
      </c>
      <c r="P71" s="37" t="str">
        <f>IF($K71="","",IFERROR(VLOOKUP(--SUBSTITUTE(SUBSTITUTE(TRIM($K71),"-","")," ",""),마스터시트!$A$2:$H$1946,5,FALSE),""))</f>
        <v/>
      </c>
      <c r="Q71" s="40" t="str">
        <f>IF($K71="","",IFERROR(VLOOKUP(--SUBSTITUTE(SUBSTITUTE(TRIM($K71),"-","")," ",""),마스터시트!$A$2:$H$1946,6,FALSE),""))</f>
        <v/>
      </c>
      <c r="R71" s="41" t="str">
        <f>IF($K71="","",IFERROR(VLOOKUP(--SUBSTITUTE(SUBSTITUTE(TRIM($K71),"-","")," ",""),마스터시트!$A$2:$H$1946,7,FALSE),""))</f>
        <v/>
      </c>
      <c r="S71" s="39"/>
      <c r="T71" s="49" t="str">
        <f>IF($K71="","",파일1!$C66)</f>
        <v/>
      </c>
      <c r="U71" s="49" t="str">
        <f>IF($K71="","",파일1!$D66)</f>
        <v/>
      </c>
      <c r="V71" s="16"/>
      <c r="W71" s="14" t="str">
        <f t="shared" ref="W71:W106" ca="1" si="31">IF($B71="","",TEXT($B71,"dd"))</f>
        <v/>
      </c>
      <c r="X71" s="16" t="s">
        <v>3024</v>
      </c>
      <c r="Y71" s="16" t="str">
        <f>IF($K71="","",파일1!#REF!)</f>
        <v/>
      </c>
      <c r="Z71" s="16" t="str">
        <f>IF($K71="","",IF(파일1!#REF!="",1,파일1!#REF!))</f>
        <v/>
      </c>
      <c r="AA71" s="16" t="str">
        <f>IF($K71="","",IF(파일1!#REF!="","",파일1!#REF!))</f>
        <v/>
      </c>
      <c r="AB71" s="49" t="str">
        <f>IF($K71="","",파일1!$C66)</f>
        <v/>
      </c>
      <c r="AC71" s="49" t="str">
        <f>IF($K71="","",파일1!$D66)</f>
        <v/>
      </c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7" t="str">
        <f t="shared" ref="BG71:BG106" si="32">IF($K71="","","02")</f>
        <v/>
      </c>
    </row>
    <row r="72" spans="1:59" ht="24" customHeight="1" x14ac:dyDescent="0.3">
      <c r="A72" s="13" t="str">
        <f t="shared" si="22"/>
        <v/>
      </c>
      <c r="B72" s="51" t="str">
        <f ca="1">IF($K72="","",IF(파일1!#REF!="",TODAY(),파일1!#REF!))</f>
        <v/>
      </c>
      <c r="C72" s="14" t="str">
        <f t="shared" si="23"/>
        <v/>
      </c>
      <c r="D72" s="15" t="str">
        <f t="shared" si="24"/>
        <v/>
      </c>
      <c r="E72" s="14" t="str">
        <f t="shared" si="25"/>
        <v/>
      </c>
      <c r="F72" s="14" t="str">
        <f t="shared" si="26"/>
        <v/>
      </c>
      <c r="G72" s="16" t="str">
        <f t="shared" si="27"/>
        <v/>
      </c>
      <c r="H72" s="16" t="str">
        <f t="shared" si="28"/>
        <v/>
      </c>
      <c r="I72" s="16" t="str">
        <f t="shared" si="29"/>
        <v/>
      </c>
      <c r="J72" s="16" t="str">
        <f t="shared" si="30"/>
        <v/>
      </c>
      <c r="K72" s="54" t="str">
        <f>IF(파일1!$B67="","",TEXT(파일1!$B67,"0"))</f>
        <v/>
      </c>
      <c r="L72" s="16"/>
      <c r="M72" s="38" t="str">
        <f>IF($K72="","",IFERROR(VLOOKUP(--SUBSTITUTE(SUBSTITUTE(TRIM($K72),"-","")," ",""),마스터시트!$A$2:$H$1946,2,FALSE),"미등록"))</f>
        <v/>
      </c>
      <c r="N72" s="53" t="str">
        <f>IF($K72="","",IFERROR(VLOOKUP(--SUBSTITUTE(SUBSTITUTE(TRIM($K72),"-","")," ",""),마스터시트!$A$2:$H$1946,3,FALSE),"미등록"))</f>
        <v/>
      </c>
      <c r="O72" s="39" t="str">
        <f>IF($K72="","",IFERROR(VLOOKUP(--SUBSTITUTE(SUBSTITUTE(TRIM($K72),"-","")," ",""),마스터시트!$A$2:$H$1946,4,FALSE),""))</f>
        <v/>
      </c>
      <c r="P72" s="37" t="str">
        <f>IF($K72="","",IFERROR(VLOOKUP(--SUBSTITUTE(SUBSTITUTE(TRIM($K72),"-","")," ",""),마스터시트!$A$2:$H$1946,5,FALSE),""))</f>
        <v/>
      </c>
      <c r="Q72" s="40" t="str">
        <f>IF($K72="","",IFERROR(VLOOKUP(--SUBSTITUTE(SUBSTITUTE(TRIM($K72),"-","")," ",""),마스터시트!$A$2:$H$1946,6,FALSE),""))</f>
        <v/>
      </c>
      <c r="R72" s="41" t="str">
        <f>IF($K72="","",IFERROR(VLOOKUP(--SUBSTITUTE(SUBSTITUTE(TRIM($K72),"-","")," ",""),마스터시트!$A$2:$H$1946,7,FALSE),""))</f>
        <v/>
      </c>
      <c r="S72" s="39"/>
      <c r="T72" s="49" t="str">
        <f>IF($K72="","",파일1!$C67)</f>
        <v/>
      </c>
      <c r="U72" s="49" t="str">
        <f>IF($K72="","",파일1!$D67)</f>
        <v/>
      </c>
      <c r="V72" s="16"/>
      <c r="W72" s="14" t="str">
        <f t="shared" ca="1" si="31"/>
        <v/>
      </c>
      <c r="X72" s="16" t="s">
        <v>3024</v>
      </c>
      <c r="Y72" s="16" t="str">
        <f>IF($K72="","",파일1!#REF!)</f>
        <v/>
      </c>
      <c r="Z72" s="16" t="str">
        <f>IF($K72="","",IF(파일1!#REF!="",1,파일1!#REF!))</f>
        <v/>
      </c>
      <c r="AA72" s="16" t="str">
        <f>IF($K72="","",IF(파일1!#REF!="","",파일1!#REF!))</f>
        <v/>
      </c>
      <c r="AB72" s="49" t="str">
        <f>IF($K72="","",파일1!$C67)</f>
        <v/>
      </c>
      <c r="AC72" s="49" t="str">
        <f>IF($K72="","",파일1!$D67)</f>
        <v/>
      </c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7" t="str">
        <f t="shared" si="32"/>
        <v/>
      </c>
    </row>
    <row r="73" spans="1:59" ht="24" customHeight="1" x14ac:dyDescent="0.3">
      <c r="A73" s="13" t="str">
        <f t="shared" si="22"/>
        <v/>
      </c>
      <c r="B73" s="51" t="str">
        <f ca="1">IF($K73="","",IF(파일1!#REF!="",TODAY(),파일1!#REF!))</f>
        <v/>
      </c>
      <c r="C73" s="14" t="str">
        <f t="shared" si="23"/>
        <v/>
      </c>
      <c r="D73" s="15" t="str">
        <f t="shared" si="24"/>
        <v/>
      </c>
      <c r="E73" s="14" t="str">
        <f t="shared" si="25"/>
        <v/>
      </c>
      <c r="F73" s="14" t="str">
        <f t="shared" si="26"/>
        <v/>
      </c>
      <c r="G73" s="16" t="str">
        <f t="shared" si="27"/>
        <v/>
      </c>
      <c r="H73" s="16" t="str">
        <f t="shared" si="28"/>
        <v/>
      </c>
      <c r="I73" s="16" t="str">
        <f t="shared" si="29"/>
        <v/>
      </c>
      <c r="J73" s="16" t="str">
        <f t="shared" si="30"/>
        <v/>
      </c>
      <c r="K73" s="54" t="str">
        <f>IF(파일1!$B68="","",TEXT(파일1!$B68,"0"))</f>
        <v/>
      </c>
      <c r="L73" s="16"/>
      <c r="M73" s="38" t="str">
        <f>IF($K73="","",IFERROR(VLOOKUP(--SUBSTITUTE(SUBSTITUTE(TRIM($K73),"-","")," ",""),마스터시트!$A$2:$H$1946,2,FALSE),"미등록"))</f>
        <v/>
      </c>
      <c r="N73" s="53" t="str">
        <f>IF($K73="","",IFERROR(VLOOKUP(--SUBSTITUTE(SUBSTITUTE(TRIM($K73),"-","")," ",""),마스터시트!$A$2:$H$1946,3,FALSE),"미등록"))</f>
        <v/>
      </c>
      <c r="O73" s="39" t="str">
        <f>IF($K73="","",IFERROR(VLOOKUP(--SUBSTITUTE(SUBSTITUTE(TRIM($K73),"-","")," ",""),마스터시트!$A$2:$H$1946,4,FALSE),""))</f>
        <v/>
      </c>
      <c r="P73" s="37" t="str">
        <f>IF($K73="","",IFERROR(VLOOKUP(--SUBSTITUTE(SUBSTITUTE(TRIM($K73),"-","")," ",""),마스터시트!$A$2:$H$1946,5,FALSE),""))</f>
        <v/>
      </c>
      <c r="Q73" s="40" t="str">
        <f>IF($K73="","",IFERROR(VLOOKUP(--SUBSTITUTE(SUBSTITUTE(TRIM($K73),"-","")," ",""),마스터시트!$A$2:$H$1946,6,FALSE),""))</f>
        <v/>
      </c>
      <c r="R73" s="41" t="str">
        <f>IF($K73="","",IFERROR(VLOOKUP(--SUBSTITUTE(SUBSTITUTE(TRIM($K73),"-","")," ",""),마스터시트!$A$2:$H$1946,7,FALSE),""))</f>
        <v/>
      </c>
      <c r="S73" s="39"/>
      <c r="T73" s="49" t="str">
        <f>IF($K73="","",파일1!$C68)</f>
        <v/>
      </c>
      <c r="U73" s="49" t="str">
        <f>IF($K73="","",파일1!$D68)</f>
        <v/>
      </c>
      <c r="V73" s="16"/>
      <c r="W73" s="14" t="str">
        <f t="shared" ca="1" si="31"/>
        <v/>
      </c>
      <c r="X73" s="16" t="s">
        <v>3024</v>
      </c>
      <c r="Y73" s="16" t="str">
        <f>IF($K73="","",파일1!#REF!)</f>
        <v/>
      </c>
      <c r="Z73" s="16" t="str">
        <f>IF($K73="","",IF(파일1!#REF!="",1,파일1!#REF!))</f>
        <v/>
      </c>
      <c r="AA73" s="16" t="str">
        <f>IF($K73="","",IF(파일1!#REF!="","",파일1!#REF!))</f>
        <v/>
      </c>
      <c r="AB73" s="49" t="str">
        <f>IF($K73="","",파일1!$C68)</f>
        <v/>
      </c>
      <c r="AC73" s="49" t="str">
        <f>IF($K73="","",파일1!$D68)</f>
        <v/>
      </c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7" t="str">
        <f t="shared" si="32"/>
        <v/>
      </c>
    </row>
    <row r="74" spans="1:59" ht="24" customHeight="1" x14ac:dyDescent="0.3">
      <c r="A74" s="13" t="str">
        <f t="shared" si="22"/>
        <v/>
      </c>
      <c r="B74" s="51" t="str">
        <f ca="1">IF($K74="","",IF(파일1!#REF!="",TODAY(),파일1!#REF!))</f>
        <v/>
      </c>
      <c r="C74" s="14" t="str">
        <f t="shared" si="23"/>
        <v/>
      </c>
      <c r="D74" s="15" t="str">
        <f t="shared" si="24"/>
        <v/>
      </c>
      <c r="E74" s="14" t="str">
        <f t="shared" si="25"/>
        <v/>
      </c>
      <c r="F74" s="14" t="str">
        <f t="shared" si="26"/>
        <v/>
      </c>
      <c r="G74" s="16" t="str">
        <f t="shared" si="27"/>
        <v/>
      </c>
      <c r="H74" s="16" t="str">
        <f t="shared" si="28"/>
        <v/>
      </c>
      <c r="I74" s="16" t="str">
        <f t="shared" si="29"/>
        <v/>
      </c>
      <c r="J74" s="16" t="str">
        <f t="shared" si="30"/>
        <v/>
      </c>
      <c r="K74" s="54" t="str">
        <f>IF(파일1!$B69="","",TEXT(파일1!$B69,"0"))</f>
        <v/>
      </c>
      <c r="L74" s="16"/>
      <c r="M74" s="38" t="str">
        <f>IF($K74="","",IFERROR(VLOOKUP(--SUBSTITUTE(SUBSTITUTE(TRIM($K74),"-","")," ",""),마스터시트!$A$2:$H$1946,2,FALSE),"미등록"))</f>
        <v/>
      </c>
      <c r="N74" s="53" t="str">
        <f>IF($K74="","",IFERROR(VLOOKUP(--SUBSTITUTE(SUBSTITUTE(TRIM($K74),"-","")," ",""),마스터시트!$A$2:$H$1946,3,FALSE),"미등록"))</f>
        <v/>
      </c>
      <c r="O74" s="39" t="str">
        <f>IF($K74="","",IFERROR(VLOOKUP(--SUBSTITUTE(SUBSTITUTE(TRIM($K74),"-","")," ",""),마스터시트!$A$2:$H$1946,4,FALSE),""))</f>
        <v/>
      </c>
      <c r="P74" s="37" t="str">
        <f>IF($K74="","",IFERROR(VLOOKUP(--SUBSTITUTE(SUBSTITUTE(TRIM($K74),"-","")," ",""),마스터시트!$A$2:$H$1946,5,FALSE),""))</f>
        <v/>
      </c>
      <c r="Q74" s="40" t="str">
        <f>IF($K74="","",IFERROR(VLOOKUP(--SUBSTITUTE(SUBSTITUTE(TRIM($K74),"-","")," ",""),마스터시트!$A$2:$H$1946,6,FALSE),""))</f>
        <v/>
      </c>
      <c r="R74" s="41" t="str">
        <f>IF($K74="","",IFERROR(VLOOKUP(--SUBSTITUTE(SUBSTITUTE(TRIM($K74),"-","")," ",""),마스터시트!$A$2:$H$1946,7,FALSE),""))</f>
        <v/>
      </c>
      <c r="S74" s="39"/>
      <c r="T74" s="49" t="str">
        <f>IF($K74="","",파일1!$C69)</f>
        <v/>
      </c>
      <c r="U74" s="49" t="str">
        <f>IF($K74="","",파일1!$D69)</f>
        <v/>
      </c>
      <c r="V74" s="16"/>
      <c r="W74" s="14" t="str">
        <f t="shared" ca="1" si="31"/>
        <v/>
      </c>
      <c r="X74" s="16" t="s">
        <v>3024</v>
      </c>
      <c r="Y74" s="16" t="str">
        <f>IF($K74="","",파일1!#REF!)</f>
        <v/>
      </c>
      <c r="Z74" s="16" t="str">
        <f>IF($K74="","",IF(파일1!#REF!="",1,파일1!#REF!))</f>
        <v/>
      </c>
      <c r="AA74" s="16" t="str">
        <f>IF($K74="","",IF(파일1!#REF!="","",파일1!#REF!))</f>
        <v/>
      </c>
      <c r="AB74" s="49" t="str">
        <f>IF($K74="","",파일1!$C69)</f>
        <v/>
      </c>
      <c r="AC74" s="49" t="str">
        <f>IF($K74="","",파일1!$D69)</f>
        <v/>
      </c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7" t="str">
        <f t="shared" si="32"/>
        <v/>
      </c>
    </row>
    <row r="75" spans="1:59" ht="24" customHeight="1" x14ac:dyDescent="0.3">
      <c r="A75" s="13" t="str">
        <f t="shared" si="22"/>
        <v/>
      </c>
      <c r="B75" s="51" t="str">
        <f ca="1">IF($K75="","",IF(파일1!#REF!="",TODAY(),파일1!#REF!))</f>
        <v/>
      </c>
      <c r="C75" s="14" t="str">
        <f t="shared" si="23"/>
        <v/>
      </c>
      <c r="D75" s="15" t="str">
        <f t="shared" si="24"/>
        <v/>
      </c>
      <c r="E75" s="14" t="str">
        <f t="shared" si="25"/>
        <v/>
      </c>
      <c r="F75" s="14" t="str">
        <f t="shared" si="26"/>
        <v/>
      </c>
      <c r="G75" s="16" t="str">
        <f t="shared" si="27"/>
        <v/>
      </c>
      <c r="H75" s="16" t="str">
        <f t="shared" si="28"/>
        <v/>
      </c>
      <c r="I75" s="16" t="str">
        <f t="shared" si="29"/>
        <v/>
      </c>
      <c r="J75" s="16" t="str">
        <f t="shared" si="30"/>
        <v/>
      </c>
      <c r="K75" s="54" t="str">
        <f>IF(파일1!$B70="","",TEXT(파일1!$B70,"0"))</f>
        <v/>
      </c>
      <c r="L75" s="16"/>
      <c r="M75" s="38" t="str">
        <f>IF($K75="","",IFERROR(VLOOKUP(--SUBSTITUTE(SUBSTITUTE(TRIM($K75),"-","")," ",""),마스터시트!$A$2:$H$1946,2,FALSE),"미등록"))</f>
        <v/>
      </c>
      <c r="N75" s="53" t="str">
        <f>IF($K75="","",IFERROR(VLOOKUP(--SUBSTITUTE(SUBSTITUTE(TRIM($K75),"-","")," ",""),마스터시트!$A$2:$H$1946,3,FALSE),"미등록"))</f>
        <v/>
      </c>
      <c r="O75" s="39" t="str">
        <f>IF($K75="","",IFERROR(VLOOKUP(--SUBSTITUTE(SUBSTITUTE(TRIM($K75),"-","")," ",""),마스터시트!$A$2:$H$1946,4,FALSE),""))</f>
        <v/>
      </c>
      <c r="P75" s="37" t="str">
        <f>IF($K75="","",IFERROR(VLOOKUP(--SUBSTITUTE(SUBSTITUTE(TRIM($K75),"-","")," ",""),마스터시트!$A$2:$H$1946,5,FALSE),""))</f>
        <v/>
      </c>
      <c r="Q75" s="40" t="str">
        <f>IF($K75="","",IFERROR(VLOOKUP(--SUBSTITUTE(SUBSTITUTE(TRIM($K75),"-","")," ",""),마스터시트!$A$2:$H$1946,6,FALSE),""))</f>
        <v/>
      </c>
      <c r="R75" s="41" t="str">
        <f>IF($K75="","",IFERROR(VLOOKUP(--SUBSTITUTE(SUBSTITUTE(TRIM($K75),"-","")," ",""),마스터시트!$A$2:$H$1946,7,FALSE),""))</f>
        <v/>
      </c>
      <c r="S75" s="39"/>
      <c r="T75" s="49" t="str">
        <f>IF($K75="","",파일1!$C70)</f>
        <v/>
      </c>
      <c r="U75" s="49" t="str">
        <f>IF($K75="","",파일1!$D70)</f>
        <v/>
      </c>
      <c r="V75" s="16"/>
      <c r="W75" s="14" t="str">
        <f t="shared" ca="1" si="31"/>
        <v/>
      </c>
      <c r="X75" s="16" t="s">
        <v>3024</v>
      </c>
      <c r="Y75" s="16" t="str">
        <f>IF($K75="","",파일1!#REF!)</f>
        <v/>
      </c>
      <c r="Z75" s="16" t="str">
        <f>IF($K75="","",IF(파일1!#REF!="",1,파일1!#REF!))</f>
        <v/>
      </c>
      <c r="AA75" s="16" t="str">
        <f>IF($K75="","",IF(파일1!#REF!="","",파일1!#REF!))</f>
        <v/>
      </c>
      <c r="AB75" s="49" t="str">
        <f>IF($K75="","",파일1!$C70)</f>
        <v/>
      </c>
      <c r="AC75" s="49" t="str">
        <f>IF($K75="","",파일1!$D70)</f>
        <v/>
      </c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7" t="str">
        <f t="shared" si="32"/>
        <v/>
      </c>
    </row>
    <row r="76" spans="1:59" ht="24" customHeight="1" x14ac:dyDescent="0.3">
      <c r="A76" s="13" t="str">
        <f t="shared" si="22"/>
        <v/>
      </c>
      <c r="B76" s="51" t="str">
        <f ca="1">IF($K76="","",IF(파일1!#REF!="",TODAY(),파일1!#REF!))</f>
        <v/>
      </c>
      <c r="C76" s="14" t="str">
        <f t="shared" si="23"/>
        <v/>
      </c>
      <c r="D76" s="15" t="str">
        <f t="shared" si="24"/>
        <v/>
      </c>
      <c r="E76" s="14" t="str">
        <f t="shared" si="25"/>
        <v/>
      </c>
      <c r="F76" s="14" t="str">
        <f t="shared" si="26"/>
        <v/>
      </c>
      <c r="G76" s="16" t="str">
        <f t="shared" si="27"/>
        <v/>
      </c>
      <c r="H76" s="16" t="str">
        <f t="shared" si="28"/>
        <v/>
      </c>
      <c r="I76" s="16" t="str">
        <f t="shared" si="29"/>
        <v/>
      </c>
      <c r="J76" s="16" t="str">
        <f t="shared" si="30"/>
        <v/>
      </c>
      <c r="K76" s="54" t="str">
        <f>IF(파일1!$B71="","",TEXT(파일1!$B71,"0"))</f>
        <v/>
      </c>
      <c r="L76" s="16"/>
      <c r="M76" s="38" t="str">
        <f>IF($K76="","",IFERROR(VLOOKUP(--SUBSTITUTE(SUBSTITUTE(TRIM($K76),"-","")," ",""),마스터시트!$A$2:$H$1946,2,FALSE),"미등록"))</f>
        <v/>
      </c>
      <c r="N76" s="53" t="str">
        <f>IF($K76="","",IFERROR(VLOOKUP(--SUBSTITUTE(SUBSTITUTE(TRIM($K76),"-","")," ",""),마스터시트!$A$2:$H$1946,3,FALSE),"미등록"))</f>
        <v/>
      </c>
      <c r="O76" s="39" t="str">
        <f>IF($K76="","",IFERROR(VLOOKUP(--SUBSTITUTE(SUBSTITUTE(TRIM($K76),"-","")," ",""),마스터시트!$A$2:$H$1946,4,FALSE),""))</f>
        <v/>
      </c>
      <c r="P76" s="37" t="str">
        <f>IF($K76="","",IFERROR(VLOOKUP(--SUBSTITUTE(SUBSTITUTE(TRIM($K76),"-","")," ",""),마스터시트!$A$2:$H$1946,5,FALSE),""))</f>
        <v/>
      </c>
      <c r="Q76" s="40" t="str">
        <f>IF($K76="","",IFERROR(VLOOKUP(--SUBSTITUTE(SUBSTITUTE(TRIM($K76),"-","")," ",""),마스터시트!$A$2:$H$1946,6,FALSE),""))</f>
        <v/>
      </c>
      <c r="R76" s="41" t="str">
        <f>IF($K76="","",IFERROR(VLOOKUP(--SUBSTITUTE(SUBSTITUTE(TRIM($K76),"-","")," ",""),마스터시트!$A$2:$H$1946,7,FALSE),""))</f>
        <v/>
      </c>
      <c r="S76" s="39"/>
      <c r="T76" s="49" t="str">
        <f>IF($K76="","",파일1!$C71)</f>
        <v/>
      </c>
      <c r="U76" s="49" t="str">
        <f>IF($K76="","",파일1!$D71)</f>
        <v/>
      </c>
      <c r="V76" s="16"/>
      <c r="W76" s="14" t="str">
        <f t="shared" ca="1" si="31"/>
        <v/>
      </c>
      <c r="X76" s="16" t="s">
        <v>3024</v>
      </c>
      <c r="Y76" s="16" t="str">
        <f>IF($K76="","",파일1!#REF!)</f>
        <v/>
      </c>
      <c r="Z76" s="16" t="str">
        <f>IF($K76="","",IF(파일1!#REF!="",1,파일1!#REF!))</f>
        <v/>
      </c>
      <c r="AA76" s="16" t="str">
        <f>IF($K76="","",IF(파일1!#REF!="","",파일1!#REF!))</f>
        <v/>
      </c>
      <c r="AB76" s="49" t="str">
        <f>IF($K76="","",파일1!$C71)</f>
        <v/>
      </c>
      <c r="AC76" s="49" t="str">
        <f>IF($K76="","",파일1!$D71)</f>
        <v/>
      </c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7" t="str">
        <f t="shared" si="32"/>
        <v/>
      </c>
    </row>
    <row r="77" spans="1:59" ht="24" customHeight="1" x14ac:dyDescent="0.3">
      <c r="A77" s="13" t="str">
        <f t="shared" si="22"/>
        <v/>
      </c>
      <c r="B77" s="51" t="str">
        <f ca="1">IF($K77="","",IF(파일1!#REF!="",TODAY(),파일1!#REF!))</f>
        <v/>
      </c>
      <c r="C77" s="14" t="str">
        <f t="shared" si="23"/>
        <v/>
      </c>
      <c r="D77" s="15" t="str">
        <f t="shared" si="24"/>
        <v/>
      </c>
      <c r="E77" s="14" t="str">
        <f t="shared" si="25"/>
        <v/>
      </c>
      <c r="F77" s="14" t="str">
        <f t="shared" si="26"/>
        <v/>
      </c>
      <c r="G77" s="16" t="str">
        <f t="shared" si="27"/>
        <v/>
      </c>
      <c r="H77" s="16" t="str">
        <f t="shared" si="28"/>
        <v/>
      </c>
      <c r="I77" s="16" t="str">
        <f t="shared" si="29"/>
        <v/>
      </c>
      <c r="J77" s="16" t="str">
        <f t="shared" si="30"/>
        <v/>
      </c>
      <c r="K77" s="54" t="str">
        <f>IF(파일1!$B72="","",TEXT(파일1!$B72,"0"))</f>
        <v/>
      </c>
      <c r="L77" s="16"/>
      <c r="M77" s="38" t="str">
        <f>IF($K77="","",IFERROR(VLOOKUP(--SUBSTITUTE(SUBSTITUTE(TRIM($K77),"-","")," ",""),마스터시트!$A$2:$H$1946,2,FALSE),"미등록"))</f>
        <v/>
      </c>
      <c r="N77" s="53" t="str">
        <f>IF($K77="","",IFERROR(VLOOKUP(--SUBSTITUTE(SUBSTITUTE(TRIM($K77),"-","")," ",""),마스터시트!$A$2:$H$1946,3,FALSE),"미등록"))</f>
        <v/>
      </c>
      <c r="O77" s="39" t="str">
        <f>IF($K77="","",IFERROR(VLOOKUP(--SUBSTITUTE(SUBSTITUTE(TRIM($K77),"-","")," ",""),마스터시트!$A$2:$H$1946,4,FALSE),""))</f>
        <v/>
      </c>
      <c r="P77" s="37" t="str">
        <f>IF($K77="","",IFERROR(VLOOKUP(--SUBSTITUTE(SUBSTITUTE(TRIM($K77),"-","")," ",""),마스터시트!$A$2:$H$1946,5,FALSE),""))</f>
        <v/>
      </c>
      <c r="Q77" s="40" t="str">
        <f>IF($K77="","",IFERROR(VLOOKUP(--SUBSTITUTE(SUBSTITUTE(TRIM($K77),"-","")," ",""),마스터시트!$A$2:$H$1946,6,FALSE),""))</f>
        <v/>
      </c>
      <c r="R77" s="41" t="str">
        <f>IF($K77="","",IFERROR(VLOOKUP(--SUBSTITUTE(SUBSTITUTE(TRIM($K77),"-","")," ",""),마스터시트!$A$2:$H$1946,7,FALSE),""))</f>
        <v/>
      </c>
      <c r="S77" s="39"/>
      <c r="T77" s="49" t="str">
        <f>IF($K77="","",파일1!$C72)</f>
        <v/>
      </c>
      <c r="U77" s="49" t="str">
        <f>IF($K77="","",파일1!$D72)</f>
        <v/>
      </c>
      <c r="V77" s="16"/>
      <c r="W77" s="14" t="str">
        <f t="shared" ca="1" si="31"/>
        <v/>
      </c>
      <c r="X77" s="16" t="s">
        <v>3024</v>
      </c>
      <c r="Y77" s="16" t="str">
        <f>IF($K77="","",파일1!#REF!)</f>
        <v/>
      </c>
      <c r="Z77" s="16" t="str">
        <f>IF($K77="","",IF(파일1!#REF!="",1,파일1!#REF!))</f>
        <v/>
      </c>
      <c r="AA77" s="16" t="str">
        <f>IF($K77="","",IF(파일1!#REF!="","",파일1!#REF!))</f>
        <v/>
      </c>
      <c r="AB77" s="49" t="str">
        <f>IF($K77="","",파일1!$C72)</f>
        <v/>
      </c>
      <c r="AC77" s="49" t="str">
        <f>IF($K77="","",파일1!$D72)</f>
        <v/>
      </c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7" t="str">
        <f t="shared" si="32"/>
        <v/>
      </c>
    </row>
    <row r="78" spans="1:59" ht="24" customHeight="1" x14ac:dyDescent="0.3">
      <c r="A78" s="13" t="str">
        <f t="shared" si="22"/>
        <v/>
      </c>
      <c r="B78" s="51" t="str">
        <f ca="1">IF($K78="","",IF(파일1!#REF!="",TODAY(),파일1!#REF!))</f>
        <v/>
      </c>
      <c r="C78" s="14" t="str">
        <f t="shared" si="23"/>
        <v/>
      </c>
      <c r="D78" s="15" t="str">
        <f t="shared" si="24"/>
        <v/>
      </c>
      <c r="E78" s="14" t="str">
        <f t="shared" si="25"/>
        <v/>
      </c>
      <c r="F78" s="14" t="str">
        <f t="shared" si="26"/>
        <v/>
      </c>
      <c r="G78" s="16" t="str">
        <f t="shared" si="27"/>
        <v/>
      </c>
      <c r="H78" s="16" t="str">
        <f t="shared" si="28"/>
        <v/>
      </c>
      <c r="I78" s="16" t="str">
        <f t="shared" si="29"/>
        <v/>
      </c>
      <c r="J78" s="16" t="str">
        <f t="shared" si="30"/>
        <v/>
      </c>
      <c r="K78" s="54" t="str">
        <f>IF(파일1!$B73="","",TEXT(파일1!$B73,"0"))</f>
        <v/>
      </c>
      <c r="L78" s="16"/>
      <c r="M78" s="38" t="str">
        <f>IF($K78="","",IFERROR(VLOOKUP(--SUBSTITUTE(SUBSTITUTE(TRIM($K78),"-","")," ",""),마스터시트!$A$2:$H$1946,2,FALSE),"미등록"))</f>
        <v/>
      </c>
      <c r="N78" s="53" t="str">
        <f>IF($K78="","",IFERROR(VLOOKUP(--SUBSTITUTE(SUBSTITUTE(TRIM($K78),"-","")," ",""),마스터시트!$A$2:$H$1946,3,FALSE),"미등록"))</f>
        <v/>
      </c>
      <c r="O78" s="39" t="str">
        <f>IF($K78="","",IFERROR(VLOOKUP(--SUBSTITUTE(SUBSTITUTE(TRIM($K78),"-","")," ",""),마스터시트!$A$2:$H$1946,4,FALSE),""))</f>
        <v/>
      </c>
      <c r="P78" s="37" t="str">
        <f>IF($K78="","",IFERROR(VLOOKUP(--SUBSTITUTE(SUBSTITUTE(TRIM($K78),"-","")," ",""),마스터시트!$A$2:$H$1946,5,FALSE),""))</f>
        <v/>
      </c>
      <c r="Q78" s="40" t="str">
        <f>IF($K78="","",IFERROR(VLOOKUP(--SUBSTITUTE(SUBSTITUTE(TRIM($K78),"-","")," ",""),마스터시트!$A$2:$H$1946,6,FALSE),""))</f>
        <v/>
      </c>
      <c r="R78" s="41" t="str">
        <f>IF($K78="","",IFERROR(VLOOKUP(--SUBSTITUTE(SUBSTITUTE(TRIM($K78),"-","")," ",""),마스터시트!$A$2:$H$1946,7,FALSE),""))</f>
        <v/>
      </c>
      <c r="S78" s="39"/>
      <c r="T78" s="49" t="str">
        <f>IF($K78="","",파일1!$C73)</f>
        <v/>
      </c>
      <c r="U78" s="49" t="str">
        <f>IF($K78="","",파일1!$D73)</f>
        <v/>
      </c>
      <c r="V78" s="16"/>
      <c r="W78" s="14" t="str">
        <f t="shared" ca="1" si="31"/>
        <v/>
      </c>
      <c r="X78" s="16" t="s">
        <v>3024</v>
      </c>
      <c r="Y78" s="16" t="str">
        <f>IF($K78="","",파일1!#REF!)</f>
        <v/>
      </c>
      <c r="Z78" s="16" t="str">
        <f>IF($K78="","",IF(파일1!#REF!="",1,파일1!#REF!))</f>
        <v/>
      </c>
      <c r="AA78" s="16" t="str">
        <f>IF($K78="","",IF(파일1!#REF!="","",파일1!#REF!))</f>
        <v/>
      </c>
      <c r="AB78" s="49" t="str">
        <f>IF($K78="","",파일1!$C73)</f>
        <v/>
      </c>
      <c r="AC78" s="49" t="str">
        <f>IF($K78="","",파일1!$D73)</f>
        <v/>
      </c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7" t="str">
        <f t="shared" si="32"/>
        <v/>
      </c>
    </row>
    <row r="79" spans="1:59" ht="24" customHeight="1" x14ac:dyDescent="0.3">
      <c r="A79" s="13" t="str">
        <f t="shared" si="22"/>
        <v/>
      </c>
      <c r="B79" s="51" t="str">
        <f ca="1">IF($K79="","",IF(파일1!#REF!="",TODAY(),파일1!#REF!))</f>
        <v/>
      </c>
      <c r="C79" s="14" t="str">
        <f t="shared" si="23"/>
        <v/>
      </c>
      <c r="D79" s="15" t="str">
        <f t="shared" si="24"/>
        <v/>
      </c>
      <c r="E79" s="14" t="str">
        <f t="shared" si="25"/>
        <v/>
      </c>
      <c r="F79" s="14" t="str">
        <f t="shared" si="26"/>
        <v/>
      </c>
      <c r="G79" s="16" t="str">
        <f t="shared" si="27"/>
        <v/>
      </c>
      <c r="H79" s="16" t="str">
        <f t="shared" si="28"/>
        <v/>
      </c>
      <c r="I79" s="16" t="str">
        <f t="shared" si="29"/>
        <v/>
      </c>
      <c r="J79" s="16" t="str">
        <f t="shared" si="30"/>
        <v/>
      </c>
      <c r="K79" s="54" t="str">
        <f>IF(파일1!$B74="","",TEXT(파일1!$B74,"0"))</f>
        <v/>
      </c>
      <c r="L79" s="16"/>
      <c r="M79" s="38" t="str">
        <f>IF($K79="","",IFERROR(VLOOKUP(--SUBSTITUTE(SUBSTITUTE(TRIM($K79),"-","")," ",""),마스터시트!$A$2:$H$1946,2,FALSE),"미등록"))</f>
        <v/>
      </c>
      <c r="N79" s="53" t="str">
        <f>IF($K79="","",IFERROR(VLOOKUP(--SUBSTITUTE(SUBSTITUTE(TRIM($K79),"-","")," ",""),마스터시트!$A$2:$H$1946,3,FALSE),"미등록"))</f>
        <v/>
      </c>
      <c r="O79" s="39" t="str">
        <f>IF($K79="","",IFERROR(VLOOKUP(--SUBSTITUTE(SUBSTITUTE(TRIM($K79),"-","")," ",""),마스터시트!$A$2:$H$1946,4,FALSE),""))</f>
        <v/>
      </c>
      <c r="P79" s="37" t="str">
        <f>IF($K79="","",IFERROR(VLOOKUP(--SUBSTITUTE(SUBSTITUTE(TRIM($K79),"-","")," ",""),마스터시트!$A$2:$H$1946,5,FALSE),""))</f>
        <v/>
      </c>
      <c r="Q79" s="40" t="str">
        <f>IF($K79="","",IFERROR(VLOOKUP(--SUBSTITUTE(SUBSTITUTE(TRIM($K79),"-","")," ",""),마스터시트!$A$2:$H$1946,6,FALSE),""))</f>
        <v/>
      </c>
      <c r="R79" s="41" t="str">
        <f>IF($K79="","",IFERROR(VLOOKUP(--SUBSTITUTE(SUBSTITUTE(TRIM($K79),"-","")," ",""),마스터시트!$A$2:$H$1946,7,FALSE),""))</f>
        <v/>
      </c>
      <c r="S79" s="39"/>
      <c r="T79" s="49" t="str">
        <f>IF($K79="","",파일1!$C74)</f>
        <v/>
      </c>
      <c r="U79" s="49" t="str">
        <f>IF($K79="","",파일1!$D74)</f>
        <v/>
      </c>
      <c r="V79" s="16"/>
      <c r="W79" s="14" t="str">
        <f t="shared" ca="1" si="31"/>
        <v/>
      </c>
      <c r="X79" s="16" t="s">
        <v>3024</v>
      </c>
      <c r="Y79" s="16" t="str">
        <f>IF($K79="","",파일1!#REF!)</f>
        <v/>
      </c>
      <c r="Z79" s="16" t="str">
        <f>IF($K79="","",IF(파일1!#REF!="",1,파일1!#REF!))</f>
        <v/>
      </c>
      <c r="AA79" s="16" t="str">
        <f>IF($K79="","",IF(파일1!#REF!="","",파일1!#REF!))</f>
        <v/>
      </c>
      <c r="AB79" s="49" t="str">
        <f>IF($K79="","",파일1!$C74)</f>
        <v/>
      </c>
      <c r="AC79" s="49" t="str">
        <f>IF($K79="","",파일1!$D74)</f>
        <v/>
      </c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7" t="str">
        <f t="shared" si="32"/>
        <v/>
      </c>
    </row>
    <row r="80" spans="1:59" ht="24" customHeight="1" x14ac:dyDescent="0.3">
      <c r="A80" s="13" t="str">
        <f t="shared" si="22"/>
        <v/>
      </c>
      <c r="B80" s="51" t="str">
        <f ca="1">IF($K80="","",IF(파일1!#REF!="",TODAY(),파일1!#REF!))</f>
        <v/>
      </c>
      <c r="C80" s="14" t="str">
        <f t="shared" si="23"/>
        <v/>
      </c>
      <c r="D80" s="15" t="str">
        <f t="shared" si="24"/>
        <v/>
      </c>
      <c r="E80" s="14" t="str">
        <f t="shared" si="25"/>
        <v/>
      </c>
      <c r="F80" s="14" t="str">
        <f t="shared" si="26"/>
        <v/>
      </c>
      <c r="G80" s="16" t="str">
        <f t="shared" si="27"/>
        <v/>
      </c>
      <c r="H80" s="16" t="str">
        <f t="shared" si="28"/>
        <v/>
      </c>
      <c r="I80" s="16" t="str">
        <f t="shared" si="29"/>
        <v/>
      </c>
      <c r="J80" s="16" t="str">
        <f t="shared" si="30"/>
        <v/>
      </c>
      <c r="K80" s="54" t="str">
        <f>IF(파일1!$B75="","",TEXT(파일1!$B75,"0"))</f>
        <v/>
      </c>
      <c r="L80" s="16"/>
      <c r="M80" s="38" t="str">
        <f>IF($K80="","",IFERROR(VLOOKUP(--SUBSTITUTE(SUBSTITUTE(TRIM($K80),"-","")," ",""),마스터시트!$A$2:$H$1946,2,FALSE),"미등록"))</f>
        <v/>
      </c>
      <c r="N80" s="53" t="str">
        <f>IF($K80="","",IFERROR(VLOOKUP(--SUBSTITUTE(SUBSTITUTE(TRIM($K80),"-","")," ",""),마스터시트!$A$2:$H$1946,3,FALSE),"미등록"))</f>
        <v/>
      </c>
      <c r="O80" s="39" t="str">
        <f>IF($K80="","",IFERROR(VLOOKUP(--SUBSTITUTE(SUBSTITUTE(TRIM($K80),"-","")," ",""),마스터시트!$A$2:$H$1946,4,FALSE),""))</f>
        <v/>
      </c>
      <c r="P80" s="37" t="str">
        <f>IF($K80="","",IFERROR(VLOOKUP(--SUBSTITUTE(SUBSTITUTE(TRIM($K80),"-","")," ",""),마스터시트!$A$2:$H$1946,5,FALSE),""))</f>
        <v/>
      </c>
      <c r="Q80" s="40" t="str">
        <f>IF($K80="","",IFERROR(VLOOKUP(--SUBSTITUTE(SUBSTITUTE(TRIM($K80),"-","")," ",""),마스터시트!$A$2:$H$1946,6,FALSE),""))</f>
        <v/>
      </c>
      <c r="R80" s="41" t="str">
        <f>IF($K80="","",IFERROR(VLOOKUP(--SUBSTITUTE(SUBSTITUTE(TRIM($K80),"-","")," ",""),마스터시트!$A$2:$H$1946,7,FALSE),""))</f>
        <v/>
      </c>
      <c r="S80" s="39"/>
      <c r="T80" s="49" t="str">
        <f>IF($K80="","",파일1!$C75)</f>
        <v/>
      </c>
      <c r="U80" s="49" t="str">
        <f>IF($K80="","",파일1!$D75)</f>
        <v/>
      </c>
      <c r="V80" s="16"/>
      <c r="W80" s="14" t="str">
        <f t="shared" ca="1" si="31"/>
        <v/>
      </c>
      <c r="X80" s="16" t="s">
        <v>3024</v>
      </c>
      <c r="Y80" s="16" t="str">
        <f>IF($K80="","",파일1!#REF!)</f>
        <v/>
      </c>
      <c r="Z80" s="16" t="str">
        <f>IF($K80="","",IF(파일1!#REF!="",1,파일1!#REF!))</f>
        <v/>
      </c>
      <c r="AA80" s="16" t="str">
        <f>IF($K80="","",IF(파일1!#REF!="","",파일1!#REF!))</f>
        <v/>
      </c>
      <c r="AB80" s="49" t="str">
        <f>IF($K80="","",파일1!$C75)</f>
        <v/>
      </c>
      <c r="AC80" s="49" t="str">
        <f>IF($K80="","",파일1!$D75)</f>
        <v/>
      </c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7" t="str">
        <f t="shared" si="32"/>
        <v/>
      </c>
    </row>
    <row r="81" spans="1:59" ht="24" customHeight="1" x14ac:dyDescent="0.3">
      <c r="A81" s="13" t="str">
        <f t="shared" si="22"/>
        <v/>
      </c>
      <c r="B81" s="51" t="str">
        <f ca="1">IF($K81="","",IF(파일1!#REF!="",TODAY(),파일1!#REF!))</f>
        <v/>
      </c>
      <c r="C81" s="14" t="str">
        <f t="shared" si="23"/>
        <v/>
      </c>
      <c r="D81" s="15" t="str">
        <f t="shared" si="24"/>
        <v/>
      </c>
      <c r="E81" s="14" t="str">
        <f t="shared" si="25"/>
        <v/>
      </c>
      <c r="F81" s="14" t="str">
        <f t="shared" si="26"/>
        <v/>
      </c>
      <c r="G81" s="16" t="str">
        <f t="shared" si="27"/>
        <v/>
      </c>
      <c r="H81" s="16" t="str">
        <f t="shared" si="28"/>
        <v/>
      </c>
      <c r="I81" s="16" t="str">
        <f t="shared" si="29"/>
        <v/>
      </c>
      <c r="J81" s="16" t="str">
        <f t="shared" si="30"/>
        <v/>
      </c>
      <c r="K81" s="54" t="str">
        <f>IF(파일1!$B76="","",TEXT(파일1!$B76,"0"))</f>
        <v/>
      </c>
      <c r="L81" s="16"/>
      <c r="M81" s="38" t="str">
        <f>IF($K81="","",IFERROR(VLOOKUP(--SUBSTITUTE(SUBSTITUTE(TRIM($K81),"-","")," ",""),마스터시트!$A$2:$H$1946,2,FALSE),"미등록"))</f>
        <v/>
      </c>
      <c r="N81" s="53" t="str">
        <f>IF($K81="","",IFERROR(VLOOKUP(--SUBSTITUTE(SUBSTITUTE(TRIM($K81),"-","")," ",""),마스터시트!$A$2:$H$1946,3,FALSE),"미등록"))</f>
        <v/>
      </c>
      <c r="O81" s="39" t="str">
        <f>IF($K81="","",IFERROR(VLOOKUP(--SUBSTITUTE(SUBSTITUTE(TRIM($K81),"-","")," ",""),마스터시트!$A$2:$H$1946,4,FALSE),""))</f>
        <v/>
      </c>
      <c r="P81" s="37" t="str">
        <f>IF($K81="","",IFERROR(VLOOKUP(--SUBSTITUTE(SUBSTITUTE(TRIM($K81),"-","")," ",""),마스터시트!$A$2:$H$1946,5,FALSE),""))</f>
        <v/>
      </c>
      <c r="Q81" s="40" t="str">
        <f>IF($K81="","",IFERROR(VLOOKUP(--SUBSTITUTE(SUBSTITUTE(TRIM($K81),"-","")," ",""),마스터시트!$A$2:$H$1946,6,FALSE),""))</f>
        <v/>
      </c>
      <c r="R81" s="41" t="str">
        <f>IF($K81="","",IFERROR(VLOOKUP(--SUBSTITUTE(SUBSTITUTE(TRIM($K81),"-","")," ",""),마스터시트!$A$2:$H$1946,7,FALSE),""))</f>
        <v/>
      </c>
      <c r="S81" s="39"/>
      <c r="T81" s="49" t="str">
        <f>IF($K81="","",파일1!$C76)</f>
        <v/>
      </c>
      <c r="U81" s="49" t="str">
        <f>IF($K81="","",파일1!$D76)</f>
        <v/>
      </c>
      <c r="V81" s="16"/>
      <c r="W81" s="14" t="str">
        <f t="shared" ca="1" si="31"/>
        <v/>
      </c>
      <c r="X81" s="16" t="s">
        <v>3024</v>
      </c>
      <c r="Y81" s="16" t="str">
        <f>IF($K81="","",파일1!#REF!)</f>
        <v/>
      </c>
      <c r="Z81" s="16" t="str">
        <f>IF($K81="","",IF(파일1!#REF!="",1,파일1!#REF!))</f>
        <v/>
      </c>
      <c r="AA81" s="16" t="str">
        <f>IF($K81="","",IF(파일1!#REF!="","",파일1!#REF!))</f>
        <v/>
      </c>
      <c r="AB81" s="49" t="str">
        <f>IF($K81="","",파일1!$C76)</f>
        <v/>
      </c>
      <c r="AC81" s="49" t="str">
        <f>IF($K81="","",파일1!$D76)</f>
        <v/>
      </c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7" t="str">
        <f t="shared" si="32"/>
        <v/>
      </c>
    </row>
    <row r="82" spans="1:59" ht="24" customHeight="1" x14ac:dyDescent="0.3">
      <c r="A82" s="13" t="str">
        <f t="shared" si="22"/>
        <v/>
      </c>
      <c r="B82" s="51" t="str">
        <f ca="1">IF($K82="","",IF(파일1!#REF!="",TODAY(),파일1!#REF!))</f>
        <v/>
      </c>
      <c r="C82" s="14" t="str">
        <f t="shared" si="23"/>
        <v/>
      </c>
      <c r="D82" s="15" t="str">
        <f t="shared" si="24"/>
        <v/>
      </c>
      <c r="E82" s="14" t="str">
        <f t="shared" si="25"/>
        <v/>
      </c>
      <c r="F82" s="14" t="str">
        <f t="shared" si="26"/>
        <v/>
      </c>
      <c r="G82" s="16" t="str">
        <f t="shared" si="27"/>
        <v/>
      </c>
      <c r="H82" s="16" t="str">
        <f t="shared" si="28"/>
        <v/>
      </c>
      <c r="I82" s="16" t="str">
        <f t="shared" si="29"/>
        <v/>
      </c>
      <c r="J82" s="16" t="str">
        <f t="shared" si="30"/>
        <v/>
      </c>
      <c r="K82" s="54" t="str">
        <f>IF(파일1!$B77="","",TEXT(파일1!$B77,"0"))</f>
        <v/>
      </c>
      <c r="L82" s="16"/>
      <c r="M82" s="38" t="str">
        <f>IF($K82="","",IFERROR(VLOOKUP(--SUBSTITUTE(SUBSTITUTE(TRIM($K82),"-","")," ",""),마스터시트!$A$2:$H$1946,2,FALSE),"미등록"))</f>
        <v/>
      </c>
      <c r="N82" s="53" t="str">
        <f>IF($K82="","",IFERROR(VLOOKUP(--SUBSTITUTE(SUBSTITUTE(TRIM($K82),"-","")," ",""),마스터시트!$A$2:$H$1946,3,FALSE),"미등록"))</f>
        <v/>
      </c>
      <c r="O82" s="39" t="str">
        <f>IF($K82="","",IFERROR(VLOOKUP(--SUBSTITUTE(SUBSTITUTE(TRIM($K82),"-","")," ",""),마스터시트!$A$2:$H$1946,4,FALSE),""))</f>
        <v/>
      </c>
      <c r="P82" s="37" t="str">
        <f>IF($K82="","",IFERROR(VLOOKUP(--SUBSTITUTE(SUBSTITUTE(TRIM($K82),"-","")," ",""),마스터시트!$A$2:$H$1946,5,FALSE),""))</f>
        <v/>
      </c>
      <c r="Q82" s="40" t="str">
        <f>IF($K82="","",IFERROR(VLOOKUP(--SUBSTITUTE(SUBSTITUTE(TRIM($K82),"-","")," ",""),마스터시트!$A$2:$H$1946,6,FALSE),""))</f>
        <v/>
      </c>
      <c r="R82" s="41" t="str">
        <f>IF($K82="","",IFERROR(VLOOKUP(--SUBSTITUTE(SUBSTITUTE(TRIM($K82),"-","")," ",""),마스터시트!$A$2:$H$1946,7,FALSE),""))</f>
        <v/>
      </c>
      <c r="S82" s="39"/>
      <c r="T82" s="49" t="str">
        <f>IF($K82="","",파일1!$C77)</f>
        <v/>
      </c>
      <c r="U82" s="49" t="str">
        <f>IF($K82="","",파일1!$D77)</f>
        <v/>
      </c>
      <c r="V82" s="16"/>
      <c r="W82" s="14" t="str">
        <f t="shared" ca="1" si="31"/>
        <v/>
      </c>
      <c r="X82" s="16" t="s">
        <v>3024</v>
      </c>
      <c r="Y82" s="16" t="str">
        <f>IF($K82="","",파일1!#REF!)</f>
        <v/>
      </c>
      <c r="Z82" s="16" t="str">
        <f>IF($K82="","",IF(파일1!#REF!="",1,파일1!#REF!))</f>
        <v/>
      </c>
      <c r="AA82" s="16" t="str">
        <f>IF($K82="","",IF(파일1!#REF!="","",파일1!#REF!))</f>
        <v/>
      </c>
      <c r="AB82" s="49" t="str">
        <f>IF($K82="","",파일1!$C77)</f>
        <v/>
      </c>
      <c r="AC82" s="49" t="str">
        <f>IF($K82="","",파일1!$D77)</f>
        <v/>
      </c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7" t="str">
        <f t="shared" si="32"/>
        <v/>
      </c>
    </row>
    <row r="83" spans="1:59" ht="24" customHeight="1" x14ac:dyDescent="0.3">
      <c r="A83" s="13" t="str">
        <f t="shared" si="22"/>
        <v/>
      </c>
      <c r="B83" s="51" t="str">
        <f ca="1">IF($K83="","",IF(파일1!#REF!="",TODAY(),파일1!#REF!))</f>
        <v/>
      </c>
      <c r="C83" s="14" t="str">
        <f t="shared" si="23"/>
        <v/>
      </c>
      <c r="D83" s="15" t="str">
        <f t="shared" si="24"/>
        <v/>
      </c>
      <c r="E83" s="14" t="str">
        <f t="shared" si="25"/>
        <v/>
      </c>
      <c r="F83" s="14" t="str">
        <f t="shared" si="26"/>
        <v/>
      </c>
      <c r="G83" s="16" t="str">
        <f t="shared" si="27"/>
        <v/>
      </c>
      <c r="H83" s="16" t="str">
        <f t="shared" si="28"/>
        <v/>
      </c>
      <c r="I83" s="16" t="str">
        <f t="shared" si="29"/>
        <v/>
      </c>
      <c r="J83" s="16" t="str">
        <f t="shared" si="30"/>
        <v/>
      </c>
      <c r="K83" s="54" t="str">
        <f>IF(파일1!$B78="","",TEXT(파일1!$B78,"0"))</f>
        <v/>
      </c>
      <c r="L83" s="16"/>
      <c r="M83" s="38" t="str">
        <f>IF($K83="","",IFERROR(VLOOKUP(--SUBSTITUTE(SUBSTITUTE(TRIM($K83),"-","")," ",""),마스터시트!$A$2:$H$1946,2,FALSE),"미등록"))</f>
        <v/>
      </c>
      <c r="N83" s="53" t="str">
        <f>IF($K83="","",IFERROR(VLOOKUP(--SUBSTITUTE(SUBSTITUTE(TRIM($K83),"-","")," ",""),마스터시트!$A$2:$H$1946,3,FALSE),"미등록"))</f>
        <v/>
      </c>
      <c r="O83" s="39" t="str">
        <f>IF($K83="","",IFERROR(VLOOKUP(--SUBSTITUTE(SUBSTITUTE(TRIM($K83),"-","")," ",""),마스터시트!$A$2:$H$1946,4,FALSE),""))</f>
        <v/>
      </c>
      <c r="P83" s="37" t="str">
        <f>IF($K83="","",IFERROR(VLOOKUP(--SUBSTITUTE(SUBSTITUTE(TRIM($K83),"-","")," ",""),마스터시트!$A$2:$H$1946,5,FALSE),""))</f>
        <v/>
      </c>
      <c r="Q83" s="40" t="str">
        <f>IF($K83="","",IFERROR(VLOOKUP(--SUBSTITUTE(SUBSTITUTE(TRIM($K83),"-","")," ",""),마스터시트!$A$2:$H$1946,6,FALSE),""))</f>
        <v/>
      </c>
      <c r="R83" s="41" t="str">
        <f>IF($K83="","",IFERROR(VLOOKUP(--SUBSTITUTE(SUBSTITUTE(TRIM($K83),"-","")," ",""),마스터시트!$A$2:$H$1946,7,FALSE),""))</f>
        <v/>
      </c>
      <c r="S83" s="39"/>
      <c r="T83" s="49" t="str">
        <f>IF($K83="","",파일1!$C78)</f>
        <v/>
      </c>
      <c r="U83" s="49" t="str">
        <f>IF($K83="","",파일1!$D78)</f>
        <v/>
      </c>
      <c r="V83" s="16"/>
      <c r="W83" s="14" t="str">
        <f t="shared" ca="1" si="31"/>
        <v/>
      </c>
      <c r="X83" s="16" t="s">
        <v>3024</v>
      </c>
      <c r="Y83" s="16" t="str">
        <f>IF($K83="","",파일1!#REF!)</f>
        <v/>
      </c>
      <c r="Z83" s="16" t="str">
        <f>IF($K83="","",IF(파일1!#REF!="",1,파일1!#REF!))</f>
        <v/>
      </c>
      <c r="AA83" s="16" t="str">
        <f>IF($K83="","",IF(파일1!#REF!="","",파일1!#REF!))</f>
        <v/>
      </c>
      <c r="AB83" s="49" t="str">
        <f>IF($K83="","",파일1!$C78)</f>
        <v/>
      </c>
      <c r="AC83" s="49" t="str">
        <f>IF($K83="","",파일1!$D78)</f>
        <v/>
      </c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7" t="str">
        <f t="shared" si="32"/>
        <v/>
      </c>
    </row>
    <row r="84" spans="1:59" ht="24" customHeight="1" x14ac:dyDescent="0.3">
      <c r="A84" s="13" t="str">
        <f t="shared" si="22"/>
        <v/>
      </c>
      <c r="B84" s="51" t="str">
        <f ca="1">IF($K84="","",IF(파일1!#REF!="",TODAY(),파일1!#REF!))</f>
        <v/>
      </c>
      <c r="C84" s="14" t="str">
        <f t="shared" si="23"/>
        <v/>
      </c>
      <c r="D84" s="15" t="str">
        <f t="shared" si="24"/>
        <v/>
      </c>
      <c r="E84" s="14" t="str">
        <f t="shared" si="25"/>
        <v/>
      </c>
      <c r="F84" s="14" t="str">
        <f t="shared" si="26"/>
        <v/>
      </c>
      <c r="G84" s="16" t="str">
        <f t="shared" si="27"/>
        <v/>
      </c>
      <c r="H84" s="16" t="str">
        <f t="shared" si="28"/>
        <v/>
      </c>
      <c r="I84" s="16" t="str">
        <f t="shared" si="29"/>
        <v/>
      </c>
      <c r="J84" s="16" t="str">
        <f t="shared" si="30"/>
        <v/>
      </c>
      <c r="K84" s="54" t="str">
        <f>IF(파일1!$B79="","",TEXT(파일1!$B79,"0"))</f>
        <v/>
      </c>
      <c r="L84" s="16"/>
      <c r="M84" s="38" t="str">
        <f>IF($K84="","",IFERROR(VLOOKUP(--SUBSTITUTE(SUBSTITUTE(TRIM($K84),"-","")," ",""),마스터시트!$A$2:$H$1946,2,FALSE),"미등록"))</f>
        <v/>
      </c>
      <c r="N84" s="53" t="str">
        <f>IF($K84="","",IFERROR(VLOOKUP(--SUBSTITUTE(SUBSTITUTE(TRIM($K84),"-","")," ",""),마스터시트!$A$2:$H$1946,3,FALSE),"미등록"))</f>
        <v/>
      </c>
      <c r="O84" s="39" t="str">
        <f>IF($K84="","",IFERROR(VLOOKUP(--SUBSTITUTE(SUBSTITUTE(TRIM($K84),"-","")," ",""),마스터시트!$A$2:$H$1946,4,FALSE),""))</f>
        <v/>
      </c>
      <c r="P84" s="37" t="str">
        <f>IF($K84="","",IFERROR(VLOOKUP(--SUBSTITUTE(SUBSTITUTE(TRIM($K84),"-","")," ",""),마스터시트!$A$2:$H$1946,5,FALSE),""))</f>
        <v/>
      </c>
      <c r="Q84" s="40" t="str">
        <f>IF($K84="","",IFERROR(VLOOKUP(--SUBSTITUTE(SUBSTITUTE(TRIM($K84),"-","")," ",""),마스터시트!$A$2:$H$1946,6,FALSE),""))</f>
        <v/>
      </c>
      <c r="R84" s="41" t="str">
        <f>IF($K84="","",IFERROR(VLOOKUP(--SUBSTITUTE(SUBSTITUTE(TRIM($K84),"-","")," ",""),마스터시트!$A$2:$H$1946,7,FALSE),""))</f>
        <v/>
      </c>
      <c r="S84" s="39"/>
      <c r="T84" s="49" t="str">
        <f>IF($K84="","",파일1!$C79)</f>
        <v/>
      </c>
      <c r="U84" s="49" t="str">
        <f>IF($K84="","",파일1!$D79)</f>
        <v/>
      </c>
      <c r="V84" s="16"/>
      <c r="W84" s="14" t="str">
        <f t="shared" ca="1" si="31"/>
        <v/>
      </c>
      <c r="X84" s="16" t="s">
        <v>3024</v>
      </c>
      <c r="Y84" s="16" t="str">
        <f>IF($K84="","",파일1!#REF!)</f>
        <v/>
      </c>
      <c r="Z84" s="16" t="str">
        <f>IF($K84="","",IF(파일1!#REF!="",1,파일1!#REF!))</f>
        <v/>
      </c>
      <c r="AA84" s="16" t="str">
        <f>IF($K84="","",IF(파일1!#REF!="","",파일1!#REF!))</f>
        <v/>
      </c>
      <c r="AB84" s="49" t="str">
        <f>IF($K84="","",파일1!$C79)</f>
        <v/>
      </c>
      <c r="AC84" s="49" t="str">
        <f>IF($K84="","",파일1!$D79)</f>
        <v/>
      </c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7" t="str">
        <f t="shared" si="32"/>
        <v/>
      </c>
    </row>
    <row r="85" spans="1:59" ht="24" customHeight="1" x14ac:dyDescent="0.3">
      <c r="A85" s="13" t="str">
        <f t="shared" si="22"/>
        <v/>
      </c>
      <c r="B85" s="51" t="str">
        <f ca="1">IF($K85="","",IF(파일1!#REF!="",TODAY(),파일1!#REF!))</f>
        <v/>
      </c>
      <c r="C85" s="14" t="str">
        <f t="shared" si="23"/>
        <v/>
      </c>
      <c r="D85" s="15" t="str">
        <f t="shared" si="24"/>
        <v/>
      </c>
      <c r="E85" s="14" t="str">
        <f t="shared" si="25"/>
        <v/>
      </c>
      <c r="F85" s="14" t="str">
        <f t="shared" si="26"/>
        <v/>
      </c>
      <c r="G85" s="16" t="str">
        <f t="shared" si="27"/>
        <v/>
      </c>
      <c r="H85" s="16" t="str">
        <f t="shared" si="28"/>
        <v/>
      </c>
      <c r="I85" s="16" t="str">
        <f t="shared" si="29"/>
        <v/>
      </c>
      <c r="J85" s="16" t="str">
        <f t="shared" si="30"/>
        <v/>
      </c>
      <c r="K85" s="54" t="str">
        <f>IF(파일1!$B80="","",TEXT(파일1!$B80,"0"))</f>
        <v/>
      </c>
      <c r="L85" s="16"/>
      <c r="M85" s="38" t="str">
        <f>IF($K85="","",IFERROR(VLOOKUP(--SUBSTITUTE(SUBSTITUTE(TRIM($K85),"-","")," ",""),마스터시트!$A$2:$H$1946,2,FALSE),"미등록"))</f>
        <v/>
      </c>
      <c r="N85" s="53" t="str">
        <f>IF($K85="","",IFERROR(VLOOKUP(--SUBSTITUTE(SUBSTITUTE(TRIM($K85),"-","")," ",""),마스터시트!$A$2:$H$1946,3,FALSE),"미등록"))</f>
        <v/>
      </c>
      <c r="O85" s="39" t="str">
        <f>IF($K85="","",IFERROR(VLOOKUP(--SUBSTITUTE(SUBSTITUTE(TRIM($K85),"-","")," ",""),마스터시트!$A$2:$H$1946,4,FALSE),""))</f>
        <v/>
      </c>
      <c r="P85" s="37" t="str">
        <f>IF($K85="","",IFERROR(VLOOKUP(--SUBSTITUTE(SUBSTITUTE(TRIM($K85),"-","")," ",""),마스터시트!$A$2:$H$1946,5,FALSE),""))</f>
        <v/>
      </c>
      <c r="Q85" s="40" t="str">
        <f>IF($K85="","",IFERROR(VLOOKUP(--SUBSTITUTE(SUBSTITUTE(TRIM($K85),"-","")," ",""),마스터시트!$A$2:$H$1946,6,FALSE),""))</f>
        <v/>
      </c>
      <c r="R85" s="41" t="str">
        <f>IF($K85="","",IFERROR(VLOOKUP(--SUBSTITUTE(SUBSTITUTE(TRIM($K85),"-","")," ",""),마스터시트!$A$2:$H$1946,7,FALSE),""))</f>
        <v/>
      </c>
      <c r="S85" s="39"/>
      <c r="T85" s="49" t="str">
        <f>IF($K85="","",파일1!$C80)</f>
        <v/>
      </c>
      <c r="U85" s="49" t="str">
        <f>IF($K85="","",파일1!$D80)</f>
        <v/>
      </c>
      <c r="V85" s="16"/>
      <c r="W85" s="14" t="str">
        <f t="shared" ca="1" si="31"/>
        <v/>
      </c>
      <c r="X85" s="16" t="s">
        <v>3024</v>
      </c>
      <c r="Y85" s="16" t="str">
        <f>IF($K85="","",파일1!#REF!)</f>
        <v/>
      </c>
      <c r="Z85" s="16" t="str">
        <f>IF($K85="","",IF(파일1!#REF!="",1,파일1!#REF!))</f>
        <v/>
      </c>
      <c r="AA85" s="16" t="str">
        <f>IF($K85="","",IF(파일1!#REF!="","",파일1!#REF!))</f>
        <v/>
      </c>
      <c r="AB85" s="49" t="str">
        <f>IF($K85="","",파일1!$C80)</f>
        <v/>
      </c>
      <c r="AC85" s="49" t="str">
        <f>IF($K85="","",파일1!$D80)</f>
        <v/>
      </c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7" t="str">
        <f t="shared" si="32"/>
        <v/>
      </c>
    </row>
    <row r="86" spans="1:59" ht="24" customHeight="1" x14ac:dyDescent="0.3">
      <c r="A86" s="13" t="str">
        <f t="shared" si="22"/>
        <v/>
      </c>
      <c r="B86" s="51" t="str">
        <f ca="1">IF($K86="","",IF(파일1!#REF!="",TODAY(),파일1!#REF!))</f>
        <v/>
      </c>
      <c r="C86" s="14" t="str">
        <f t="shared" si="23"/>
        <v/>
      </c>
      <c r="D86" s="15" t="str">
        <f t="shared" si="24"/>
        <v/>
      </c>
      <c r="E86" s="14" t="str">
        <f t="shared" si="25"/>
        <v/>
      </c>
      <c r="F86" s="14" t="str">
        <f t="shared" si="26"/>
        <v/>
      </c>
      <c r="G86" s="16" t="str">
        <f t="shared" si="27"/>
        <v/>
      </c>
      <c r="H86" s="16" t="str">
        <f t="shared" si="28"/>
        <v/>
      </c>
      <c r="I86" s="16" t="str">
        <f t="shared" si="29"/>
        <v/>
      </c>
      <c r="J86" s="16" t="str">
        <f t="shared" si="30"/>
        <v/>
      </c>
      <c r="K86" s="54" t="str">
        <f>IF(파일1!$B81="","",TEXT(파일1!$B81,"0"))</f>
        <v/>
      </c>
      <c r="L86" s="16"/>
      <c r="M86" s="38" t="str">
        <f>IF($K86="","",IFERROR(VLOOKUP(--SUBSTITUTE(SUBSTITUTE(TRIM($K86),"-","")," ",""),마스터시트!$A$2:$H$1946,2,FALSE),"미등록"))</f>
        <v/>
      </c>
      <c r="N86" s="53" t="str">
        <f>IF($K86="","",IFERROR(VLOOKUP(--SUBSTITUTE(SUBSTITUTE(TRIM($K86),"-","")," ",""),마스터시트!$A$2:$H$1946,3,FALSE),"미등록"))</f>
        <v/>
      </c>
      <c r="O86" s="39" t="str">
        <f>IF($K86="","",IFERROR(VLOOKUP(--SUBSTITUTE(SUBSTITUTE(TRIM($K86),"-","")," ",""),마스터시트!$A$2:$H$1946,4,FALSE),""))</f>
        <v/>
      </c>
      <c r="P86" s="37" t="str">
        <f>IF($K86="","",IFERROR(VLOOKUP(--SUBSTITUTE(SUBSTITUTE(TRIM($K86),"-","")," ",""),마스터시트!$A$2:$H$1946,5,FALSE),""))</f>
        <v/>
      </c>
      <c r="Q86" s="40" t="str">
        <f>IF($K86="","",IFERROR(VLOOKUP(--SUBSTITUTE(SUBSTITUTE(TRIM($K86),"-","")," ",""),마스터시트!$A$2:$H$1946,6,FALSE),""))</f>
        <v/>
      </c>
      <c r="R86" s="41" t="str">
        <f>IF($K86="","",IFERROR(VLOOKUP(--SUBSTITUTE(SUBSTITUTE(TRIM($K86),"-","")," ",""),마스터시트!$A$2:$H$1946,7,FALSE),""))</f>
        <v/>
      </c>
      <c r="S86" s="39"/>
      <c r="T86" s="49" t="str">
        <f>IF($K86="","",파일1!$C81)</f>
        <v/>
      </c>
      <c r="U86" s="49" t="str">
        <f>IF($K86="","",파일1!$D81)</f>
        <v/>
      </c>
      <c r="V86" s="16"/>
      <c r="W86" s="14" t="str">
        <f t="shared" ca="1" si="31"/>
        <v/>
      </c>
      <c r="X86" s="16" t="s">
        <v>3024</v>
      </c>
      <c r="Y86" s="16" t="str">
        <f>IF($K86="","",파일1!#REF!)</f>
        <v/>
      </c>
      <c r="Z86" s="16" t="str">
        <f>IF($K86="","",IF(파일1!#REF!="",1,파일1!#REF!))</f>
        <v/>
      </c>
      <c r="AA86" s="16" t="str">
        <f>IF($K86="","",IF(파일1!#REF!="","",파일1!#REF!))</f>
        <v/>
      </c>
      <c r="AB86" s="49" t="str">
        <f>IF($K86="","",파일1!$C81)</f>
        <v/>
      </c>
      <c r="AC86" s="49" t="str">
        <f>IF($K86="","",파일1!$D81)</f>
        <v/>
      </c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7" t="str">
        <f t="shared" si="32"/>
        <v/>
      </c>
    </row>
    <row r="87" spans="1:59" ht="24" customHeight="1" x14ac:dyDescent="0.3">
      <c r="A87" s="13" t="str">
        <f t="shared" si="22"/>
        <v/>
      </c>
      <c r="B87" s="51" t="str">
        <f ca="1">IF($K87="","",IF(파일1!#REF!="",TODAY(),파일1!#REF!))</f>
        <v/>
      </c>
      <c r="C87" s="14" t="str">
        <f t="shared" si="23"/>
        <v/>
      </c>
      <c r="D87" s="15" t="str">
        <f t="shared" si="24"/>
        <v/>
      </c>
      <c r="E87" s="14" t="str">
        <f t="shared" si="25"/>
        <v/>
      </c>
      <c r="F87" s="14" t="str">
        <f t="shared" si="26"/>
        <v/>
      </c>
      <c r="G87" s="16" t="str">
        <f t="shared" si="27"/>
        <v/>
      </c>
      <c r="H87" s="16" t="str">
        <f t="shared" si="28"/>
        <v/>
      </c>
      <c r="I87" s="16" t="str">
        <f t="shared" si="29"/>
        <v/>
      </c>
      <c r="J87" s="16" t="str">
        <f t="shared" si="30"/>
        <v/>
      </c>
      <c r="K87" s="54" t="str">
        <f>IF(파일1!$B82="","",TEXT(파일1!$B82,"0"))</f>
        <v/>
      </c>
      <c r="L87" s="16"/>
      <c r="M87" s="38" t="str">
        <f>IF($K87="","",IFERROR(VLOOKUP(--SUBSTITUTE(SUBSTITUTE(TRIM($K87),"-","")," ",""),마스터시트!$A$2:$H$1946,2,FALSE),"미등록"))</f>
        <v/>
      </c>
      <c r="N87" s="53" t="str">
        <f>IF($K87="","",IFERROR(VLOOKUP(--SUBSTITUTE(SUBSTITUTE(TRIM($K87),"-","")," ",""),마스터시트!$A$2:$H$1946,3,FALSE),"미등록"))</f>
        <v/>
      </c>
      <c r="O87" s="39" t="str">
        <f>IF($K87="","",IFERROR(VLOOKUP(--SUBSTITUTE(SUBSTITUTE(TRIM($K87),"-","")," ",""),마스터시트!$A$2:$H$1946,4,FALSE),""))</f>
        <v/>
      </c>
      <c r="P87" s="37" t="str">
        <f>IF($K87="","",IFERROR(VLOOKUP(--SUBSTITUTE(SUBSTITUTE(TRIM($K87),"-","")," ",""),마스터시트!$A$2:$H$1946,5,FALSE),""))</f>
        <v/>
      </c>
      <c r="Q87" s="40" t="str">
        <f>IF($K87="","",IFERROR(VLOOKUP(--SUBSTITUTE(SUBSTITUTE(TRIM($K87),"-","")," ",""),마스터시트!$A$2:$H$1946,6,FALSE),""))</f>
        <v/>
      </c>
      <c r="R87" s="41" t="str">
        <f>IF($K87="","",IFERROR(VLOOKUP(--SUBSTITUTE(SUBSTITUTE(TRIM($K87),"-","")," ",""),마스터시트!$A$2:$H$1946,7,FALSE),""))</f>
        <v/>
      </c>
      <c r="S87" s="39"/>
      <c r="T87" s="49" t="str">
        <f>IF($K87="","",파일1!$C82)</f>
        <v/>
      </c>
      <c r="U87" s="49" t="str">
        <f>IF($K87="","",파일1!$D82)</f>
        <v/>
      </c>
      <c r="V87" s="16"/>
      <c r="W87" s="14" t="str">
        <f t="shared" ca="1" si="31"/>
        <v/>
      </c>
      <c r="X87" s="16" t="s">
        <v>3024</v>
      </c>
      <c r="Y87" s="16" t="str">
        <f>IF($K87="","",파일1!#REF!)</f>
        <v/>
      </c>
      <c r="Z87" s="16" t="str">
        <f>IF($K87="","",IF(파일1!#REF!="",1,파일1!#REF!))</f>
        <v/>
      </c>
      <c r="AA87" s="16" t="str">
        <f>IF($K87="","",IF(파일1!#REF!="","",파일1!#REF!))</f>
        <v/>
      </c>
      <c r="AB87" s="49" t="str">
        <f>IF($K87="","",파일1!$C82)</f>
        <v/>
      </c>
      <c r="AC87" s="49" t="str">
        <f>IF($K87="","",파일1!$D82)</f>
        <v/>
      </c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7" t="str">
        <f t="shared" si="32"/>
        <v/>
      </c>
    </row>
    <row r="88" spans="1:59" ht="24" customHeight="1" x14ac:dyDescent="0.3">
      <c r="A88" s="13" t="str">
        <f t="shared" si="22"/>
        <v/>
      </c>
      <c r="B88" s="51" t="str">
        <f ca="1">IF($K88="","",IF(파일1!#REF!="",TODAY(),파일1!#REF!))</f>
        <v/>
      </c>
      <c r="C88" s="14" t="str">
        <f t="shared" si="23"/>
        <v/>
      </c>
      <c r="D88" s="15" t="str">
        <f t="shared" si="24"/>
        <v/>
      </c>
      <c r="E88" s="14" t="str">
        <f t="shared" si="25"/>
        <v/>
      </c>
      <c r="F88" s="14" t="str">
        <f t="shared" si="26"/>
        <v/>
      </c>
      <c r="G88" s="16" t="str">
        <f t="shared" si="27"/>
        <v/>
      </c>
      <c r="H88" s="16" t="str">
        <f t="shared" si="28"/>
        <v/>
      </c>
      <c r="I88" s="16" t="str">
        <f t="shared" si="29"/>
        <v/>
      </c>
      <c r="J88" s="16" t="str">
        <f t="shared" si="30"/>
        <v/>
      </c>
      <c r="K88" s="54" t="str">
        <f>IF(파일1!$B83="","",TEXT(파일1!$B83,"0"))</f>
        <v/>
      </c>
      <c r="L88" s="16"/>
      <c r="M88" s="38" t="str">
        <f>IF($K88="","",IFERROR(VLOOKUP(--SUBSTITUTE(SUBSTITUTE(TRIM($K88),"-","")," ",""),마스터시트!$A$2:$H$1946,2,FALSE),"미등록"))</f>
        <v/>
      </c>
      <c r="N88" s="53" t="str">
        <f>IF($K88="","",IFERROR(VLOOKUP(--SUBSTITUTE(SUBSTITUTE(TRIM($K88),"-","")," ",""),마스터시트!$A$2:$H$1946,3,FALSE),"미등록"))</f>
        <v/>
      </c>
      <c r="O88" s="39" t="str">
        <f>IF($K88="","",IFERROR(VLOOKUP(--SUBSTITUTE(SUBSTITUTE(TRIM($K88),"-","")," ",""),마스터시트!$A$2:$H$1946,4,FALSE),""))</f>
        <v/>
      </c>
      <c r="P88" s="37" t="str">
        <f>IF($K88="","",IFERROR(VLOOKUP(--SUBSTITUTE(SUBSTITUTE(TRIM($K88),"-","")," ",""),마스터시트!$A$2:$H$1946,5,FALSE),""))</f>
        <v/>
      </c>
      <c r="Q88" s="40" t="str">
        <f>IF($K88="","",IFERROR(VLOOKUP(--SUBSTITUTE(SUBSTITUTE(TRIM($K88),"-","")," ",""),마스터시트!$A$2:$H$1946,6,FALSE),""))</f>
        <v/>
      </c>
      <c r="R88" s="41" t="str">
        <f>IF($K88="","",IFERROR(VLOOKUP(--SUBSTITUTE(SUBSTITUTE(TRIM($K88),"-","")," ",""),마스터시트!$A$2:$H$1946,7,FALSE),""))</f>
        <v/>
      </c>
      <c r="S88" s="39"/>
      <c r="T88" s="49" t="str">
        <f>IF($K88="","",파일1!$C83)</f>
        <v/>
      </c>
      <c r="U88" s="49" t="str">
        <f>IF($K88="","",파일1!$D83)</f>
        <v/>
      </c>
      <c r="V88" s="16"/>
      <c r="W88" s="14" t="str">
        <f t="shared" ca="1" si="31"/>
        <v/>
      </c>
      <c r="X88" s="16" t="s">
        <v>3024</v>
      </c>
      <c r="Y88" s="16" t="str">
        <f>IF($K88="","",파일1!#REF!)</f>
        <v/>
      </c>
      <c r="Z88" s="16" t="str">
        <f>IF($K88="","",IF(파일1!#REF!="",1,파일1!#REF!))</f>
        <v/>
      </c>
      <c r="AA88" s="16" t="str">
        <f>IF($K88="","",IF(파일1!#REF!="","",파일1!#REF!))</f>
        <v/>
      </c>
      <c r="AB88" s="49" t="str">
        <f>IF($K88="","",파일1!$C83)</f>
        <v/>
      </c>
      <c r="AC88" s="49" t="str">
        <f>IF($K88="","",파일1!$D83)</f>
        <v/>
      </c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7" t="str">
        <f t="shared" si="32"/>
        <v/>
      </c>
    </row>
    <row r="89" spans="1:59" ht="24" customHeight="1" x14ac:dyDescent="0.3">
      <c r="A89" s="13" t="str">
        <f t="shared" si="22"/>
        <v/>
      </c>
      <c r="B89" s="51" t="str">
        <f ca="1">IF($K89="","",IF(파일1!#REF!="",TODAY(),파일1!#REF!))</f>
        <v/>
      </c>
      <c r="C89" s="14" t="str">
        <f t="shared" si="23"/>
        <v/>
      </c>
      <c r="D89" s="15" t="str">
        <f t="shared" si="24"/>
        <v/>
      </c>
      <c r="E89" s="14" t="str">
        <f t="shared" si="25"/>
        <v/>
      </c>
      <c r="F89" s="14" t="str">
        <f t="shared" si="26"/>
        <v/>
      </c>
      <c r="G89" s="16" t="str">
        <f t="shared" si="27"/>
        <v/>
      </c>
      <c r="H89" s="16" t="str">
        <f t="shared" si="28"/>
        <v/>
      </c>
      <c r="I89" s="16" t="str">
        <f t="shared" si="29"/>
        <v/>
      </c>
      <c r="J89" s="16" t="str">
        <f t="shared" si="30"/>
        <v/>
      </c>
      <c r="K89" s="54" t="str">
        <f>IF(파일1!$B84="","",TEXT(파일1!$B84,"0"))</f>
        <v/>
      </c>
      <c r="L89" s="16"/>
      <c r="M89" s="38" t="str">
        <f>IF($K89="","",IFERROR(VLOOKUP(--SUBSTITUTE(SUBSTITUTE(TRIM($K89),"-","")," ",""),마스터시트!$A$2:$H$1946,2,FALSE),"미등록"))</f>
        <v/>
      </c>
      <c r="N89" s="53" t="str">
        <f>IF($K89="","",IFERROR(VLOOKUP(--SUBSTITUTE(SUBSTITUTE(TRIM($K89),"-","")," ",""),마스터시트!$A$2:$H$1946,3,FALSE),"미등록"))</f>
        <v/>
      </c>
      <c r="O89" s="39" t="str">
        <f>IF($K89="","",IFERROR(VLOOKUP(--SUBSTITUTE(SUBSTITUTE(TRIM($K89),"-","")," ",""),마스터시트!$A$2:$H$1946,4,FALSE),""))</f>
        <v/>
      </c>
      <c r="P89" s="37" t="str">
        <f>IF($K89="","",IFERROR(VLOOKUP(--SUBSTITUTE(SUBSTITUTE(TRIM($K89),"-","")," ",""),마스터시트!$A$2:$H$1946,5,FALSE),""))</f>
        <v/>
      </c>
      <c r="Q89" s="40" t="str">
        <f>IF($K89="","",IFERROR(VLOOKUP(--SUBSTITUTE(SUBSTITUTE(TRIM($K89),"-","")," ",""),마스터시트!$A$2:$H$1946,6,FALSE),""))</f>
        <v/>
      </c>
      <c r="R89" s="41" t="str">
        <f>IF($K89="","",IFERROR(VLOOKUP(--SUBSTITUTE(SUBSTITUTE(TRIM($K89),"-","")," ",""),마스터시트!$A$2:$H$1946,7,FALSE),""))</f>
        <v/>
      </c>
      <c r="S89" s="39"/>
      <c r="T89" s="49" t="str">
        <f>IF($K89="","",파일1!$C84)</f>
        <v/>
      </c>
      <c r="U89" s="49" t="str">
        <f>IF($K89="","",파일1!$D84)</f>
        <v/>
      </c>
      <c r="V89" s="16"/>
      <c r="W89" s="14" t="str">
        <f t="shared" ca="1" si="31"/>
        <v/>
      </c>
      <c r="X89" s="16" t="s">
        <v>3024</v>
      </c>
      <c r="Y89" s="16" t="str">
        <f>IF($K89="","",파일1!#REF!)</f>
        <v/>
      </c>
      <c r="Z89" s="16" t="str">
        <f>IF($K89="","",IF(파일1!#REF!="",1,파일1!#REF!))</f>
        <v/>
      </c>
      <c r="AA89" s="16" t="str">
        <f>IF($K89="","",IF(파일1!#REF!="","",파일1!#REF!))</f>
        <v/>
      </c>
      <c r="AB89" s="49" t="str">
        <f>IF($K89="","",파일1!$C84)</f>
        <v/>
      </c>
      <c r="AC89" s="49" t="str">
        <f>IF($K89="","",파일1!$D84)</f>
        <v/>
      </c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7" t="str">
        <f t="shared" si="32"/>
        <v/>
      </c>
    </row>
    <row r="90" spans="1:59" ht="24" customHeight="1" x14ac:dyDescent="0.3">
      <c r="A90" s="13" t="str">
        <f t="shared" si="22"/>
        <v/>
      </c>
      <c r="B90" s="51" t="str">
        <f ca="1">IF($K90="","",IF(파일1!#REF!="",TODAY(),파일1!#REF!))</f>
        <v/>
      </c>
      <c r="C90" s="14" t="str">
        <f t="shared" si="23"/>
        <v/>
      </c>
      <c r="D90" s="15" t="str">
        <f t="shared" si="24"/>
        <v/>
      </c>
      <c r="E90" s="14" t="str">
        <f t="shared" si="25"/>
        <v/>
      </c>
      <c r="F90" s="14" t="str">
        <f t="shared" si="26"/>
        <v/>
      </c>
      <c r="G90" s="16" t="str">
        <f t="shared" si="27"/>
        <v/>
      </c>
      <c r="H90" s="16" t="str">
        <f t="shared" si="28"/>
        <v/>
      </c>
      <c r="I90" s="16" t="str">
        <f t="shared" si="29"/>
        <v/>
      </c>
      <c r="J90" s="16" t="str">
        <f t="shared" si="30"/>
        <v/>
      </c>
      <c r="K90" s="54" t="str">
        <f>IF(파일1!$B85="","",TEXT(파일1!$B85,"0"))</f>
        <v/>
      </c>
      <c r="L90" s="16"/>
      <c r="M90" s="38" t="str">
        <f>IF($K90="","",IFERROR(VLOOKUP(--SUBSTITUTE(SUBSTITUTE(TRIM($K90),"-","")," ",""),마스터시트!$A$2:$H$1946,2,FALSE),"미등록"))</f>
        <v/>
      </c>
      <c r="N90" s="53" t="str">
        <f>IF($K90="","",IFERROR(VLOOKUP(--SUBSTITUTE(SUBSTITUTE(TRIM($K90),"-","")," ",""),마스터시트!$A$2:$H$1946,3,FALSE),"미등록"))</f>
        <v/>
      </c>
      <c r="O90" s="39" t="str">
        <f>IF($K90="","",IFERROR(VLOOKUP(--SUBSTITUTE(SUBSTITUTE(TRIM($K90),"-","")," ",""),마스터시트!$A$2:$H$1946,4,FALSE),""))</f>
        <v/>
      </c>
      <c r="P90" s="37" t="str">
        <f>IF($K90="","",IFERROR(VLOOKUP(--SUBSTITUTE(SUBSTITUTE(TRIM($K90),"-","")," ",""),마스터시트!$A$2:$H$1946,5,FALSE),""))</f>
        <v/>
      </c>
      <c r="Q90" s="40" t="str">
        <f>IF($K90="","",IFERROR(VLOOKUP(--SUBSTITUTE(SUBSTITUTE(TRIM($K90),"-","")," ",""),마스터시트!$A$2:$H$1946,6,FALSE),""))</f>
        <v/>
      </c>
      <c r="R90" s="41" t="str">
        <f>IF($K90="","",IFERROR(VLOOKUP(--SUBSTITUTE(SUBSTITUTE(TRIM($K90),"-","")," ",""),마스터시트!$A$2:$H$1946,7,FALSE),""))</f>
        <v/>
      </c>
      <c r="S90" s="39"/>
      <c r="T90" s="49" t="str">
        <f>IF($K90="","",파일1!$C85)</f>
        <v/>
      </c>
      <c r="U90" s="49" t="str">
        <f>IF($K90="","",파일1!$D85)</f>
        <v/>
      </c>
      <c r="V90" s="16"/>
      <c r="W90" s="14" t="str">
        <f t="shared" ca="1" si="31"/>
        <v/>
      </c>
      <c r="X90" s="16" t="s">
        <v>3024</v>
      </c>
      <c r="Y90" s="16" t="str">
        <f>IF($K90="","",파일1!#REF!)</f>
        <v/>
      </c>
      <c r="Z90" s="16" t="str">
        <f>IF($K90="","",IF(파일1!#REF!="",1,파일1!#REF!))</f>
        <v/>
      </c>
      <c r="AA90" s="16" t="str">
        <f>IF($K90="","",IF(파일1!#REF!="","",파일1!#REF!))</f>
        <v/>
      </c>
      <c r="AB90" s="49" t="str">
        <f>IF($K90="","",파일1!$C85)</f>
        <v/>
      </c>
      <c r="AC90" s="49" t="str">
        <f>IF($K90="","",파일1!$D85)</f>
        <v/>
      </c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7" t="str">
        <f t="shared" si="32"/>
        <v/>
      </c>
    </row>
    <row r="91" spans="1:59" ht="24" customHeight="1" x14ac:dyDescent="0.3">
      <c r="A91" s="13" t="str">
        <f t="shared" si="22"/>
        <v/>
      </c>
      <c r="B91" s="51" t="str">
        <f ca="1">IF($K91="","",IF(파일1!#REF!="",TODAY(),파일1!#REF!))</f>
        <v/>
      </c>
      <c r="C91" s="14" t="str">
        <f t="shared" si="23"/>
        <v/>
      </c>
      <c r="D91" s="15" t="str">
        <f t="shared" si="24"/>
        <v/>
      </c>
      <c r="E91" s="14" t="str">
        <f t="shared" si="25"/>
        <v/>
      </c>
      <c r="F91" s="14" t="str">
        <f t="shared" si="26"/>
        <v/>
      </c>
      <c r="G91" s="16" t="str">
        <f t="shared" si="27"/>
        <v/>
      </c>
      <c r="H91" s="16" t="str">
        <f t="shared" si="28"/>
        <v/>
      </c>
      <c r="I91" s="16" t="str">
        <f t="shared" si="29"/>
        <v/>
      </c>
      <c r="J91" s="16" t="str">
        <f t="shared" si="30"/>
        <v/>
      </c>
      <c r="K91" s="54" t="str">
        <f>IF(파일1!$B86="","",TEXT(파일1!$B86,"0"))</f>
        <v/>
      </c>
      <c r="L91" s="16"/>
      <c r="M91" s="38" t="str">
        <f>IF($K91="","",IFERROR(VLOOKUP(--SUBSTITUTE(SUBSTITUTE(TRIM($K91),"-","")," ",""),마스터시트!$A$2:$H$1946,2,FALSE),"미등록"))</f>
        <v/>
      </c>
      <c r="N91" s="53" t="str">
        <f>IF($K91="","",IFERROR(VLOOKUP(--SUBSTITUTE(SUBSTITUTE(TRIM($K91),"-","")," ",""),마스터시트!$A$2:$H$1946,3,FALSE),"미등록"))</f>
        <v/>
      </c>
      <c r="O91" s="39" t="str">
        <f>IF($K91="","",IFERROR(VLOOKUP(--SUBSTITUTE(SUBSTITUTE(TRIM($K91),"-","")," ",""),마스터시트!$A$2:$H$1946,4,FALSE),""))</f>
        <v/>
      </c>
      <c r="P91" s="37" t="str">
        <f>IF($K91="","",IFERROR(VLOOKUP(--SUBSTITUTE(SUBSTITUTE(TRIM($K91),"-","")," ",""),마스터시트!$A$2:$H$1946,5,FALSE),""))</f>
        <v/>
      </c>
      <c r="Q91" s="40" t="str">
        <f>IF($K91="","",IFERROR(VLOOKUP(--SUBSTITUTE(SUBSTITUTE(TRIM($K91),"-","")," ",""),마스터시트!$A$2:$H$1946,6,FALSE),""))</f>
        <v/>
      </c>
      <c r="R91" s="41" t="str">
        <f>IF($K91="","",IFERROR(VLOOKUP(--SUBSTITUTE(SUBSTITUTE(TRIM($K91),"-","")," ",""),마스터시트!$A$2:$H$1946,7,FALSE),""))</f>
        <v/>
      </c>
      <c r="S91" s="39"/>
      <c r="T91" s="49" t="str">
        <f>IF($K91="","",파일1!$C86)</f>
        <v/>
      </c>
      <c r="U91" s="49" t="str">
        <f>IF($K91="","",파일1!$D86)</f>
        <v/>
      </c>
      <c r="V91" s="16"/>
      <c r="W91" s="14" t="str">
        <f t="shared" ca="1" si="31"/>
        <v/>
      </c>
      <c r="X91" s="16" t="s">
        <v>3024</v>
      </c>
      <c r="Y91" s="16" t="str">
        <f>IF($K91="","",파일1!#REF!)</f>
        <v/>
      </c>
      <c r="Z91" s="16" t="str">
        <f>IF($K91="","",IF(파일1!#REF!="",1,파일1!#REF!))</f>
        <v/>
      </c>
      <c r="AA91" s="16" t="str">
        <f>IF($K91="","",IF(파일1!#REF!="","",파일1!#REF!))</f>
        <v/>
      </c>
      <c r="AB91" s="49" t="str">
        <f>IF($K91="","",파일1!$C86)</f>
        <v/>
      </c>
      <c r="AC91" s="49" t="str">
        <f>IF($K91="","",파일1!$D86)</f>
        <v/>
      </c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7" t="str">
        <f t="shared" si="32"/>
        <v/>
      </c>
    </row>
    <row r="92" spans="1:59" ht="24" customHeight="1" x14ac:dyDescent="0.3">
      <c r="A92" s="13" t="str">
        <f t="shared" si="22"/>
        <v/>
      </c>
      <c r="B92" s="51" t="str">
        <f ca="1">IF($K92="","",IF(파일1!#REF!="",TODAY(),파일1!#REF!))</f>
        <v/>
      </c>
      <c r="C92" s="14" t="str">
        <f t="shared" si="23"/>
        <v/>
      </c>
      <c r="D92" s="15" t="str">
        <f t="shared" si="24"/>
        <v/>
      </c>
      <c r="E92" s="14" t="str">
        <f t="shared" si="25"/>
        <v/>
      </c>
      <c r="F92" s="14" t="str">
        <f t="shared" si="26"/>
        <v/>
      </c>
      <c r="G92" s="16" t="str">
        <f t="shared" si="27"/>
        <v/>
      </c>
      <c r="H92" s="16" t="str">
        <f t="shared" si="28"/>
        <v/>
      </c>
      <c r="I92" s="16" t="str">
        <f t="shared" si="29"/>
        <v/>
      </c>
      <c r="J92" s="16" t="str">
        <f t="shared" si="30"/>
        <v/>
      </c>
      <c r="K92" s="54" t="str">
        <f>IF(파일1!$B87="","",TEXT(파일1!$B87,"0"))</f>
        <v/>
      </c>
      <c r="L92" s="16"/>
      <c r="M92" s="38" t="str">
        <f>IF($K92="","",IFERROR(VLOOKUP(--SUBSTITUTE(SUBSTITUTE(TRIM($K92),"-","")," ",""),마스터시트!$A$2:$H$1946,2,FALSE),"미등록"))</f>
        <v/>
      </c>
      <c r="N92" s="53" t="str">
        <f>IF($K92="","",IFERROR(VLOOKUP(--SUBSTITUTE(SUBSTITUTE(TRIM($K92),"-","")," ",""),마스터시트!$A$2:$H$1946,3,FALSE),"미등록"))</f>
        <v/>
      </c>
      <c r="O92" s="39" t="str">
        <f>IF($K92="","",IFERROR(VLOOKUP(--SUBSTITUTE(SUBSTITUTE(TRIM($K92),"-","")," ",""),마스터시트!$A$2:$H$1946,4,FALSE),""))</f>
        <v/>
      </c>
      <c r="P92" s="37" t="str">
        <f>IF($K92="","",IFERROR(VLOOKUP(--SUBSTITUTE(SUBSTITUTE(TRIM($K92),"-","")," ",""),마스터시트!$A$2:$H$1946,5,FALSE),""))</f>
        <v/>
      </c>
      <c r="Q92" s="40" t="str">
        <f>IF($K92="","",IFERROR(VLOOKUP(--SUBSTITUTE(SUBSTITUTE(TRIM($K92),"-","")," ",""),마스터시트!$A$2:$H$1946,6,FALSE),""))</f>
        <v/>
      </c>
      <c r="R92" s="41" t="str">
        <f>IF($K92="","",IFERROR(VLOOKUP(--SUBSTITUTE(SUBSTITUTE(TRIM($K92),"-","")," ",""),마스터시트!$A$2:$H$1946,7,FALSE),""))</f>
        <v/>
      </c>
      <c r="S92" s="39"/>
      <c r="T92" s="49" t="str">
        <f>IF($K92="","",파일1!$C87)</f>
        <v/>
      </c>
      <c r="U92" s="49" t="str">
        <f>IF($K92="","",파일1!$D87)</f>
        <v/>
      </c>
      <c r="V92" s="16"/>
      <c r="W92" s="14" t="str">
        <f t="shared" ca="1" si="31"/>
        <v/>
      </c>
      <c r="X92" s="16" t="s">
        <v>3024</v>
      </c>
      <c r="Y92" s="16" t="str">
        <f>IF($K92="","",파일1!#REF!)</f>
        <v/>
      </c>
      <c r="Z92" s="16" t="str">
        <f>IF($K92="","",IF(파일1!#REF!="",1,파일1!#REF!))</f>
        <v/>
      </c>
      <c r="AA92" s="16" t="str">
        <f>IF($K92="","",IF(파일1!#REF!="","",파일1!#REF!))</f>
        <v/>
      </c>
      <c r="AB92" s="49" t="str">
        <f>IF($K92="","",파일1!$C87)</f>
        <v/>
      </c>
      <c r="AC92" s="49" t="str">
        <f>IF($K92="","",파일1!$D87)</f>
        <v/>
      </c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7" t="str">
        <f t="shared" si="32"/>
        <v/>
      </c>
    </row>
    <row r="93" spans="1:59" ht="24" customHeight="1" x14ac:dyDescent="0.3">
      <c r="A93" s="13" t="str">
        <f t="shared" si="22"/>
        <v/>
      </c>
      <c r="B93" s="51" t="str">
        <f ca="1">IF($K93="","",IF(파일1!#REF!="",TODAY(),파일1!#REF!))</f>
        <v/>
      </c>
      <c r="C93" s="14" t="str">
        <f t="shared" si="23"/>
        <v/>
      </c>
      <c r="D93" s="15" t="str">
        <f t="shared" si="24"/>
        <v/>
      </c>
      <c r="E93" s="14" t="str">
        <f t="shared" si="25"/>
        <v/>
      </c>
      <c r="F93" s="14" t="str">
        <f t="shared" si="26"/>
        <v/>
      </c>
      <c r="G93" s="16" t="str">
        <f t="shared" si="27"/>
        <v/>
      </c>
      <c r="H93" s="16" t="str">
        <f t="shared" si="28"/>
        <v/>
      </c>
      <c r="I93" s="16" t="str">
        <f t="shared" si="29"/>
        <v/>
      </c>
      <c r="J93" s="16" t="str">
        <f t="shared" si="30"/>
        <v/>
      </c>
      <c r="K93" s="54" t="str">
        <f>IF(파일1!$B88="","",TEXT(파일1!$B88,"0"))</f>
        <v/>
      </c>
      <c r="L93" s="16"/>
      <c r="M93" s="38" t="str">
        <f>IF($K93="","",IFERROR(VLOOKUP(--SUBSTITUTE(SUBSTITUTE(TRIM($K93),"-","")," ",""),마스터시트!$A$2:$H$1946,2,FALSE),"미등록"))</f>
        <v/>
      </c>
      <c r="N93" s="53" t="str">
        <f>IF($K93="","",IFERROR(VLOOKUP(--SUBSTITUTE(SUBSTITUTE(TRIM($K93),"-","")," ",""),마스터시트!$A$2:$H$1946,3,FALSE),"미등록"))</f>
        <v/>
      </c>
      <c r="O93" s="39" t="str">
        <f>IF($K93="","",IFERROR(VLOOKUP(--SUBSTITUTE(SUBSTITUTE(TRIM($K93),"-","")," ",""),마스터시트!$A$2:$H$1946,4,FALSE),""))</f>
        <v/>
      </c>
      <c r="P93" s="37" t="str">
        <f>IF($K93="","",IFERROR(VLOOKUP(--SUBSTITUTE(SUBSTITUTE(TRIM($K93),"-","")," ",""),마스터시트!$A$2:$H$1946,5,FALSE),""))</f>
        <v/>
      </c>
      <c r="Q93" s="40" t="str">
        <f>IF($K93="","",IFERROR(VLOOKUP(--SUBSTITUTE(SUBSTITUTE(TRIM($K93),"-","")," ",""),마스터시트!$A$2:$H$1946,6,FALSE),""))</f>
        <v/>
      </c>
      <c r="R93" s="41" t="str">
        <f>IF($K93="","",IFERROR(VLOOKUP(--SUBSTITUTE(SUBSTITUTE(TRIM($K93),"-","")," ",""),마스터시트!$A$2:$H$1946,7,FALSE),""))</f>
        <v/>
      </c>
      <c r="S93" s="39"/>
      <c r="T93" s="49" t="str">
        <f>IF($K93="","",파일1!$C88)</f>
        <v/>
      </c>
      <c r="U93" s="49" t="str">
        <f>IF($K93="","",파일1!$D88)</f>
        <v/>
      </c>
      <c r="V93" s="16"/>
      <c r="W93" s="14" t="str">
        <f t="shared" ca="1" si="31"/>
        <v/>
      </c>
      <c r="X93" s="16" t="s">
        <v>3024</v>
      </c>
      <c r="Y93" s="16" t="str">
        <f>IF($K93="","",파일1!#REF!)</f>
        <v/>
      </c>
      <c r="Z93" s="16" t="str">
        <f>IF($K93="","",IF(파일1!#REF!="",1,파일1!#REF!))</f>
        <v/>
      </c>
      <c r="AA93" s="16" t="str">
        <f>IF($K93="","",IF(파일1!#REF!="","",파일1!#REF!))</f>
        <v/>
      </c>
      <c r="AB93" s="49" t="str">
        <f>IF($K93="","",파일1!$C88)</f>
        <v/>
      </c>
      <c r="AC93" s="49" t="str">
        <f>IF($K93="","",파일1!$D88)</f>
        <v/>
      </c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7" t="str">
        <f t="shared" si="32"/>
        <v/>
      </c>
    </row>
    <row r="94" spans="1:59" ht="24" customHeight="1" x14ac:dyDescent="0.3">
      <c r="A94" s="13" t="str">
        <f t="shared" si="22"/>
        <v/>
      </c>
      <c r="B94" s="51" t="str">
        <f ca="1">IF($K94="","",IF(파일1!#REF!="",TODAY(),파일1!#REF!))</f>
        <v/>
      </c>
      <c r="C94" s="14" t="str">
        <f t="shared" si="23"/>
        <v/>
      </c>
      <c r="D94" s="15" t="str">
        <f t="shared" si="24"/>
        <v/>
      </c>
      <c r="E94" s="14" t="str">
        <f t="shared" si="25"/>
        <v/>
      </c>
      <c r="F94" s="14" t="str">
        <f t="shared" si="26"/>
        <v/>
      </c>
      <c r="G94" s="16" t="str">
        <f t="shared" si="27"/>
        <v/>
      </c>
      <c r="H94" s="16" t="str">
        <f t="shared" si="28"/>
        <v/>
      </c>
      <c r="I94" s="16" t="str">
        <f t="shared" si="29"/>
        <v/>
      </c>
      <c r="J94" s="16" t="str">
        <f t="shared" si="30"/>
        <v/>
      </c>
      <c r="K94" s="54" t="str">
        <f>IF(파일1!$B89="","",TEXT(파일1!$B89,"0"))</f>
        <v/>
      </c>
      <c r="L94" s="16"/>
      <c r="M94" s="38" t="str">
        <f>IF($K94="","",IFERROR(VLOOKUP(--SUBSTITUTE(SUBSTITUTE(TRIM($K94),"-","")," ",""),마스터시트!$A$2:$H$1946,2,FALSE),"미등록"))</f>
        <v/>
      </c>
      <c r="N94" s="53" t="str">
        <f>IF($K94="","",IFERROR(VLOOKUP(--SUBSTITUTE(SUBSTITUTE(TRIM($K94),"-","")," ",""),마스터시트!$A$2:$H$1946,3,FALSE),"미등록"))</f>
        <v/>
      </c>
      <c r="O94" s="39" t="str">
        <f>IF($K94="","",IFERROR(VLOOKUP(--SUBSTITUTE(SUBSTITUTE(TRIM($K94),"-","")," ",""),마스터시트!$A$2:$H$1946,4,FALSE),""))</f>
        <v/>
      </c>
      <c r="P94" s="37" t="str">
        <f>IF($K94="","",IFERROR(VLOOKUP(--SUBSTITUTE(SUBSTITUTE(TRIM($K94),"-","")," ",""),마스터시트!$A$2:$H$1946,5,FALSE),""))</f>
        <v/>
      </c>
      <c r="Q94" s="40" t="str">
        <f>IF($K94="","",IFERROR(VLOOKUP(--SUBSTITUTE(SUBSTITUTE(TRIM($K94),"-","")," ",""),마스터시트!$A$2:$H$1946,6,FALSE),""))</f>
        <v/>
      </c>
      <c r="R94" s="41" t="str">
        <f>IF($K94="","",IFERROR(VLOOKUP(--SUBSTITUTE(SUBSTITUTE(TRIM($K94),"-","")," ",""),마스터시트!$A$2:$H$1946,7,FALSE),""))</f>
        <v/>
      </c>
      <c r="S94" s="39"/>
      <c r="T94" s="49" t="str">
        <f>IF($K94="","",파일1!$C89)</f>
        <v/>
      </c>
      <c r="U94" s="49" t="str">
        <f>IF($K94="","",파일1!$D89)</f>
        <v/>
      </c>
      <c r="V94" s="16"/>
      <c r="W94" s="14" t="str">
        <f t="shared" ca="1" si="31"/>
        <v/>
      </c>
      <c r="X94" s="16" t="s">
        <v>3024</v>
      </c>
      <c r="Y94" s="16" t="str">
        <f>IF($K94="","",파일1!#REF!)</f>
        <v/>
      </c>
      <c r="Z94" s="16" t="str">
        <f>IF($K94="","",IF(파일1!#REF!="",1,파일1!#REF!))</f>
        <v/>
      </c>
      <c r="AA94" s="16" t="str">
        <f>IF($K94="","",IF(파일1!#REF!="","",파일1!#REF!))</f>
        <v/>
      </c>
      <c r="AB94" s="49" t="str">
        <f>IF($K94="","",파일1!$C89)</f>
        <v/>
      </c>
      <c r="AC94" s="49" t="str">
        <f>IF($K94="","",파일1!$D89)</f>
        <v/>
      </c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7" t="str">
        <f t="shared" si="32"/>
        <v/>
      </c>
    </row>
    <row r="95" spans="1:59" ht="24" customHeight="1" x14ac:dyDescent="0.3">
      <c r="A95" s="13" t="str">
        <f t="shared" si="22"/>
        <v/>
      </c>
      <c r="B95" s="51" t="str">
        <f ca="1">IF($K95="","",IF(파일1!#REF!="",TODAY(),파일1!#REF!))</f>
        <v/>
      </c>
      <c r="C95" s="14" t="str">
        <f t="shared" si="23"/>
        <v/>
      </c>
      <c r="D95" s="15" t="str">
        <f t="shared" si="24"/>
        <v/>
      </c>
      <c r="E95" s="14" t="str">
        <f t="shared" si="25"/>
        <v/>
      </c>
      <c r="F95" s="14" t="str">
        <f t="shared" si="26"/>
        <v/>
      </c>
      <c r="G95" s="16" t="str">
        <f t="shared" si="27"/>
        <v/>
      </c>
      <c r="H95" s="16" t="str">
        <f t="shared" si="28"/>
        <v/>
      </c>
      <c r="I95" s="16" t="str">
        <f t="shared" si="29"/>
        <v/>
      </c>
      <c r="J95" s="16" t="str">
        <f t="shared" si="30"/>
        <v/>
      </c>
      <c r="K95" s="54" t="str">
        <f>IF(파일1!$B90="","",TEXT(파일1!$B90,"0"))</f>
        <v/>
      </c>
      <c r="L95" s="16"/>
      <c r="M95" s="38" t="str">
        <f>IF($K95="","",IFERROR(VLOOKUP(--SUBSTITUTE(SUBSTITUTE(TRIM($K95),"-","")," ",""),마스터시트!$A$2:$H$1946,2,FALSE),"미등록"))</f>
        <v/>
      </c>
      <c r="N95" s="53" t="str">
        <f>IF($K95="","",IFERROR(VLOOKUP(--SUBSTITUTE(SUBSTITUTE(TRIM($K95),"-","")," ",""),마스터시트!$A$2:$H$1946,3,FALSE),"미등록"))</f>
        <v/>
      </c>
      <c r="O95" s="39" t="str">
        <f>IF($K95="","",IFERROR(VLOOKUP(--SUBSTITUTE(SUBSTITUTE(TRIM($K95),"-","")," ",""),마스터시트!$A$2:$H$1946,4,FALSE),""))</f>
        <v/>
      </c>
      <c r="P95" s="37" t="str">
        <f>IF($K95="","",IFERROR(VLOOKUP(--SUBSTITUTE(SUBSTITUTE(TRIM($K95),"-","")," ",""),마스터시트!$A$2:$H$1946,5,FALSE),""))</f>
        <v/>
      </c>
      <c r="Q95" s="40" t="str">
        <f>IF($K95="","",IFERROR(VLOOKUP(--SUBSTITUTE(SUBSTITUTE(TRIM($K95),"-","")," ",""),마스터시트!$A$2:$H$1946,6,FALSE),""))</f>
        <v/>
      </c>
      <c r="R95" s="41" t="str">
        <f>IF($K95="","",IFERROR(VLOOKUP(--SUBSTITUTE(SUBSTITUTE(TRIM($K95),"-","")," ",""),마스터시트!$A$2:$H$1946,7,FALSE),""))</f>
        <v/>
      </c>
      <c r="S95" s="39"/>
      <c r="T95" s="49" t="str">
        <f>IF($K95="","",파일1!$C90)</f>
        <v/>
      </c>
      <c r="U95" s="49" t="str">
        <f>IF($K95="","",파일1!$D90)</f>
        <v/>
      </c>
      <c r="V95" s="16"/>
      <c r="W95" s="14" t="str">
        <f t="shared" ca="1" si="31"/>
        <v/>
      </c>
      <c r="X95" s="16" t="s">
        <v>3024</v>
      </c>
      <c r="Y95" s="16" t="str">
        <f>IF($K95="","",파일1!#REF!)</f>
        <v/>
      </c>
      <c r="Z95" s="16" t="str">
        <f>IF($K95="","",IF(파일1!#REF!="",1,파일1!#REF!))</f>
        <v/>
      </c>
      <c r="AA95" s="16" t="str">
        <f>IF($K95="","",IF(파일1!#REF!="","",파일1!#REF!))</f>
        <v/>
      </c>
      <c r="AB95" s="49" t="str">
        <f>IF($K95="","",파일1!$C90)</f>
        <v/>
      </c>
      <c r="AC95" s="49" t="str">
        <f>IF($K95="","",파일1!$D90)</f>
        <v/>
      </c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7" t="str">
        <f t="shared" si="32"/>
        <v/>
      </c>
    </row>
    <row r="96" spans="1:59" ht="24" customHeight="1" x14ac:dyDescent="0.3">
      <c r="A96" s="13" t="str">
        <f t="shared" si="22"/>
        <v/>
      </c>
      <c r="B96" s="51" t="str">
        <f ca="1">IF($K96="","",IF(파일1!#REF!="",TODAY(),파일1!#REF!))</f>
        <v/>
      </c>
      <c r="C96" s="14" t="str">
        <f t="shared" si="23"/>
        <v/>
      </c>
      <c r="D96" s="15" t="str">
        <f t="shared" si="24"/>
        <v/>
      </c>
      <c r="E96" s="14" t="str">
        <f t="shared" si="25"/>
        <v/>
      </c>
      <c r="F96" s="14" t="str">
        <f t="shared" si="26"/>
        <v/>
      </c>
      <c r="G96" s="16" t="str">
        <f t="shared" si="27"/>
        <v/>
      </c>
      <c r="H96" s="16" t="str">
        <f t="shared" si="28"/>
        <v/>
      </c>
      <c r="I96" s="16" t="str">
        <f t="shared" si="29"/>
        <v/>
      </c>
      <c r="J96" s="16" t="str">
        <f t="shared" si="30"/>
        <v/>
      </c>
      <c r="K96" s="54" t="str">
        <f>IF(파일1!$B91="","",TEXT(파일1!$B91,"0"))</f>
        <v/>
      </c>
      <c r="L96" s="16"/>
      <c r="M96" s="38" t="str">
        <f>IF($K96="","",IFERROR(VLOOKUP(--SUBSTITUTE(SUBSTITUTE(TRIM($K96),"-","")," ",""),마스터시트!$A$2:$H$1946,2,FALSE),"미등록"))</f>
        <v/>
      </c>
      <c r="N96" s="53" t="str">
        <f>IF($K96="","",IFERROR(VLOOKUP(--SUBSTITUTE(SUBSTITUTE(TRIM($K96),"-","")," ",""),마스터시트!$A$2:$H$1946,3,FALSE),"미등록"))</f>
        <v/>
      </c>
      <c r="O96" s="39" t="str">
        <f>IF($K96="","",IFERROR(VLOOKUP(--SUBSTITUTE(SUBSTITUTE(TRIM($K96),"-","")," ",""),마스터시트!$A$2:$H$1946,4,FALSE),""))</f>
        <v/>
      </c>
      <c r="P96" s="37" t="str">
        <f>IF($K96="","",IFERROR(VLOOKUP(--SUBSTITUTE(SUBSTITUTE(TRIM($K96),"-","")," ",""),마스터시트!$A$2:$H$1946,5,FALSE),""))</f>
        <v/>
      </c>
      <c r="Q96" s="40" t="str">
        <f>IF($K96="","",IFERROR(VLOOKUP(--SUBSTITUTE(SUBSTITUTE(TRIM($K96),"-","")," ",""),마스터시트!$A$2:$H$1946,6,FALSE),""))</f>
        <v/>
      </c>
      <c r="R96" s="41" t="str">
        <f>IF($K96="","",IFERROR(VLOOKUP(--SUBSTITUTE(SUBSTITUTE(TRIM($K96),"-","")," ",""),마스터시트!$A$2:$H$1946,7,FALSE),""))</f>
        <v/>
      </c>
      <c r="S96" s="39"/>
      <c r="T96" s="49" t="str">
        <f>IF($K96="","",파일1!$C91)</f>
        <v/>
      </c>
      <c r="U96" s="49" t="str">
        <f>IF($K96="","",파일1!$D91)</f>
        <v/>
      </c>
      <c r="V96" s="16"/>
      <c r="W96" s="14" t="str">
        <f t="shared" ca="1" si="31"/>
        <v/>
      </c>
      <c r="X96" s="16" t="s">
        <v>3024</v>
      </c>
      <c r="Y96" s="16" t="str">
        <f>IF($K96="","",파일1!#REF!)</f>
        <v/>
      </c>
      <c r="Z96" s="16" t="str">
        <f>IF($K96="","",IF(파일1!#REF!="",1,파일1!#REF!))</f>
        <v/>
      </c>
      <c r="AA96" s="16" t="str">
        <f>IF($K96="","",IF(파일1!#REF!="","",파일1!#REF!))</f>
        <v/>
      </c>
      <c r="AB96" s="49" t="str">
        <f>IF($K96="","",파일1!$C91)</f>
        <v/>
      </c>
      <c r="AC96" s="49" t="str">
        <f>IF($K96="","",파일1!$D91)</f>
        <v/>
      </c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7" t="str">
        <f t="shared" si="32"/>
        <v/>
      </c>
    </row>
    <row r="97" spans="1:59" ht="24" customHeight="1" x14ac:dyDescent="0.3">
      <c r="A97" s="13" t="str">
        <f t="shared" si="22"/>
        <v/>
      </c>
      <c r="B97" s="51" t="str">
        <f ca="1">IF($K97="","",IF(파일1!#REF!="",TODAY(),파일1!#REF!))</f>
        <v/>
      </c>
      <c r="C97" s="14" t="str">
        <f t="shared" si="23"/>
        <v/>
      </c>
      <c r="D97" s="15" t="str">
        <f t="shared" si="24"/>
        <v/>
      </c>
      <c r="E97" s="14" t="str">
        <f t="shared" si="25"/>
        <v/>
      </c>
      <c r="F97" s="14" t="str">
        <f t="shared" si="26"/>
        <v/>
      </c>
      <c r="G97" s="16" t="str">
        <f t="shared" si="27"/>
        <v/>
      </c>
      <c r="H97" s="16" t="str">
        <f t="shared" si="28"/>
        <v/>
      </c>
      <c r="I97" s="16" t="str">
        <f t="shared" si="29"/>
        <v/>
      </c>
      <c r="J97" s="16" t="str">
        <f t="shared" si="30"/>
        <v/>
      </c>
      <c r="K97" s="54" t="str">
        <f>IF(파일1!$B92="","",TEXT(파일1!$B92,"0"))</f>
        <v/>
      </c>
      <c r="L97" s="16"/>
      <c r="M97" s="38" t="str">
        <f>IF($K97="","",IFERROR(VLOOKUP(--SUBSTITUTE(SUBSTITUTE(TRIM($K97),"-","")," ",""),마스터시트!$A$2:$H$1946,2,FALSE),"미등록"))</f>
        <v/>
      </c>
      <c r="N97" s="53" t="str">
        <f>IF($K97="","",IFERROR(VLOOKUP(--SUBSTITUTE(SUBSTITUTE(TRIM($K97),"-","")," ",""),마스터시트!$A$2:$H$1946,3,FALSE),"미등록"))</f>
        <v/>
      </c>
      <c r="O97" s="39" t="str">
        <f>IF($K97="","",IFERROR(VLOOKUP(--SUBSTITUTE(SUBSTITUTE(TRIM($K97),"-","")," ",""),마스터시트!$A$2:$H$1946,4,FALSE),""))</f>
        <v/>
      </c>
      <c r="P97" s="37" t="str">
        <f>IF($K97="","",IFERROR(VLOOKUP(--SUBSTITUTE(SUBSTITUTE(TRIM($K97),"-","")," ",""),마스터시트!$A$2:$H$1946,5,FALSE),""))</f>
        <v/>
      </c>
      <c r="Q97" s="40" t="str">
        <f>IF($K97="","",IFERROR(VLOOKUP(--SUBSTITUTE(SUBSTITUTE(TRIM($K97),"-","")," ",""),마스터시트!$A$2:$H$1946,6,FALSE),""))</f>
        <v/>
      </c>
      <c r="R97" s="41" t="str">
        <f>IF($K97="","",IFERROR(VLOOKUP(--SUBSTITUTE(SUBSTITUTE(TRIM($K97),"-","")," ",""),마스터시트!$A$2:$H$1946,7,FALSE),""))</f>
        <v/>
      </c>
      <c r="S97" s="39"/>
      <c r="T97" s="49" t="str">
        <f>IF($K97="","",파일1!$C92)</f>
        <v/>
      </c>
      <c r="U97" s="49" t="str">
        <f>IF($K97="","",파일1!$D92)</f>
        <v/>
      </c>
      <c r="V97" s="16"/>
      <c r="W97" s="14" t="str">
        <f t="shared" ca="1" si="31"/>
        <v/>
      </c>
      <c r="X97" s="16" t="s">
        <v>3024</v>
      </c>
      <c r="Y97" s="16" t="str">
        <f>IF($K97="","",파일1!#REF!)</f>
        <v/>
      </c>
      <c r="Z97" s="16" t="str">
        <f>IF($K97="","",IF(파일1!#REF!="",1,파일1!#REF!))</f>
        <v/>
      </c>
      <c r="AA97" s="16" t="str">
        <f>IF($K97="","",IF(파일1!#REF!="","",파일1!#REF!))</f>
        <v/>
      </c>
      <c r="AB97" s="49" t="str">
        <f>IF($K97="","",파일1!$C92)</f>
        <v/>
      </c>
      <c r="AC97" s="49" t="str">
        <f>IF($K97="","",파일1!$D92)</f>
        <v/>
      </c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7" t="str">
        <f t="shared" si="32"/>
        <v/>
      </c>
    </row>
    <row r="98" spans="1:59" ht="24" customHeight="1" x14ac:dyDescent="0.3">
      <c r="A98" s="13" t="str">
        <f t="shared" si="22"/>
        <v/>
      </c>
      <c r="B98" s="51" t="str">
        <f ca="1">IF($K98="","",IF(파일1!#REF!="",TODAY(),파일1!#REF!))</f>
        <v/>
      </c>
      <c r="C98" s="14" t="str">
        <f t="shared" si="23"/>
        <v/>
      </c>
      <c r="D98" s="15" t="str">
        <f t="shared" si="24"/>
        <v/>
      </c>
      <c r="E98" s="14" t="str">
        <f t="shared" si="25"/>
        <v/>
      </c>
      <c r="F98" s="14" t="str">
        <f t="shared" si="26"/>
        <v/>
      </c>
      <c r="G98" s="16" t="str">
        <f t="shared" si="27"/>
        <v/>
      </c>
      <c r="H98" s="16" t="str">
        <f t="shared" si="28"/>
        <v/>
      </c>
      <c r="I98" s="16" t="str">
        <f t="shared" si="29"/>
        <v/>
      </c>
      <c r="J98" s="16" t="str">
        <f t="shared" si="30"/>
        <v/>
      </c>
      <c r="K98" s="54" t="str">
        <f>IF(파일1!$B93="","",TEXT(파일1!$B93,"0"))</f>
        <v/>
      </c>
      <c r="L98" s="16"/>
      <c r="M98" s="38" t="str">
        <f>IF($K98="","",IFERROR(VLOOKUP(--SUBSTITUTE(SUBSTITUTE(TRIM($K98),"-","")," ",""),마스터시트!$A$2:$H$1946,2,FALSE),"미등록"))</f>
        <v/>
      </c>
      <c r="N98" s="53" t="str">
        <f>IF($K98="","",IFERROR(VLOOKUP(--SUBSTITUTE(SUBSTITUTE(TRIM($K98),"-","")," ",""),마스터시트!$A$2:$H$1946,3,FALSE),"미등록"))</f>
        <v/>
      </c>
      <c r="O98" s="39" t="str">
        <f>IF($K98="","",IFERROR(VLOOKUP(--SUBSTITUTE(SUBSTITUTE(TRIM($K98),"-","")," ",""),마스터시트!$A$2:$H$1946,4,FALSE),""))</f>
        <v/>
      </c>
      <c r="P98" s="37" t="str">
        <f>IF($K98="","",IFERROR(VLOOKUP(--SUBSTITUTE(SUBSTITUTE(TRIM($K98),"-","")," ",""),마스터시트!$A$2:$H$1946,5,FALSE),""))</f>
        <v/>
      </c>
      <c r="Q98" s="40" t="str">
        <f>IF($K98="","",IFERROR(VLOOKUP(--SUBSTITUTE(SUBSTITUTE(TRIM($K98),"-","")," ",""),마스터시트!$A$2:$H$1946,6,FALSE),""))</f>
        <v/>
      </c>
      <c r="R98" s="41" t="str">
        <f>IF($K98="","",IFERROR(VLOOKUP(--SUBSTITUTE(SUBSTITUTE(TRIM($K98),"-","")," ",""),마스터시트!$A$2:$H$1946,7,FALSE),""))</f>
        <v/>
      </c>
      <c r="S98" s="39"/>
      <c r="T98" s="49" t="str">
        <f>IF($K98="","",파일1!$C93)</f>
        <v/>
      </c>
      <c r="U98" s="49" t="str">
        <f>IF($K98="","",파일1!$D93)</f>
        <v/>
      </c>
      <c r="V98" s="16"/>
      <c r="W98" s="14" t="str">
        <f t="shared" ca="1" si="31"/>
        <v/>
      </c>
      <c r="X98" s="16" t="s">
        <v>3024</v>
      </c>
      <c r="Y98" s="16" t="str">
        <f>IF($K98="","",파일1!#REF!)</f>
        <v/>
      </c>
      <c r="Z98" s="16" t="str">
        <f>IF($K98="","",IF(파일1!#REF!="",1,파일1!#REF!))</f>
        <v/>
      </c>
      <c r="AA98" s="16" t="str">
        <f>IF($K98="","",IF(파일1!#REF!="","",파일1!#REF!))</f>
        <v/>
      </c>
      <c r="AB98" s="49" t="str">
        <f>IF($K98="","",파일1!$C93)</f>
        <v/>
      </c>
      <c r="AC98" s="49" t="str">
        <f>IF($K98="","",파일1!$D93)</f>
        <v/>
      </c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7" t="str">
        <f t="shared" si="32"/>
        <v/>
      </c>
    </row>
    <row r="99" spans="1:59" ht="24" customHeight="1" x14ac:dyDescent="0.3">
      <c r="A99" s="13" t="str">
        <f t="shared" si="22"/>
        <v/>
      </c>
      <c r="B99" s="51" t="str">
        <f ca="1">IF($K99="","",IF(파일1!#REF!="",TODAY(),파일1!#REF!))</f>
        <v/>
      </c>
      <c r="C99" s="14" t="str">
        <f t="shared" si="23"/>
        <v/>
      </c>
      <c r="D99" s="15" t="str">
        <f t="shared" si="24"/>
        <v/>
      </c>
      <c r="E99" s="14" t="str">
        <f t="shared" si="25"/>
        <v/>
      </c>
      <c r="F99" s="14" t="str">
        <f t="shared" si="26"/>
        <v/>
      </c>
      <c r="G99" s="16" t="str">
        <f t="shared" si="27"/>
        <v/>
      </c>
      <c r="H99" s="16" t="str">
        <f t="shared" si="28"/>
        <v/>
      </c>
      <c r="I99" s="16" t="str">
        <f t="shared" si="29"/>
        <v/>
      </c>
      <c r="J99" s="16" t="str">
        <f t="shared" si="30"/>
        <v/>
      </c>
      <c r="K99" s="54" t="str">
        <f>IF(파일1!$B94="","",TEXT(파일1!$B94,"0"))</f>
        <v/>
      </c>
      <c r="L99" s="16"/>
      <c r="M99" s="38" t="str">
        <f>IF($K99="","",IFERROR(VLOOKUP(--SUBSTITUTE(SUBSTITUTE(TRIM($K99),"-","")," ",""),마스터시트!$A$2:$H$1946,2,FALSE),"미등록"))</f>
        <v/>
      </c>
      <c r="N99" s="53" t="str">
        <f>IF($K99="","",IFERROR(VLOOKUP(--SUBSTITUTE(SUBSTITUTE(TRIM($K99),"-","")," ",""),마스터시트!$A$2:$H$1946,3,FALSE),"미등록"))</f>
        <v/>
      </c>
      <c r="O99" s="39" t="str">
        <f>IF($K99="","",IFERROR(VLOOKUP(--SUBSTITUTE(SUBSTITUTE(TRIM($K99),"-","")," ",""),마스터시트!$A$2:$H$1946,4,FALSE),""))</f>
        <v/>
      </c>
      <c r="P99" s="37" t="str">
        <f>IF($K99="","",IFERROR(VLOOKUP(--SUBSTITUTE(SUBSTITUTE(TRIM($K99),"-","")," ",""),마스터시트!$A$2:$H$1946,5,FALSE),""))</f>
        <v/>
      </c>
      <c r="Q99" s="40" t="str">
        <f>IF($K99="","",IFERROR(VLOOKUP(--SUBSTITUTE(SUBSTITUTE(TRIM($K99),"-","")," ",""),마스터시트!$A$2:$H$1946,6,FALSE),""))</f>
        <v/>
      </c>
      <c r="R99" s="41" t="str">
        <f>IF($K99="","",IFERROR(VLOOKUP(--SUBSTITUTE(SUBSTITUTE(TRIM($K99),"-","")," ",""),마스터시트!$A$2:$H$1946,7,FALSE),""))</f>
        <v/>
      </c>
      <c r="S99" s="39"/>
      <c r="T99" s="49" t="str">
        <f>IF($K99="","",파일1!$C94)</f>
        <v/>
      </c>
      <c r="U99" s="49" t="str">
        <f>IF($K99="","",파일1!$D94)</f>
        <v/>
      </c>
      <c r="V99" s="16"/>
      <c r="W99" s="14" t="str">
        <f t="shared" ca="1" si="31"/>
        <v/>
      </c>
      <c r="X99" s="16" t="s">
        <v>3024</v>
      </c>
      <c r="Y99" s="16" t="str">
        <f>IF($K99="","",파일1!#REF!)</f>
        <v/>
      </c>
      <c r="Z99" s="16" t="str">
        <f>IF($K99="","",IF(파일1!#REF!="",1,파일1!#REF!))</f>
        <v/>
      </c>
      <c r="AA99" s="16" t="str">
        <f>IF($K99="","",IF(파일1!#REF!="","",파일1!#REF!))</f>
        <v/>
      </c>
      <c r="AB99" s="49" t="str">
        <f>IF($K99="","",파일1!$C94)</f>
        <v/>
      </c>
      <c r="AC99" s="49" t="str">
        <f>IF($K99="","",파일1!$D94)</f>
        <v/>
      </c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7" t="str">
        <f t="shared" si="32"/>
        <v/>
      </c>
    </row>
    <row r="100" spans="1:59" ht="24" customHeight="1" x14ac:dyDescent="0.3">
      <c r="A100" s="13" t="str">
        <f t="shared" si="22"/>
        <v/>
      </c>
      <c r="B100" s="51" t="str">
        <f ca="1">IF($K100="","",IF(파일1!#REF!="",TODAY(),파일1!#REF!))</f>
        <v/>
      </c>
      <c r="C100" s="14" t="str">
        <f t="shared" si="23"/>
        <v/>
      </c>
      <c r="D100" s="15" t="str">
        <f t="shared" si="24"/>
        <v/>
      </c>
      <c r="E100" s="14" t="str">
        <f t="shared" si="25"/>
        <v/>
      </c>
      <c r="F100" s="14" t="str">
        <f t="shared" si="26"/>
        <v/>
      </c>
      <c r="G100" s="16" t="str">
        <f t="shared" si="27"/>
        <v/>
      </c>
      <c r="H100" s="16" t="str">
        <f t="shared" si="28"/>
        <v/>
      </c>
      <c r="I100" s="16" t="str">
        <f t="shared" si="29"/>
        <v/>
      </c>
      <c r="J100" s="16" t="str">
        <f t="shared" si="30"/>
        <v/>
      </c>
      <c r="K100" s="54" t="str">
        <f>IF(파일1!$B95="","",TEXT(파일1!$B95,"0"))</f>
        <v/>
      </c>
      <c r="L100" s="16"/>
      <c r="M100" s="38" t="str">
        <f>IF($K100="","",IFERROR(VLOOKUP(--SUBSTITUTE(SUBSTITUTE(TRIM($K100),"-","")," ",""),마스터시트!$A$2:$H$1946,2,FALSE),"미등록"))</f>
        <v/>
      </c>
      <c r="N100" s="53" t="str">
        <f>IF($K100="","",IFERROR(VLOOKUP(--SUBSTITUTE(SUBSTITUTE(TRIM($K100),"-","")," ",""),마스터시트!$A$2:$H$1946,3,FALSE),"미등록"))</f>
        <v/>
      </c>
      <c r="O100" s="39" t="str">
        <f>IF($K100="","",IFERROR(VLOOKUP(--SUBSTITUTE(SUBSTITUTE(TRIM($K100),"-","")," ",""),마스터시트!$A$2:$H$1946,4,FALSE),""))</f>
        <v/>
      </c>
      <c r="P100" s="37" t="str">
        <f>IF($K100="","",IFERROR(VLOOKUP(--SUBSTITUTE(SUBSTITUTE(TRIM($K100),"-","")," ",""),마스터시트!$A$2:$H$1946,5,FALSE),""))</f>
        <v/>
      </c>
      <c r="Q100" s="40" t="str">
        <f>IF($K100="","",IFERROR(VLOOKUP(--SUBSTITUTE(SUBSTITUTE(TRIM($K100),"-","")," ",""),마스터시트!$A$2:$H$1946,6,FALSE),""))</f>
        <v/>
      </c>
      <c r="R100" s="41" t="str">
        <f>IF($K100="","",IFERROR(VLOOKUP(--SUBSTITUTE(SUBSTITUTE(TRIM($K100),"-","")," ",""),마스터시트!$A$2:$H$1946,7,FALSE),""))</f>
        <v/>
      </c>
      <c r="S100" s="39"/>
      <c r="T100" s="49" t="str">
        <f>IF($K100="","",파일1!$C95)</f>
        <v/>
      </c>
      <c r="U100" s="49" t="str">
        <f>IF($K100="","",파일1!$D95)</f>
        <v/>
      </c>
      <c r="V100" s="16"/>
      <c r="W100" s="14" t="str">
        <f t="shared" ca="1" si="31"/>
        <v/>
      </c>
      <c r="X100" s="16" t="s">
        <v>3024</v>
      </c>
      <c r="Y100" s="16" t="str">
        <f>IF($K100="","",파일1!#REF!)</f>
        <v/>
      </c>
      <c r="Z100" s="16" t="str">
        <f>IF($K100="","",IF(파일1!#REF!="",1,파일1!#REF!))</f>
        <v/>
      </c>
      <c r="AA100" s="16" t="str">
        <f>IF($K100="","",IF(파일1!#REF!="","",파일1!#REF!))</f>
        <v/>
      </c>
      <c r="AB100" s="49" t="str">
        <f>IF($K100="","",파일1!$C95)</f>
        <v/>
      </c>
      <c r="AC100" s="49" t="str">
        <f>IF($K100="","",파일1!$D95)</f>
        <v/>
      </c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7" t="str">
        <f t="shared" si="32"/>
        <v/>
      </c>
    </row>
    <row r="101" spans="1:59" ht="24" customHeight="1" x14ac:dyDescent="0.3">
      <c r="A101" s="13" t="str">
        <f t="shared" si="22"/>
        <v/>
      </c>
      <c r="B101" s="51" t="str">
        <f ca="1">IF($K101="","",IF(파일1!#REF!="",TODAY(),파일1!#REF!))</f>
        <v/>
      </c>
      <c r="C101" s="14" t="str">
        <f t="shared" si="23"/>
        <v/>
      </c>
      <c r="D101" s="15" t="str">
        <f t="shared" si="24"/>
        <v/>
      </c>
      <c r="E101" s="14" t="str">
        <f t="shared" si="25"/>
        <v/>
      </c>
      <c r="F101" s="14" t="str">
        <f t="shared" si="26"/>
        <v/>
      </c>
      <c r="G101" s="16" t="str">
        <f t="shared" si="27"/>
        <v/>
      </c>
      <c r="H101" s="16" t="str">
        <f t="shared" si="28"/>
        <v/>
      </c>
      <c r="I101" s="16" t="str">
        <f t="shared" si="29"/>
        <v/>
      </c>
      <c r="J101" s="16" t="str">
        <f t="shared" si="30"/>
        <v/>
      </c>
      <c r="K101" s="54" t="str">
        <f>IF(파일1!$B96="","",TEXT(파일1!$B96,"0"))</f>
        <v/>
      </c>
      <c r="L101" s="16"/>
      <c r="M101" s="38" t="str">
        <f>IF($K101="","",IFERROR(VLOOKUP(--SUBSTITUTE(SUBSTITUTE(TRIM($K101),"-","")," ",""),마스터시트!$A$2:$H$1946,2,FALSE),"미등록"))</f>
        <v/>
      </c>
      <c r="N101" s="53" t="str">
        <f>IF($K101="","",IFERROR(VLOOKUP(--SUBSTITUTE(SUBSTITUTE(TRIM($K101),"-","")," ",""),마스터시트!$A$2:$H$1946,3,FALSE),"미등록"))</f>
        <v/>
      </c>
      <c r="O101" s="39" t="str">
        <f>IF($K101="","",IFERROR(VLOOKUP(--SUBSTITUTE(SUBSTITUTE(TRIM($K101),"-","")," ",""),마스터시트!$A$2:$H$1946,4,FALSE),""))</f>
        <v/>
      </c>
      <c r="P101" s="37" t="str">
        <f>IF($K101="","",IFERROR(VLOOKUP(--SUBSTITUTE(SUBSTITUTE(TRIM($K101),"-","")," ",""),마스터시트!$A$2:$H$1946,5,FALSE),""))</f>
        <v/>
      </c>
      <c r="Q101" s="40" t="str">
        <f>IF($K101="","",IFERROR(VLOOKUP(--SUBSTITUTE(SUBSTITUTE(TRIM($K101),"-","")," ",""),마스터시트!$A$2:$H$1946,6,FALSE),""))</f>
        <v/>
      </c>
      <c r="R101" s="41" t="str">
        <f>IF($K101="","",IFERROR(VLOOKUP(--SUBSTITUTE(SUBSTITUTE(TRIM($K101),"-","")," ",""),마스터시트!$A$2:$H$1946,7,FALSE),""))</f>
        <v/>
      </c>
      <c r="S101" s="39"/>
      <c r="T101" s="49" t="str">
        <f>IF($K101="","",파일1!$C96)</f>
        <v/>
      </c>
      <c r="U101" s="49" t="str">
        <f>IF($K101="","",파일1!$D96)</f>
        <v/>
      </c>
      <c r="V101" s="16"/>
      <c r="W101" s="14" t="str">
        <f t="shared" ca="1" si="31"/>
        <v/>
      </c>
      <c r="X101" s="16" t="s">
        <v>3024</v>
      </c>
      <c r="Y101" s="16" t="str">
        <f>IF($K101="","",파일1!#REF!)</f>
        <v/>
      </c>
      <c r="Z101" s="16" t="str">
        <f>IF($K101="","",IF(파일1!#REF!="",1,파일1!#REF!))</f>
        <v/>
      </c>
      <c r="AA101" s="16" t="str">
        <f>IF($K101="","",IF(파일1!#REF!="","",파일1!#REF!))</f>
        <v/>
      </c>
      <c r="AB101" s="49" t="str">
        <f>IF($K101="","",파일1!$C96)</f>
        <v/>
      </c>
      <c r="AC101" s="49" t="str">
        <f>IF($K101="","",파일1!$D96)</f>
        <v/>
      </c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7" t="str">
        <f t="shared" si="32"/>
        <v/>
      </c>
    </row>
    <row r="102" spans="1:59" ht="24" customHeight="1" x14ac:dyDescent="0.3">
      <c r="A102" s="13" t="str">
        <f t="shared" si="22"/>
        <v/>
      </c>
      <c r="B102" s="51" t="str">
        <f ca="1">IF($K102="","",IF(파일1!#REF!="",TODAY(),파일1!#REF!))</f>
        <v/>
      </c>
      <c r="C102" s="14" t="str">
        <f t="shared" si="23"/>
        <v/>
      </c>
      <c r="D102" s="15" t="str">
        <f t="shared" si="24"/>
        <v/>
      </c>
      <c r="E102" s="14" t="str">
        <f t="shared" si="25"/>
        <v/>
      </c>
      <c r="F102" s="14" t="str">
        <f t="shared" si="26"/>
        <v/>
      </c>
      <c r="G102" s="16" t="str">
        <f t="shared" si="27"/>
        <v/>
      </c>
      <c r="H102" s="16" t="str">
        <f t="shared" si="28"/>
        <v/>
      </c>
      <c r="I102" s="16" t="str">
        <f t="shared" si="29"/>
        <v/>
      </c>
      <c r="J102" s="16" t="str">
        <f t="shared" si="30"/>
        <v/>
      </c>
      <c r="K102" s="54" t="str">
        <f>IF(파일1!$B97="","",TEXT(파일1!$B97,"0"))</f>
        <v/>
      </c>
      <c r="L102" s="16"/>
      <c r="M102" s="38" t="str">
        <f>IF($K102="","",IFERROR(VLOOKUP(--SUBSTITUTE(SUBSTITUTE(TRIM($K102),"-","")," ",""),마스터시트!$A$2:$H$1946,2,FALSE),"미등록"))</f>
        <v/>
      </c>
      <c r="N102" s="53" t="str">
        <f>IF($K102="","",IFERROR(VLOOKUP(--SUBSTITUTE(SUBSTITUTE(TRIM($K102),"-","")," ",""),마스터시트!$A$2:$H$1946,3,FALSE),"미등록"))</f>
        <v/>
      </c>
      <c r="O102" s="39" t="str">
        <f>IF($K102="","",IFERROR(VLOOKUP(--SUBSTITUTE(SUBSTITUTE(TRIM($K102),"-","")," ",""),마스터시트!$A$2:$H$1946,4,FALSE),""))</f>
        <v/>
      </c>
      <c r="P102" s="37" t="str">
        <f>IF($K102="","",IFERROR(VLOOKUP(--SUBSTITUTE(SUBSTITUTE(TRIM($K102),"-","")," ",""),마스터시트!$A$2:$H$1946,5,FALSE),""))</f>
        <v/>
      </c>
      <c r="Q102" s="40" t="str">
        <f>IF($K102="","",IFERROR(VLOOKUP(--SUBSTITUTE(SUBSTITUTE(TRIM($K102),"-","")," ",""),마스터시트!$A$2:$H$1946,6,FALSE),""))</f>
        <v/>
      </c>
      <c r="R102" s="41" t="str">
        <f>IF($K102="","",IFERROR(VLOOKUP(--SUBSTITUTE(SUBSTITUTE(TRIM($K102),"-","")," ",""),마스터시트!$A$2:$H$1946,7,FALSE),""))</f>
        <v/>
      </c>
      <c r="S102" s="39"/>
      <c r="T102" s="49" t="str">
        <f>IF($K102="","",파일1!$C97)</f>
        <v/>
      </c>
      <c r="U102" s="49" t="str">
        <f>IF($K102="","",파일1!$D97)</f>
        <v/>
      </c>
      <c r="V102" s="16"/>
      <c r="W102" s="14" t="str">
        <f t="shared" ca="1" si="31"/>
        <v/>
      </c>
      <c r="X102" s="16" t="s">
        <v>3024</v>
      </c>
      <c r="Y102" s="16" t="str">
        <f>IF($K102="","",파일1!#REF!)</f>
        <v/>
      </c>
      <c r="Z102" s="16" t="str">
        <f>IF($K102="","",IF(파일1!#REF!="",1,파일1!#REF!))</f>
        <v/>
      </c>
      <c r="AA102" s="16" t="str">
        <f>IF($K102="","",IF(파일1!#REF!="","",파일1!#REF!))</f>
        <v/>
      </c>
      <c r="AB102" s="49" t="str">
        <f>IF($K102="","",파일1!$C97)</f>
        <v/>
      </c>
      <c r="AC102" s="49" t="str">
        <f>IF($K102="","",파일1!$D97)</f>
        <v/>
      </c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7" t="str">
        <f t="shared" si="32"/>
        <v/>
      </c>
    </row>
    <row r="103" spans="1:59" ht="24" customHeight="1" x14ac:dyDescent="0.3">
      <c r="A103" s="13" t="str">
        <f t="shared" si="22"/>
        <v/>
      </c>
      <c r="B103" s="51" t="str">
        <f ca="1">IF($K103="","",IF(파일1!#REF!="",TODAY(),파일1!#REF!))</f>
        <v/>
      </c>
      <c r="C103" s="14" t="str">
        <f t="shared" si="23"/>
        <v/>
      </c>
      <c r="D103" s="15" t="str">
        <f t="shared" si="24"/>
        <v/>
      </c>
      <c r="E103" s="14" t="str">
        <f t="shared" si="25"/>
        <v/>
      </c>
      <c r="F103" s="14" t="str">
        <f t="shared" si="26"/>
        <v/>
      </c>
      <c r="G103" s="16" t="str">
        <f t="shared" si="27"/>
        <v/>
      </c>
      <c r="H103" s="16" t="str">
        <f t="shared" si="28"/>
        <v/>
      </c>
      <c r="I103" s="16" t="str">
        <f t="shared" si="29"/>
        <v/>
      </c>
      <c r="J103" s="16" t="str">
        <f t="shared" si="30"/>
        <v/>
      </c>
      <c r="K103" s="54" t="str">
        <f>IF(파일1!$B98="","",TEXT(파일1!$B98,"0"))</f>
        <v/>
      </c>
      <c r="L103" s="16"/>
      <c r="M103" s="38" t="str">
        <f>IF($K103="","",IFERROR(VLOOKUP(--SUBSTITUTE(SUBSTITUTE(TRIM($K103),"-","")," ",""),마스터시트!$A$2:$H$1946,2,FALSE),"미등록"))</f>
        <v/>
      </c>
      <c r="N103" s="53" t="str">
        <f>IF($K103="","",IFERROR(VLOOKUP(--SUBSTITUTE(SUBSTITUTE(TRIM($K103),"-","")," ",""),마스터시트!$A$2:$H$1946,3,FALSE),"미등록"))</f>
        <v/>
      </c>
      <c r="O103" s="39" t="str">
        <f>IF($K103="","",IFERROR(VLOOKUP(--SUBSTITUTE(SUBSTITUTE(TRIM($K103),"-","")," ",""),마스터시트!$A$2:$H$1946,4,FALSE),""))</f>
        <v/>
      </c>
      <c r="P103" s="37" t="str">
        <f>IF($K103="","",IFERROR(VLOOKUP(--SUBSTITUTE(SUBSTITUTE(TRIM($K103),"-","")," ",""),마스터시트!$A$2:$H$1946,5,FALSE),""))</f>
        <v/>
      </c>
      <c r="Q103" s="40" t="str">
        <f>IF($K103="","",IFERROR(VLOOKUP(--SUBSTITUTE(SUBSTITUTE(TRIM($K103),"-","")," ",""),마스터시트!$A$2:$H$1946,6,FALSE),""))</f>
        <v/>
      </c>
      <c r="R103" s="41" t="str">
        <f>IF($K103="","",IFERROR(VLOOKUP(--SUBSTITUTE(SUBSTITUTE(TRIM($K103),"-","")," ",""),마스터시트!$A$2:$H$1946,7,FALSE),""))</f>
        <v/>
      </c>
      <c r="S103" s="39"/>
      <c r="T103" s="49" t="str">
        <f>IF($K103="","",파일1!$C98)</f>
        <v/>
      </c>
      <c r="U103" s="49" t="str">
        <f>IF($K103="","",파일1!$D98)</f>
        <v/>
      </c>
      <c r="V103" s="16"/>
      <c r="W103" s="14" t="str">
        <f t="shared" ca="1" si="31"/>
        <v/>
      </c>
      <c r="X103" s="16" t="s">
        <v>3024</v>
      </c>
      <c r="Y103" s="16" t="str">
        <f>IF($K103="","",파일1!#REF!)</f>
        <v/>
      </c>
      <c r="Z103" s="16" t="str">
        <f>IF($K103="","",IF(파일1!#REF!="",1,파일1!#REF!))</f>
        <v/>
      </c>
      <c r="AA103" s="16" t="str">
        <f>IF($K103="","",IF(파일1!#REF!="","",파일1!#REF!))</f>
        <v/>
      </c>
      <c r="AB103" s="49" t="str">
        <f>IF($K103="","",파일1!$C98)</f>
        <v/>
      </c>
      <c r="AC103" s="49" t="str">
        <f>IF($K103="","",파일1!$D98)</f>
        <v/>
      </c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7" t="str">
        <f t="shared" si="32"/>
        <v/>
      </c>
    </row>
    <row r="104" spans="1:59" ht="24" customHeight="1" x14ac:dyDescent="0.3">
      <c r="A104" s="13" t="str">
        <f t="shared" si="22"/>
        <v/>
      </c>
      <c r="B104" s="51" t="str">
        <f ca="1">IF($K104="","",IF(파일1!#REF!="",TODAY(),파일1!#REF!))</f>
        <v/>
      </c>
      <c r="C104" s="14" t="str">
        <f t="shared" si="23"/>
        <v/>
      </c>
      <c r="D104" s="15" t="str">
        <f t="shared" si="24"/>
        <v/>
      </c>
      <c r="E104" s="14" t="str">
        <f t="shared" si="25"/>
        <v/>
      </c>
      <c r="F104" s="14" t="str">
        <f t="shared" si="26"/>
        <v/>
      </c>
      <c r="G104" s="16" t="str">
        <f t="shared" si="27"/>
        <v/>
      </c>
      <c r="H104" s="16" t="str">
        <f t="shared" si="28"/>
        <v/>
      </c>
      <c r="I104" s="16" t="str">
        <f t="shared" si="29"/>
        <v/>
      </c>
      <c r="J104" s="16" t="str">
        <f t="shared" si="30"/>
        <v/>
      </c>
      <c r="K104" s="54" t="str">
        <f>IF(파일1!$B99="","",TEXT(파일1!$B99,"0"))</f>
        <v/>
      </c>
      <c r="L104" s="16"/>
      <c r="M104" s="38" t="str">
        <f>IF($K104="","",IFERROR(VLOOKUP(--SUBSTITUTE(SUBSTITUTE(TRIM($K104),"-","")," ",""),마스터시트!$A$2:$H$1946,2,FALSE),"미등록"))</f>
        <v/>
      </c>
      <c r="N104" s="53" t="str">
        <f>IF($K104="","",IFERROR(VLOOKUP(--SUBSTITUTE(SUBSTITUTE(TRIM($K104),"-","")," ",""),마스터시트!$A$2:$H$1946,3,FALSE),"미등록"))</f>
        <v/>
      </c>
      <c r="O104" s="39" t="str">
        <f>IF($K104="","",IFERROR(VLOOKUP(--SUBSTITUTE(SUBSTITUTE(TRIM($K104),"-","")," ",""),마스터시트!$A$2:$H$1946,4,FALSE),""))</f>
        <v/>
      </c>
      <c r="P104" s="37" t="str">
        <f>IF($K104="","",IFERROR(VLOOKUP(--SUBSTITUTE(SUBSTITUTE(TRIM($K104),"-","")," ",""),마스터시트!$A$2:$H$1946,5,FALSE),""))</f>
        <v/>
      </c>
      <c r="Q104" s="40" t="str">
        <f>IF($K104="","",IFERROR(VLOOKUP(--SUBSTITUTE(SUBSTITUTE(TRIM($K104),"-","")," ",""),마스터시트!$A$2:$H$1946,6,FALSE),""))</f>
        <v/>
      </c>
      <c r="R104" s="41" t="str">
        <f>IF($K104="","",IFERROR(VLOOKUP(--SUBSTITUTE(SUBSTITUTE(TRIM($K104),"-","")," ",""),마스터시트!$A$2:$H$1946,7,FALSE),""))</f>
        <v/>
      </c>
      <c r="S104" s="39"/>
      <c r="T104" s="49" t="str">
        <f>IF($K104="","",파일1!$C99)</f>
        <v/>
      </c>
      <c r="U104" s="49" t="str">
        <f>IF($K104="","",파일1!$D99)</f>
        <v/>
      </c>
      <c r="V104" s="16"/>
      <c r="W104" s="14" t="str">
        <f t="shared" ca="1" si="31"/>
        <v/>
      </c>
      <c r="X104" s="16" t="s">
        <v>3024</v>
      </c>
      <c r="Y104" s="16" t="str">
        <f>IF($K104="","",파일1!#REF!)</f>
        <v/>
      </c>
      <c r="Z104" s="16" t="str">
        <f>IF($K104="","",IF(파일1!#REF!="",1,파일1!#REF!))</f>
        <v/>
      </c>
      <c r="AA104" s="16" t="str">
        <f>IF($K104="","",IF(파일1!#REF!="","",파일1!#REF!))</f>
        <v/>
      </c>
      <c r="AB104" s="49" t="str">
        <f>IF($K104="","",파일1!$C99)</f>
        <v/>
      </c>
      <c r="AC104" s="49" t="str">
        <f>IF($K104="","",파일1!$D99)</f>
        <v/>
      </c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7" t="str">
        <f t="shared" si="32"/>
        <v/>
      </c>
    </row>
    <row r="105" spans="1:59" ht="24" customHeight="1" x14ac:dyDescent="0.3">
      <c r="A105" s="13" t="str">
        <f t="shared" si="22"/>
        <v/>
      </c>
      <c r="B105" s="51" t="str">
        <f ca="1">IF($K105="","",IF(파일1!#REF!="",TODAY(),파일1!#REF!))</f>
        <v/>
      </c>
      <c r="C105" s="14" t="str">
        <f t="shared" si="23"/>
        <v/>
      </c>
      <c r="D105" s="15" t="str">
        <f t="shared" si="24"/>
        <v/>
      </c>
      <c r="E105" s="14" t="str">
        <f t="shared" si="25"/>
        <v/>
      </c>
      <c r="F105" s="14" t="str">
        <f t="shared" si="26"/>
        <v/>
      </c>
      <c r="G105" s="16" t="str">
        <f t="shared" si="27"/>
        <v/>
      </c>
      <c r="H105" s="16" t="str">
        <f t="shared" si="28"/>
        <v/>
      </c>
      <c r="I105" s="16" t="str">
        <f t="shared" si="29"/>
        <v/>
      </c>
      <c r="J105" s="16" t="str">
        <f t="shared" si="30"/>
        <v/>
      </c>
      <c r="K105" s="54" t="str">
        <f>IF(파일1!$B100="","",TEXT(파일1!$B100,"0"))</f>
        <v/>
      </c>
      <c r="L105" s="16"/>
      <c r="M105" s="38" t="str">
        <f>IF($K105="","",IFERROR(VLOOKUP(--SUBSTITUTE(SUBSTITUTE(TRIM($K105),"-","")," ",""),마스터시트!$A$2:$H$1946,2,FALSE),"미등록"))</f>
        <v/>
      </c>
      <c r="N105" s="53" t="str">
        <f>IF($K105="","",IFERROR(VLOOKUP(--SUBSTITUTE(SUBSTITUTE(TRIM($K105),"-","")," ",""),마스터시트!$A$2:$H$1946,3,FALSE),"미등록"))</f>
        <v/>
      </c>
      <c r="O105" s="39" t="str">
        <f>IF($K105="","",IFERROR(VLOOKUP(--SUBSTITUTE(SUBSTITUTE(TRIM($K105),"-","")," ",""),마스터시트!$A$2:$H$1946,4,FALSE),""))</f>
        <v/>
      </c>
      <c r="P105" s="37" t="str">
        <f>IF($K105="","",IFERROR(VLOOKUP(--SUBSTITUTE(SUBSTITUTE(TRIM($K105),"-","")," ",""),마스터시트!$A$2:$H$1946,5,FALSE),""))</f>
        <v/>
      </c>
      <c r="Q105" s="40" t="str">
        <f>IF($K105="","",IFERROR(VLOOKUP(--SUBSTITUTE(SUBSTITUTE(TRIM($K105),"-","")," ",""),마스터시트!$A$2:$H$1946,6,FALSE),""))</f>
        <v/>
      </c>
      <c r="R105" s="41" t="str">
        <f>IF($K105="","",IFERROR(VLOOKUP(--SUBSTITUTE(SUBSTITUTE(TRIM($K105),"-","")," ",""),마스터시트!$A$2:$H$1946,7,FALSE),""))</f>
        <v/>
      </c>
      <c r="S105" s="39"/>
      <c r="T105" s="49" t="str">
        <f>IF($K105="","",파일1!$C100)</f>
        <v/>
      </c>
      <c r="U105" s="49" t="str">
        <f>IF($K105="","",파일1!$D100)</f>
        <v/>
      </c>
      <c r="V105" s="16"/>
      <c r="W105" s="14" t="str">
        <f t="shared" ca="1" si="31"/>
        <v/>
      </c>
      <c r="X105" s="16" t="s">
        <v>3024</v>
      </c>
      <c r="Y105" s="16" t="str">
        <f>IF($K105="","",파일1!#REF!)</f>
        <v/>
      </c>
      <c r="Z105" s="16" t="str">
        <f>IF($K105="","",IF(파일1!#REF!="",1,파일1!#REF!))</f>
        <v/>
      </c>
      <c r="AA105" s="16" t="str">
        <f>IF($K105="","",IF(파일1!#REF!="","",파일1!#REF!))</f>
        <v/>
      </c>
      <c r="AB105" s="49" t="str">
        <f>IF($K105="","",파일1!$C100)</f>
        <v/>
      </c>
      <c r="AC105" s="49" t="str">
        <f>IF($K105="","",파일1!$D100)</f>
        <v/>
      </c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7" t="str">
        <f t="shared" si="32"/>
        <v/>
      </c>
    </row>
    <row r="106" spans="1:59" ht="24" customHeight="1" x14ac:dyDescent="0.3">
      <c r="A106" s="13" t="str">
        <f t="shared" si="22"/>
        <v/>
      </c>
      <c r="B106" s="51" t="str">
        <f ca="1">IF($K106="","",IF(파일1!#REF!="",TODAY(),파일1!#REF!))</f>
        <v/>
      </c>
      <c r="C106" s="14" t="str">
        <f t="shared" si="23"/>
        <v/>
      </c>
      <c r="D106" s="15" t="str">
        <f t="shared" si="24"/>
        <v/>
      </c>
      <c r="E106" s="14" t="str">
        <f t="shared" si="25"/>
        <v/>
      </c>
      <c r="F106" s="14" t="str">
        <f t="shared" si="26"/>
        <v/>
      </c>
      <c r="G106" s="16" t="str">
        <f t="shared" si="27"/>
        <v/>
      </c>
      <c r="H106" s="16" t="str">
        <f t="shared" si="28"/>
        <v/>
      </c>
      <c r="I106" s="16" t="str">
        <f t="shared" si="29"/>
        <v/>
      </c>
      <c r="J106" s="16" t="str">
        <f t="shared" si="30"/>
        <v/>
      </c>
      <c r="K106" s="54" t="str">
        <f>IF(파일1!$B101="","",TEXT(파일1!$B101,"0"))</f>
        <v/>
      </c>
      <c r="L106" s="16"/>
      <c r="M106" s="38" t="str">
        <f>IF($K106="","",IFERROR(VLOOKUP(--SUBSTITUTE(SUBSTITUTE(TRIM($K106),"-","")," ",""),마스터시트!$A$2:$H$1946,2,FALSE),"미등록"))</f>
        <v/>
      </c>
      <c r="N106" s="53" t="str">
        <f>IF($K106="","",IFERROR(VLOOKUP(--SUBSTITUTE(SUBSTITUTE(TRIM($K106),"-","")," ",""),마스터시트!$A$2:$H$1946,3,FALSE),"미등록"))</f>
        <v/>
      </c>
      <c r="O106" s="39" t="str">
        <f>IF($K106="","",IFERROR(VLOOKUP(--SUBSTITUTE(SUBSTITUTE(TRIM($K106),"-","")," ",""),마스터시트!$A$2:$H$1946,4,FALSE),""))</f>
        <v/>
      </c>
      <c r="P106" s="37" t="str">
        <f>IF($K106="","",IFERROR(VLOOKUP(--SUBSTITUTE(SUBSTITUTE(TRIM($K106),"-","")," ",""),마스터시트!$A$2:$H$1946,5,FALSE),""))</f>
        <v/>
      </c>
      <c r="Q106" s="40" t="str">
        <f>IF($K106="","",IFERROR(VLOOKUP(--SUBSTITUTE(SUBSTITUTE(TRIM($K106),"-","")," ",""),마스터시트!$A$2:$H$1946,6,FALSE),""))</f>
        <v/>
      </c>
      <c r="R106" s="41" t="str">
        <f>IF($K106="","",IFERROR(VLOOKUP(--SUBSTITUTE(SUBSTITUTE(TRIM($K106),"-","")," ",""),마스터시트!$A$2:$H$1946,7,FALSE),""))</f>
        <v/>
      </c>
      <c r="S106" s="39"/>
      <c r="T106" s="49" t="str">
        <f>IF($K106="","",파일1!$C101)</f>
        <v/>
      </c>
      <c r="U106" s="49" t="str">
        <f>IF($K106="","",파일1!$D101)</f>
        <v/>
      </c>
      <c r="V106" s="16"/>
      <c r="W106" s="14" t="str">
        <f t="shared" ca="1" si="31"/>
        <v/>
      </c>
      <c r="X106" s="16" t="s">
        <v>3024</v>
      </c>
      <c r="Y106" s="16" t="str">
        <f>IF($K106="","",파일1!#REF!)</f>
        <v/>
      </c>
      <c r="Z106" s="16" t="str">
        <f>IF($K106="","",IF(파일1!#REF!="",1,파일1!#REF!))</f>
        <v/>
      </c>
      <c r="AA106" s="16" t="str">
        <f>IF($K106="","",IF(파일1!#REF!="","",파일1!#REF!))</f>
        <v/>
      </c>
      <c r="AB106" s="49" t="str">
        <f>IF($K106="","",파일1!$C101)</f>
        <v/>
      </c>
      <c r="AC106" s="49" t="str">
        <f>IF($K106="","",파일1!$D101)</f>
        <v/>
      </c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7" t="str">
        <f t="shared" si="32"/>
        <v/>
      </c>
    </row>
    <row r="107" spans="1:59" x14ac:dyDescent="0.3">
      <c r="M107" s="18" t="str">
        <f>IF($K107="","",IFERROR(VLOOKUP(--SUBSTITUTE(SUBSTITUTE(TRIM($K107),"-","")," ",""),마스터시트!$A$2:$H$1946,2,FALSE),"미등록"))</f>
        <v/>
      </c>
      <c r="N107" s="53" t="str">
        <f>IF($K107="","",IFERROR(VLOOKUP(--SUBSTITUTE(SUBSTITUTE(TRIM($K107),"-","")," ",""),마스터시트!$A$2:$H$1946,3,FALSE),"미등록"))</f>
        <v/>
      </c>
      <c r="O107" s="18" t="str">
        <f>IF($K107="","",IFERROR(VLOOKUP(--SUBSTITUTE(SUBSTITUTE(TRIM($K107),"-","")," ",""),마스터시트!$A$2:$H$1946,4,FALSE),""))</f>
        <v/>
      </c>
      <c r="P107" s="18" t="str">
        <f>IF($K107="","",IFERROR(VLOOKUP(--SUBSTITUTE(SUBSTITUTE(TRIM($K107),"-","")," ",""),마스터시트!$A$2:$H$1946,5,FALSE),""))</f>
        <v/>
      </c>
      <c r="Q107" s="18" t="str">
        <f>IF($K107="","",IFERROR(VLOOKUP(--SUBSTITUTE(SUBSTITUTE(TRIM($K107),"-","")," ",""),마스터시트!$A$2:$H$1946,6,FALSE),""))</f>
        <v/>
      </c>
      <c r="R107" s="18" t="str">
        <f>IF($K107="","",IFERROR(VLOOKUP(--SUBSTITUTE(SUBSTITUTE(TRIM($K107),"-","")," ",""),마스터시트!$A$2:$H$1946,7,FALSE),""))</f>
        <v/>
      </c>
    </row>
    <row r="108" spans="1:59" x14ac:dyDescent="0.3">
      <c r="M108" s="18" t="str">
        <f>IF($K108="","",IFERROR(VLOOKUP(--SUBSTITUTE(SUBSTITUTE(TRIM($K108),"-","")," ",""),마스터시트!$A$2:$H$1946,2,FALSE),"미등록"))</f>
        <v/>
      </c>
      <c r="N108" s="53" t="str">
        <f>IF($K108="","",IFERROR(VLOOKUP(--SUBSTITUTE(SUBSTITUTE(TRIM($K108),"-","")," ",""),마스터시트!$A$2:$H$1946,3,FALSE),"미등록"))</f>
        <v/>
      </c>
      <c r="O108" s="18" t="str">
        <f>IF($K108="","",IFERROR(VLOOKUP(--SUBSTITUTE(SUBSTITUTE(TRIM($K108),"-","")," ",""),마스터시트!$A$2:$H$1946,4,FALSE),""))</f>
        <v/>
      </c>
      <c r="P108" s="18" t="str">
        <f>IF($K108="","",IFERROR(VLOOKUP(--SUBSTITUTE(SUBSTITUTE(TRIM($K108),"-","")," ",""),마스터시트!$A$2:$H$1946,5,FALSE),""))</f>
        <v/>
      </c>
      <c r="Q108" s="18" t="str">
        <f>IF($K108="","",IFERROR(VLOOKUP(--SUBSTITUTE(SUBSTITUTE(TRIM($K108),"-","")," ",""),마스터시트!$A$2:$H$1946,6,FALSE),""))</f>
        <v/>
      </c>
      <c r="R108" s="18" t="str">
        <f>IF($K108="","",IFERROR(VLOOKUP(--SUBSTITUTE(SUBSTITUTE(TRIM($K108),"-","")," ",""),마스터시트!$A$2:$H$1946,7,FALSE),""))</f>
        <v/>
      </c>
    </row>
    <row r="109" spans="1:59" x14ac:dyDescent="0.3">
      <c r="M109" s="18" t="str">
        <f>IF($K109="","",IFERROR(VLOOKUP(--SUBSTITUTE(SUBSTITUTE(TRIM($K109),"-","")," ",""),마스터시트!$A$2:$H$1946,2,FALSE),"미등록"))</f>
        <v/>
      </c>
      <c r="N109" s="53" t="str">
        <f>IF($K109="","",IFERROR(VLOOKUP(--SUBSTITUTE(SUBSTITUTE(TRIM($K109),"-","")," ",""),마스터시트!$A$2:$H$1946,3,FALSE),"미등록"))</f>
        <v/>
      </c>
      <c r="O109" s="18" t="str">
        <f>IF($K109="","",IFERROR(VLOOKUP(--SUBSTITUTE(SUBSTITUTE(TRIM($K109),"-","")," ",""),마스터시트!$A$2:$H$1946,4,FALSE),""))</f>
        <v/>
      </c>
      <c r="P109" s="18" t="str">
        <f>IF($K109="","",IFERROR(VLOOKUP(--SUBSTITUTE(SUBSTITUTE(TRIM($K109),"-","")," ",""),마스터시트!$A$2:$H$1946,5,FALSE),""))</f>
        <v/>
      </c>
      <c r="Q109" s="18" t="str">
        <f>IF($K109="","",IFERROR(VLOOKUP(--SUBSTITUTE(SUBSTITUTE(TRIM($K109),"-","")," ",""),마스터시트!$A$2:$H$1946,6,FALSE),""))</f>
        <v/>
      </c>
      <c r="R109" s="18" t="str">
        <f>IF($K109="","",IFERROR(VLOOKUP(--SUBSTITUTE(SUBSTITUTE(TRIM($K109),"-","")," ",""),마스터시트!$A$2:$H$1946,7,FALSE),""))</f>
        <v/>
      </c>
    </row>
    <row r="110" spans="1:59" x14ac:dyDescent="0.3">
      <c r="M110" s="18" t="str">
        <f>IF($K110="","",IFERROR(VLOOKUP(--SUBSTITUTE(SUBSTITUTE(TRIM($K110),"-","")," ",""),마스터시트!$A$2:$H$1946,2,FALSE),"미등록"))</f>
        <v/>
      </c>
      <c r="N110" s="53" t="str">
        <f>IF($K110="","",IFERROR(VLOOKUP(--SUBSTITUTE(SUBSTITUTE(TRIM($K110),"-","")," ",""),마스터시트!$A$2:$H$1946,3,FALSE),"미등록"))</f>
        <v/>
      </c>
      <c r="O110" s="18" t="str">
        <f>IF($K110="","",IFERROR(VLOOKUP(--SUBSTITUTE(SUBSTITUTE(TRIM($K110),"-","")," ",""),마스터시트!$A$2:$H$1946,4,FALSE),""))</f>
        <v/>
      </c>
      <c r="P110" s="18" t="str">
        <f>IF($K110="","",IFERROR(VLOOKUP(--SUBSTITUTE(SUBSTITUTE(TRIM($K110),"-","")," ",""),마스터시트!$A$2:$H$1946,5,FALSE),""))</f>
        <v/>
      </c>
      <c r="Q110" s="18" t="str">
        <f>IF($K110="","",IFERROR(VLOOKUP(--SUBSTITUTE(SUBSTITUTE(TRIM($K110),"-","")," ",""),마스터시트!$A$2:$H$1946,6,FALSE),""))</f>
        <v/>
      </c>
      <c r="R110" s="18" t="str">
        <f>IF($K110="","",IFERROR(VLOOKUP(--SUBSTITUTE(SUBSTITUTE(TRIM($K110),"-","")," ",""),마스터시트!$A$2:$H$1946,7,FALSE),""))</f>
        <v/>
      </c>
    </row>
    <row r="111" spans="1:59" x14ac:dyDescent="0.3">
      <c r="M111" s="18" t="str">
        <f>IF($K111="","",IFERROR(VLOOKUP(--SUBSTITUTE(SUBSTITUTE(TRIM($K111),"-","")," ",""),마스터시트!$A$2:$H$1946,2,FALSE),"미등록"))</f>
        <v/>
      </c>
      <c r="N111" s="53" t="str">
        <f>IF($K111="","",IFERROR(VLOOKUP(--SUBSTITUTE(SUBSTITUTE(TRIM($K111),"-","")," ",""),마스터시트!$A$2:$H$1946,3,FALSE),"미등록"))</f>
        <v/>
      </c>
      <c r="O111" s="18" t="str">
        <f>IF($K111="","",IFERROR(VLOOKUP(--SUBSTITUTE(SUBSTITUTE(TRIM($K111),"-","")," ",""),마스터시트!$A$2:$H$1946,4,FALSE),""))</f>
        <v/>
      </c>
      <c r="P111" s="18" t="str">
        <f>IF($K111="","",IFERROR(VLOOKUP(--SUBSTITUTE(SUBSTITUTE(TRIM($K111),"-","")," ",""),마스터시트!$A$2:$H$1946,5,FALSE),""))</f>
        <v/>
      </c>
      <c r="Q111" s="18" t="str">
        <f>IF($K111="","",IFERROR(VLOOKUP(--SUBSTITUTE(SUBSTITUTE(TRIM($K111),"-","")," ",""),마스터시트!$A$2:$H$1946,6,FALSE),""))</f>
        <v/>
      </c>
      <c r="R111" s="18" t="str">
        <f>IF($K111="","",IFERROR(VLOOKUP(--SUBSTITUTE(SUBSTITUTE(TRIM($K111),"-","")," ",""),마스터시트!$A$2:$H$1946,7,FALSE),""))</f>
        <v/>
      </c>
    </row>
    <row r="112" spans="1:59" x14ac:dyDescent="0.3">
      <c r="M112" s="18" t="str">
        <f>IF($K112="","",IFERROR(VLOOKUP(--SUBSTITUTE(SUBSTITUTE(TRIM($K112),"-","")," ",""),마스터시트!$A$2:$H$1946,2,FALSE),"미등록"))</f>
        <v/>
      </c>
      <c r="N112" s="53" t="str">
        <f>IF($K112="","",IFERROR(VLOOKUP(--SUBSTITUTE(SUBSTITUTE(TRIM($K112),"-","")," ",""),마스터시트!$A$2:$H$1946,3,FALSE),"미등록"))</f>
        <v/>
      </c>
      <c r="O112" s="18" t="str">
        <f>IF($K112="","",IFERROR(VLOOKUP(--SUBSTITUTE(SUBSTITUTE(TRIM($K112),"-","")," ",""),마스터시트!$A$2:$H$1946,4,FALSE),""))</f>
        <v/>
      </c>
      <c r="P112" s="18" t="str">
        <f>IF($K112="","",IFERROR(VLOOKUP(--SUBSTITUTE(SUBSTITUTE(TRIM($K112),"-","")," ",""),마스터시트!$A$2:$H$1946,5,FALSE),""))</f>
        <v/>
      </c>
      <c r="Q112" s="18" t="str">
        <f>IF($K112="","",IFERROR(VLOOKUP(--SUBSTITUTE(SUBSTITUTE(TRIM($K112),"-","")," ",""),마스터시트!$A$2:$H$1946,6,FALSE),""))</f>
        <v/>
      </c>
      <c r="R112" s="18" t="str">
        <f>IF($K112="","",IFERROR(VLOOKUP(--SUBSTITUTE(SUBSTITUTE(TRIM($K112),"-","")," ",""),마스터시트!$A$2:$H$1946,7,FALSE),""))</f>
        <v/>
      </c>
    </row>
    <row r="113" spans="13:18" x14ac:dyDescent="0.3">
      <c r="M113" s="18" t="str">
        <f>IF($K113="","",IFERROR(VLOOKUP(--SUBSTITUTE(SUBSTITUTE(TRIM($K113),"-","")," ",""),마스터시트!$A$2:$H$1946,2,FALSE),"미등록"))</f>
        <v/>
      </c>
      <c r="N113" s="53" t="str">
        <f>IF($K113="","",IFERROR(VLOOKUP(--SUBSTITUTE(SUBSTITUTE(TRIM($K113),"-","")," ",""),마스터시트!$A$2:$H$1946,3,FALSE),"미등록"))</f>
        <v/>
      </c>
      <c r="O113" s="18" t="str">
        <f>IF($K113="","",IFERROR(VLOOKUP(--SUBSTITUTE(SUBSTITUTE(TRIM($K113),"-","")," ",""),마스터시트!$A$2:$H$1946,4,FALSE),""))</f>
        <v/>
      </c>
      <c r="P113" s="18" t="str">
        <f>IF($K113="","",IFERROR(VLOOKUP(--SUBSTITUTE(SUBSTITUTE(TRIM($K113),"-","")," ",""),마스터시트!$A$2:$H$1946,5,FALSE),""))</f>
        <v/>
      </c>
      <c r="Q113" s="18" t="str">
        <f>IF($K113="","",IFERROR(VLOOKUP(--SUBSTITUTE(SUBSTITUTE(TRIM($K113),"-","")," ",""),마스터시트!$A$2:$H$1946,6,FALSE),""))</f>
        <v/>
      </c>
      <c r="R113" s="18" t="str">
        <f>IF($K113="","",IFERROR(VLOOKUP(--SUBSTITUTE(SUBSTITUTE(TRIM($K113),"-","")," ",""),마스터시트!$A$2:$H$1946,7,FALSE),""))</f>
        <v/>
      </c>
    </row>
    <row r="114" spans="13:18" x14ac:dyDescent="0.3">
      <c r="M114" s="18" t="str">
        <f>IF($K114="","",IFERROR(VLOOKUP(--SUBSTITUTE(SUBSTITUTE(TRIM($K114),"-","")," ",""),마스터시트!$A$2:$H$1946,2,FALSE),"미등록"))</f>
        <v/>
      </c>
      <c r="N114" s="53" t="str">
        <f>IF($K114="","",IFERROR(VLOOKUP(--SUBSTITUTE(SUBSTITUTE(TRIM($K114),"-","")," ",""),마스터시트!$A$2:$H$1946,3,FALSE),"미등록"))</f>
        <v/>
      </c>
      <c r="O114" s="18" t="str">
        <f>IF($K114="","",IFERROR(VLOOKUP(--SUBSTITUTE(SUBSTITUTE(TRIM($K114),"-","")," ",""),마스터시트!$A$2:$H$1946,4,FALSE),""))</f>
        <v/>
      </c>
      <c r="P114" s="18" t="str">
        <f>IF($K114="","",IFERROR(VLOOKUP(--SUBSTITUTE(SUBSTITUTE(TRIM($K114),"-","")," ",""),마스터시트!$A$2:$H$1946,5,FALSE),""))</f>
        <v/>
      </c>
      <c r="Q114" s="18" t="str">
        <f>IF($K114="","",IFERROR(VLOOKUP(--SUBSTITUTE(SUBSTITUTE(TRIM($K114),"-","")," ",""),마스터시트!$A$2:$H$1946,6,FALSE),""))</f>
        <v/>
      </c>
      <c r="R114" s="18" t="str">
        <f>IF($K114="","",IFERROR(VLOOKUP(--SUBSTITUTE(SUBSTITUTE(TRIM($K114),"-","")," ",""),마스터시트!$A$2:$H$1946,7,FALSE),""))</f>
        <v/>
      </c>
    </row>
    <row r="115" spans="13:18" x14ac:dyDescent="0.3">
      <c r="M115" s="18" t="str">
        <f>IF($K115="","",IFERROR(VLOOKUP(--SUBSTITUTE(SUBSTITUTE(TRIM($K115),"-","")," ",""),마스터시트!$A$2:$H$1946,2,FALSE),"미등록"))</f>
        <v/>
      </c>
      <c r="N115" s="53" t="str">
        <f>IF($K115="","",IFERROR(VLOOKUP(--SUBSTITUTE(SUBSTITUTE(TRIM($K115),"-","")," ",""),마스터시트!$A$2:$H$1946,3,FALSE),"미등록"))</f>
        <v/>
      </c>
      <c r="O115" s="18" t="str">
        <f>IF($K115="","",IFERROR(VLOOKUP(--SUBSTITUTE(SUBSTITUTE(TRIM($K115),"-","")," ",""),마스터시트!$A$2:$H$1946,4,FALSE),""))</f>
        <v/>
      </c>
      <c r="P115" s="18" t="str">
        <f>IF($K115="","",IFERROR(VLOOKUP(--SUBSTITUTE(SUBSTITUTE(TRIM($K115),"-","")," ",""),마스터시트!$A$2:$H$1946,5,FALSE),""))</f>
        <v/>
      </c>
      <c r="Q115" s="18" t="str">
        <f>IF($K115="","",IFERROR(VLOOKUP(--SUBSTITUTE(SUBSTITUTE(TRIM($K115),"-","")," ",""),마스터시트!$A$2:$H$1946,6,FALSE),""))</f>
        <v/>
      </c>
      <c r="R115" s="18" t="str">
        <f>IF($K115="","",IFERROR(VLOOKUP(--SUBSTITUTE(SUBSTITUTE(TRIM($K115),"-","")," ",""),마스터시트!$A$2:$H$1946,7,FALSE),""))</f>
        <v/>
      </c>
    </row>
    <row r="116" spans="13:18" x14ac:dyDescent="0.3">
      <c r="M116" s="18" t="str">
        <f>IF($K116="","",IFERROR(VLOOKUP(--SUBSTITUTE(SUBSTITUTE(TRIM($K116),"-","")," ",""),마스터시트!$A$2:$H$1946,2,FALSE),"미등록"))</f>
        <v/>
      </c>
      <c r="N116" s="53" t="str">
        <f>IF($K116="","",IFERROR(VLOOKUP(--SUBSTITUTE(SUBSTITUTE(TRIM($K116),"-","")," ",""),마스터시트!$A$2:$H$1946,3,FALSE),"미등록"))</f>
        <v/>
      </c>
      <c r="O116" s="18" t="str">
        <f>IF($K116="","",IFERROR(VLOOKUP(--SUBSTITUTE(SUBSTITUTE(TRIM($K116),"-","")," ",""),마스터시트!$A$2:$H$1946,4,FALSE),""))</f>
        <v/>
      </c>
      <c r="P116" s="18" t="str">
        <f>IF($K116="","",IFERROR(VLOOKUP(--SUBSTITUTE(SUBSTITUTE(TRIM($K116),"-","")," ",""),마스터시트!$A$2:$H$1946,5,FALSE),""))</f>
        <v/>
      </c>
      <c r="Q116" s="18" t="str">
        <f>IF($K116="","",IFERROR(VLOOKUP(--SUBSTITUTE(SUBSTITUTE(TRIM($K116),"-","")," ",""),마스터시트!$A$2:$H$1946,6,FALSE),""))</f>
        <v/>
      </c>
      <c r="R116" s="18" t="str">
        <f>IF($K116="","",IFERROR(VLOOKUP(--SUBSTITUTE(SUBSTITUTE(TRIM($K116),"-","")," ",""),마스터시트!$A$2:$H$1946,7,FALSE),""))</f>
        <v/>
      </c>
    </row>
    <row r="117" spans="13:18" x14ac:dyDescent="0.3">
      <c r="M117" s="18" t="str">
        <f>IF($K117="","",IFERROR(VLOOKUP(--SUBSTITUTE(SUBSTITUTE(TRIM($K117),"-","")," ",""),마스터시트!$A$2:$H$1946,2,FALSE),"미등록"))</f>
        <v/>
      </c>
      <c r="N117" s="53" t="str">
        <f>IF($K117="","",IFERROR(VLOOKUP(--SUBSTITUTE(SUBSTITUTE(TRIM($K117),"-","")," ",""),마스터시트!$A$2:$H$1946,3,FALSE),"미등록"))</f>
        <v/>
      </c>
      <c r="O117" s="18" t="str">
        <f>IF($K117="","",IFERROR(VLOOKUP(--SUBSTITUTE(SUBSTITUTE(TRIM($K117),"-","")," ",""),마스터시트!$A$2:$H$1946,4,FALSE),""))</f>
        <v/>
      </c>
      <c r="P117" s="18" t="str">
        <f>IF($K117="","",IFERROR(VLOOKUP(--SUBSTITUTE(SUBSTITUTE(TRIM($K117),"-","")," ",""),마스터시트!$A$2:$H$1946,5,FALSE),""))</f>
        <v/>
      </c>
      <c r="Q117" s="18" t="str">
        <f>IF($K117="","",IFERROR(VLOOKUP(--SUBSTITUTE(SUBSTITUTE(TRIM($K117),"-","")," ",""),마스터시트!$A$2:$H$1946,6,FALSE),""))</f>
        <v/>
      </c>
      <c r="R117" s="18" t="str">
        <f>IF($K117="","",IFERROR(VLOOKUP(--SUBSTITUTE(SUBSTITUTE(TRIM($K117),"-","")," ",""),마스터시트!$A$2:$H$1946,7,FALSE),""))</f>
        <v/>
      </c>
    </row>
    <row r="118" spans="13:18" x14ac:dyDescent="0.3">
      <c r="M118" s="18" t="str">
        <f>IF($K118="","",IFERROR(VLOOKUP(--SUBSTITUTE(SUBSTITUTE(TRIM($K118),"-","")," ",""),마스터시트!$A$2:$H$1946,2,FALSE),"미등록"))</f>
        <v/>
      </c>
      <c r="N118" s="53" t="str">
        <f>IF($K118="","",IFERROR(VLOOKUP(--SUBSTITUTE(SUBSTITUTE(TRIM($K118),"-","")," ",""),마스터시트!$A$2:$H$1946,3,FALSE),"미등록"))</f>
        <v/>
      </c>
      <c r="O118" s="18" t="str">
        <f>IF($K118="","",IFERROR(VLOOKUP(--SUBSTITUTE(SUBSTITUTE(TRIM($K118),"-","")," ",""),마스터시트!$A$2:$H$1946,4,FALSE),""))</f>
        <v/>
      </c>
      <c r="P118" s="18" t="str">
        <f>IF($K118="","",IFERROR(VLOOKUP(--SUBSTITUTE(SUBSTITUTE(TRIM($K118),"-","")," ",""),마스터시트!$A$2:$H$1946,5,FALSE),""))</f>
        <v/>
      </c>
      <c r="Q118" s="18" t="str">
        <f>IF($K118="","",IFERROR(VLOOKUP(--SUBSTITUTE(SUBSTITUTE(TRIM($K118),"-","")," ",""),마스터시트!$A$2:$H$1946,6,FALSE),""))</f>
        <v/>
      </c>
      <c r="R118" s="18" t="str">
        <f>IF($K118="","",IFERROR(VLOOKUP(--SUBSTITUTE(SUBSTITUTE(TRIM($K118),"-","")," ",""),마스터시트!$A$2:$H$1946,7,FALSE),""))</f>
        <v/>
      </c>
    </row>
    <row r="119" spans="13:18" x14ac:dyDescent="0.3">
      <c r="M119" s="18" t="str">
        <f>IF($K119="","",IFERROR(VLOOKUP(--SUBSTITUTE(SUBSTITUTE(TRIM($K119),"-","")," ",""),마스터시트!$A$2:$H$1946,2,FALSE),"미등록"))</f>
        <v/>
      </c>
      <c r="N119" s="53" t="str">
        <f>IF($K119="","",IFERROR(VLOOKUP(--SUBSTITUTE(SUBSTITUTE(TRIM($K119),"-","")," ",""),마스터시트!$A$2:$H$1946,3,FALSE),"미등록"))</f>
        <v/>
      </c>
      <c r="O119" s="18" t="str">
        <f>IF($K119="","",IFERROR(VLOOKUP(--SUBSTITUTE(SUBSTITUTE(TRIM($K119),"-","")," ",""),마스터시트!$A$2:$H$1946,4,FALSE),""))</f>
        <v/>
      </c>
      <c r="P119" s="18" t="str">
        <f>IF($K119="","",IFERROR(VLOOKUP(--SUBSTITUTE(SUBSTITUTE(TRIM($K119),"-","")," ",""),마스터시트!$A$2:$H$1946,5,FALSE),""))</f>
        <v/>
      </c>
      <c r="Q119" s="18" t="str">
        <f>IF($K119="","",IFERROR(VLOOKUP(--SUBSTITUTE(SUBSTITUTE(TRIM($K119),"-","")," ",""),마스터시트!$A$2:$H$1946,6,FALSE),""))</f>
        <v/>
      </c>
      <c r="R119" s="18" t="str">
        <f>IF($K119="","",IFERROR(VLOOKUP(--SUBSTITUTE(SUBSTITUTE(TRIM($K119),"-","")," ",""),마스터시트!$A$2:$H$1946,7,FALSE),""))</f>
        <v/>
      </c>
    </row>
    <row r="120" spans="13:18" x14ac:dyDescent="0.3">
      <c r="M120" s="18" t="str">
        <f>IF($K120="","",IFERROR(VLOOKUP(--SUBSTITUTE(SUBSTITUTE(TRIM($K120),"-","")," ",""),마스터시트!$A$2:$H$1946,2,FALSE),"미등록"))</f>
        <v/>
      </c>
      <c r="N120" s="53" t="str">
        <f>IF($K120="","",IFERROR(VLOOKUP(--SUBSTITUTE(SUBSTITUTE(TRIM($K120),"-","")," ",""),마스터시트!$A$2:$H$1946,3,FALSE),"미등록"))</f>
        <v/>
      </c>
      <c r="O120" s="18" t="str">
        <f>IF($K120="","",IFERROR(VLOOKUP(--SUBSTITUTE(SUBSTITUTE(TRIM($K120),"-","")," ",""),마스터시트!$A$2:$H$1946,4,FALSE),""))</f>
        <v/>
      </c>
      <c r="P120" s="18" t="str">
        <f>IF($K120="","",IFERROR(VLOOKUP(--SUBSTITUTE(SUBSTITUTE(TRIM($K120),"-","")," ",""),마스터시트!$A$2:$H$1946,5,FALSE),""))</f>
        <v/>
      </c>
      <c r="Q120" s="18" t="str">
        <f>IF($K120="","",IFERROR(VLOOKUP(--SUBSTITUTE(SUBSTITUTE(TRIM($K120),"-","")," ",""),마스터시트!$A$2:$H$1946,6,FALSE),""))</f>
        <v/>
      </c>
      <c r="R120" s="18" t="str">
        <f>IF($K120="","",IFERROR(VLOOKUP(--SUBSTITUTE(SUBSTITUTE(TRIM($K120),"-","")," ",""),마스터시트!$A$2:$H$1946,7,FALSE),""))</f>
        <v/>
      </c>
    </row>
    <row r="121" spans="13:18" x14ac:dyDescent="0.3">
      <c r="M121" s="18" t="str">
        <f>IF($K121="","",IFERROR(VLOOKUP(--SUBSTITUTE(SUBSTITUTE(TRIM($K121),"-","")," ",""),마스터시트!$A$2:$H$1946,2,FALSE),"미등록"))</f>
        <v/>
      </c>
      <c r="N121" s="53" t="str">
        <f>IF($K121="","",IFERROR(VLOOKUP(--SUBSTITUTE(SUBSTITUTE(TRIM($K121),"-","")," ",""),마스터시트!$A$2:$H$1946,3,FALSE),"미등록"))</f>
        <v/>
      </c>
      <c r="O121" s="18" t="str">
        <f>IF($K121="","",IFERROR(VLOOKUP(--SUBSTITUTE(SUBSTITUTE(TRIM($K121),"-","")," ",""),마스터시트!$A$2:$H$1946,4,FALSE),""))</f>
        <v/>
      </c>
      <c r="P121" s="18" t="str">
        <f>IF($K121="","",IFERROR(VLOOKUP(--SUBSTITUTE(SUBSTITUTE(TRIM($K121),"-","")," ",""),마스터시트!$A$2:$H$1946,5,FALSE),""))</f>
        <v/>
      </c>
      <c r="Q121" s="18" t="str">
        <f>IF($K121="","",IFERROR(VLOOKUP(--SUBSTITUTE(SUBSTITUTE(TRIM($K121),"-","")," ",""),마스터시트!$A$2:$H$1946,6,FALSE),""))</f>
        <v/>
      </c>
      <c r="R121" s="18" t="str">
        <f>IF($K121="","",IFERROR(VLOOKUP(--SUBSTITUTE(SUBSTITUTE(TRIM($K121),"-","")," ",""),마스터시트!$A$2:$H$1946,7,FALSE),""))</f>
        <v/>
      </c>
    </row>
    <row r="122" spans="13:18" x14ac:dyDescent="0.3">
      <c r="M122" s="18" t="str">
        <f>IF($K122="","",IFERROR(VLOOKUP(--SUBSTITUTE(SUBSTITUTE(TRIM($K122),"-","")," ",""),마스터시트!$A$2:$H$1946,2,FALSE),"미등록"))</f>
        <v/>
      </c>
      <c r="N122" s="53" t="str">
        <f>IF($K122="","",IFERROR(VLOOKUP(--SUBSTITUTE(SUBSTITUTE(TRIM($K122),"-","")," ",""),마스터시트!$A$2:$H$1946,3,FALSE),"미등록"))</f>
        <v/>
      </c>
      <c r="O122" s="18" t="str">
        <f>IF($K122="","",IFERROR(VLOOKUP(--SUBSTITUTE(SUBSTITUTE(TRIM($K122),"-","")," ",""),마스터시트!$A$2:$H$1946,4,FALSE),""))</f>
        <v/>
      </c>
      <c r="P122" s="18" t="str">
        <f>IF($K122="","",IFERROR(VLOOKUP(--SUBSTITUTE(SUBSTITUTE(TRIM($K122),"-","")," ",""),마스터시트!$A$2:$H$1946,5,FALSE),""))</f>
        <v/>
      </c>
      <c r="Q122" s="18" t="str">
        <f>IF($K122="","",IFERROR(VLOOKUP(--SUBSTITUTE(SUBSTITUTE(TRIM($K122),"-","")," ",""),마스터시트!$A$2:$H$1946,6,FALSE),""))</f>
        <v/>
      </c>
      <c r="R122" s="18" t="str">
        <f>IF($K122="","",IFERROR(VLOOKUP(--SUBSTITUTE(SUBSTITUTE(TRIM($K122),"-","")," ",""),마스터시트!$A$2:$H$1946,7,FALSE),""))</f>
        <v/>
      </c>
    </row>
    <row r="123" spans="13:18" x14ac:dyDescent="0.3">
      <c r="M123" s="18" t="str">
        <f>IF($K123="","",IFERROR(VLOOKUP(--SUBSTITUTE(SUBSTITUTE(TRIM($K123),"-","")," ",""),마스터시트!$A$2:$H$1946,2,FALSE),"미등록"))</f>
        <v/>
      </c>
      <c r="N123" s="53" t="str">
        <f>IF($K123="","",IFERROR(VLOOKUP(--SUBSTITUTE(SUBSTITUTE(TRIM($K123),"-","")," ",""),마스터시트!$A$2:$H$1946,3,FALSE),"미등록"))</f>
        <v/>
      </c>
      <c r="O123" s="18" t="str">
        <f>IF($K123="","",IFERROR(VLOOKUP(--SUBSTITUTE(SUBSTITUTE(TRIM($K123),"-","")," ",""),마스터시트!$A$2:$H$1946,4,FALSE),""))</f>
        <v/>
      </c>
      <c r="P123" s="18" t="str">
        <f>IF($K123="","",IFERROR(VLOOKUP(--SUBSTITUTE(SUBSTITUTE(TRIM($K123),"-","")," ",""),마스터시트!$A$2:$H$1946,5,FALSE),""))</f>
        <v/>
      </c>
      <c r="Q123" s="18" t="str">
        <f>IF($K123="","",IFERROR(VLOOKUP(--SUBSTITUTE(SUBSTITUTE(TRIM($K123),"-","")," ",""),마스터시트!$A$2:$H$1946,6,FALSE),""))</f>
        <v/>
      </c>
      <c r="R123" s="18" t="str">
        <f>IF($K123="","",IFERROR(VLOOKUP(--SUBSTITUTE(SUBSTITUTE(TRIM($K123),"-","")," ",""),마스터시트!$A$2:$H$1946,7,FALSE),""))</f>
        <v/>
      </c>
    </row>
    <row r="124" spans="13:18" x14ac:dyDescent="0.3">
      <c r="M124" s="18" t="str">
        <f>IF($K124="","",IFERROR(VLOOKUP(--SUBSTITUTE(SUBSTITUTE(TRIM($K124),"-","")," ",""),마스터시트!$A$2:$H$1946,2,FALSE),"미등록"))</f>
        <v/>
      </c>
      <c r="N124" s="53" t="str">
        <f>IF($K124="","",IFERROR(VLOOKUP(--SUBSTITUTE(SUBSTITUTE(TRIM($K124),"-","")," ",""),마스터시트!$A$2:$H$1946,3,FALSE),"미등록"))</f>
        <v/>
      </c>
      <c r="O124" s="18" t="str">
        <f>IF($K124="","",IFERROR(VLOOKUP(--SUBSTITUTE(SUBSTITUTE(TRIM($K124),"-","")," ",""),마스터시트!$A$2:$H$1946,4,FALSE),""))</f>
        <v/>
      </c>
      <c r="P124" s="18" t="str">
        <f>IF($K124="","",IFERROR(VLOOKUP(--SUBSTITUTE(SUBSTITUTE(TRIM($K124),"-","")," ",""),마스터시트!$A$2:$H$1946,5,FALSE),""))</f>
        <v/>
      </c>
      <c r="Q124" s="18" t="str">
        <f>IF($K124="","",IFERROR(VLOOKUP(--SUBSTITUTE(SUBSTITUTE(TRIM($K124),"-","")," ",""),마스터시트!$A$2:$H$1946,6,FALSE),""))</f>
        <v/>
      </c>
      <c r="R124" s="18" t="str">
        <f>IF($K124="","",IFERROR(VLOOKUP(--SUBSTITUTE(SUBSTITUTE(TRIM($K124),"-","")," ",""),마스터시트!$A$2:$H$1946,7,FALSE),""))</f>
        <v/>
      </c>
    </row>
    <row r="125" spans="13:18" x14ac:dyDescent="0.3">
      <c r="M125" s="18" t="str">
        <f>IF($K125="","",IFERROR(VLOOKUP(--SUBSTITUTE(SUBSTITUTE(TRIM($K125),"-","")," ",""),마스터시트!$A$2:$H$1946,2,FALSE),"미등록"))</f>
        <v/>
      </c>
      <c r="N125" s="53" t="str">
        <f>IF($K125="","",IFERROR(VLOOKUP(--SUBSTITUTE(SUBSTITUTE(TRIM($K125),"-","")," ",""),마스터시트!$A$2:$H$1946,3,FALSE),"미등록"))</f>
        <v/>
      </c>
      <c r="O125" s="18" t="str">
        <f>IF($K125="","",IFERROR(VLOOKUP(--SUBSTITUTE(SUBSTITUTE(TRIM($K125),"-","")," ",""),마스터시트!$A$2:$H$1946,4,FALSE),""))</f>
        <v/>
      </c>
      <c r="P125" s="18" t="str">
        <f>IF($K125="","",IFERROR(VLOOKUP(--SUBSTITUTE(SUBSTITUTE(TRIM($K125),"-","")," ",""),마스터시트!$A$2:$H$1946,5,FALSE),""))</f>
        <v/>
      </c>
      <c r="Q125" s="18" t="str">
        <f>IF($K125="","",IFERROR(VLOOKUP(--SUBSTITUTE(SUBSTITUTE(TRIM($K125),"-","")," ",""),마스터시트!$A$2:$H$1946,6,FALSE),""))</f>
        <v/>
      </c>
      <c r="R125" s="18" t="str">
        <f>IF($K125="","",IFERROR(VLOOKUP(--SUBSTITUTE(SUBSTITUTE(TRIM($K125),"-","")," ",""),마스터시트!$A$2:$H$1946,7,FALSE),""))</f>
        <v/>
      </c>
    </row>
    <row r="126" spans="13:18" x14ac:dyDescent="0.3">
      <c r="M126" s="18" t="str">
        <f>IF($K126="","",IFERROR(VLOOKUP(--SUBSTITUTE(SUBSTITUTE(TRIM($K126),"-","")," ",""),마스터시트!$A$2:$H$1946,2,FALSE),"미등록"))</f>
        <v/>
      </c>
      <c r="N126" s="53" t="str">
        <f>IF($K126="","",IFERROR(VLOOKUP(--SUBSTITUTE(SUBSTITUTE(TRIM($K126),"-","")," ",""),마스터시트!$A$2:$H$1946,3,FALSE),"미등록"))</f>
        <v/>
      </c>
      <c r="O126" s="18" t="str">
        <f>IF($K126="","",IFERROR(VLOOKUP(--SUBSTITUTE(SUBSTITUTE(TRIM($K126),"-","")," ",""),마스터시트!$A$2:$H$1946,4,FALSE),""))</f>
        <v/>
      </c>
      <c r="P126" s="18" t="str">
        <f>IF($K126="","",IFERROR(VLOOKUP(--SUBSTITUTE(SUBSTITUTE(TRIM($K126),"-","")," ",""),마스터시트!$A$2:$H$1946,5,FALSE),""))</f>
        <v/>
      </c>
      <c r="Q126" s="18" t="str">
        <f>IF($K126="","",IFERROR(VLOOKUP(--SUBSTITUTE(SUBSTITUTE(TRIM($K126),"-","")," ",""),마스터시트!$A$2:$H$1946,6,FALSE),""))</f>
        <v/>
      </c>
      <c r="R126" s="18" t="str">
        <f>IF($K126="","",IFERROR(VLOOKUP(--SUBSTITUTE(SUBSTITUTE(TRIM($K126),"-","")," ",""),마스터시트!$A$2:$H$1946,7,FALSE),""))</f>
        <v/>
      </c>
    </row>
    <row r="127" spans="13:18" x14ac:dyDescent="0.3">
      <c r="M127" s="18" t="str">
        <f>IF($K127="","",IFERROR(VLOOKUP(--SUBSTITUTE(SUBSTITUTE(TRIM($K127),"-","")," ",""),마스터시트!$A$2:$H$1946,2,FALSE),"미등록"))</f>
        <v/>
      </c>
      <c r="N127" s="53" t="str">
        <f>IF($K127="","",IFERROR(VLOOKUP(--SUBSTITUTE(SUBSTITUTE(TRIM($K127),"-","")," ",""),마스터시트!$A$2:$H$1946,3,FALSE),"미등록"))</f>
        <v/>
      </c>
      <c r="O127" s="18" t="str">
        <f>IF($K127="","",IFERROR(VLOOKUP(--SUBSTITUTE(SUBSTITUTE(TRIM($K127),"-","")," ",""),마스터시트!$A$2:$H$1946,4,FALSE),""))</f>
        <v/>
      </c>
      <c r="P127" s="18" t="str">
        <f>IF($K127="","",IFERROR(VLOOKUP(--SUBSTITUTE(SUBSTITUTE(TRIM($K127),"-","")," ",""),마스터시트!$A$2:$H$1946,5,FALSE),""))</f>
        <v/>
      </c>
      <c r="Q127" s="18" t="str">
        <f>IF($K127="","",IFERROR(VLOOKUP(--SUBSTITUTE(SUBSTITUTE(TRIM($K127),"-","")," ",""),마스터시트!$A$2:$H$1946,6,FALSE),""))</f>
        <v/>
      </c>
      <c r="R127" s="18" t="str">
        <f>IF($K127="","",IFERROR(VLOOKUP(--SUBSTITUTE(SUBSTITUTE(TRIM($K127),"-","")," ",""),마스터시트!$A$2:$H$1946,7,FALSE),""))</f>
        <v/>
      </c>
    </row>
    <row r="128" spans="13:18" x14ac:dyDescent="0.3">
      <c r="M128" s="18" t="str">
        <f>IF($K128="","",IFERROR(VLOOKUP(--SUBSTITUTE(SUBSTITUTE(TRIM($K128),"-","")," ",""),마스터시트!$A$2:$H$1946,2,FALSE),"미등록"))</f>
        <v/>
      </c>
      <c r="N128" s="53" t="str">
        <f>IF($K128="","",IFERROR(VLOOKUP(--SUBSTITUTE(SUBSTITUTE(TRIM($K128),"-","")," ",""),마스터시트!$A$2:$H$1946,3,FALSE),"미등록"))</f>
        <v/>
      </c>
      <c r="O128" s="18" t="str">
        <f>IF($K128="","",IFERROR(VLOOKUP(--SUBSTITUTE(SUBSTITUTE(TRIM($K128),"-","")," ",""),마스터시트!$A$2:$H$1946,4,FALSE),""))</f>
        <v/>
      </c>
      <c r="P128" s="18" t="str">
        <f>IF($K128="","",IFERROR(VLOOKUP(--SUBSTITUTE(SUBSTITUTE(TRIM($K128),"-","")," ",""),마스터시트!$A$2:$H$1946,5,FALSE),""))</f>
        <v/>
      </c>
      <c r="Q128" s="18" t="str">
        <f>IF($K128="","",IFERROR(VLOOKUP(--SUBSTITUTE(SUBSTITUTE(TRIM($K128),"-","")," ",""),마스터시트!$A$2:$H$1946,6,FALSE),""))</f>
        <v/>
      </c>
      <c r="R128" s="18" t="str">
        <f>IF($K128="","",IFERROR(VLOOKUP(--SUBSTITUTE(SUBSTITUTE(TRIM($K128),"-","")," ",""),마스터시트!$A$2:$H$1946,7,FALSE),""))</f>
        <v/>
      </c>
    </row>
    <row r="129" spans="13:18" x14ac:dyDescent="0.3">
      <c r="M129" s="18" t="str">
        <f>IF($K129="","",IFERROR(VLOOKUP(--SUBSTITUTE(SUBSTITUTE(TRIM($K129),"-","")," ",""),마스터시트!$A$2:$H$1946,2,FALSE),"미등록"))</f>
        <v/>
      </c>
      <c r="N129" s="53" t="str">
        <f>IF($K129="","",IFERROR(VLOOKUP(--SUBSTITUTE(SUBSTITUTE(TRIM($K129),"-","")," ",""),마스터시트!$A$2:$H$1946,3,FALSE),"미등록"))</f>
        <v/>
      </c>
      <c r="O129" s="18" t="str">
        <f>IF($K129="","",IFERROR(VLOOKUP(--SUBSTITUTE(SUBSTITUTE(TRIM($K129),"-","")," ",""),마스터시트!$A$2:$H$1946,4,FALSE),""))</f>
        <v/>
      </c>
      <c r="P129" s="18" t="str">
        <f>IF($K129="","",IFERROR(VLOOKUP(--SUBSTITUTE(SUBSTITUTE(TRIM($K129),"-","")," ",""),마스터시트!$A$2:$H$1946,5,FALSE),""))</f>
        <v/>
      </c>
      <c r="Q129" s="18" t="str">
        <f>IF($K129="","",IFERROR(VLOOKUP(--SUBSTITUTE(SUBSTITUTE(TRIM($K129),"-","")," ",""),마스터시트!$A$2:$H$1946,6,FALSE),""))</f>
        <v/>
      </c>
      <c r="R129" s="18" t="str">
        <f>IF($K129="","",IFERROR(VLOOKUP(--SUBSTITUTE(SUBSTITUTE(TRIM($K129),"-","")," ",""),마스터시트!$A$2:$H$1946,7,FALSE),""))</f>
        <v/>
      </c>
    </row>
    <row r="130" spans="13:18" x14ac:dyDescent="0.3">
      <c r="M130" s="18" t="str">
        <f>IF($K130="","",IFERROR(VLOOKUP(--SUBSTITUTE(SUBSTITUTE(TRIM($K130),"-","")," ",""),마스터시트!$A$2:$H$1946,2,FALSE),"미등록"))</f>
        <v/>
      </c>
      <c r="N130" s="53" t="str">
        <f>IF($K130="","",IFERROR(VLOOKUP(--SUBSTITUTE(SUBSTITUTE(TRIM($K130),"-","")," ",""),마스터시트!$A$2:$H$1946,3,FALSE),"미등록"))</f>
        <v/>
      </c>
      <c r="O130" s="18" t="str">
        <f>IF($K130="","",IFERROR(VLOOKUP(--SUBSTITUTE(SUBSTITUTE(TRIM($K130),"-","")," ",""),마스터시트!$A$2:$H$1946,4,FALSE),""))</f>
        <v/>
      </c>
      <c r="P130" s="18" t="str">
        <f>IF($K130="","",IFERROR(VLOOKUP(--SUBSTITUTE(SUBSTITUTE(TRIM($K130),"-","")," ",""),마스터시트!$A$2:$H$1946,5,FALSE),""))</f>
        <v/>
      </c>
      <c r="Q130" s="18" t="str">
        <f>IF($K130="","",IFERROR(VLOOKUP(--SUBSTITUTE(SUBSTITUTE(TRIM($K130),"-","")," ",""),마스터시트!$A$2:$H$1946,6,FALSE),""))</f>
        <v/>
      </c>
      <c r="R130" s="18" t="str">
        <f>IF($K130="","",IFERROR(VLOOKUP(--SUBSTITUTE(SUBSTITUTE(TRIM($K130),"-","")," ",""),마스터시트!$A$2:$H$1946,7,FALSE),""))</f>
        <v/>
      </c>
    </row>
    <row r="131" spans="13:18" x14ac:dyDescent="0.3">
      <c r="M131" s="18" t="str">
        <f>IF($K131="","",IFERROR(VLOOKUP(--SUBSTITUTE(SUBSTITUTE(TRIM($K131),"-","")," ",""),마스터시트!$A$2:$H$1946,2,FALSE),"미등록"))</f>
        <v/>
      </c>
      <c r="N131" s="53" t="str">
        <f>IF($K131="","",IFERROR(VLOOKUP(--SUBSTITUTE(SUBSTITUTE(TRIM($K131),"-","")," ",""),마스터시트!$A$2:$H$1946,3,FALSE),"미등록"))</f>
        <v/>
      </c>
      <c r="O131" s="18" t="str">
        <f>IF($K131="","",IFERROR(VLOOKUP(--SUBSTITUTE(SUBSTITUTE(TRIM($K131),"-","")," ",""),마스터시트!$A$2:$H$1946,4,FALSE),""))</f>
        <v/>
      </c>
      <c r="P131" s="18" t="str">
        <f>IF($K131="","",IFERROR(VLOOKUP(--SUBSTITUTE(SUBSTITUTE(TRIM($K131),"-","")," ",""),마스터시트!$A$2:$H$1946,5,FALSE),""))</f>
        <v/>
      </c>
      <c r="Q131" s="18" t="str">
        <f>IF($K131="","",IFERROR(VLOOKUP(--SUBSTITUTE(SUBSTITUTE(TRIM($K131),"-","")," ",""),마스터시트!$A$2:$H$1946,6,FALSE),""))</f>
        <v/>
      </c>
      <c r="R131" s="18" t="str">
        <f>IF($K131="","",IFERROR(VLOOKUP(--SUBSTITUTE(SUBSTITUTE(TRIM($K131),"-","")," ",""),마스터시트!$A$2:$H$1946,7,FALSE),""))</f>
        <v/>
      </c>
    </row>
    <row r="132" spans="13:18" x14ac:dyDescent="0.3">
      <c r="M132" s="18" t="str">
        <f>IF($K132="","",IFERROR(VLOOKUP(--SUBSTITUTE(SUBSTITUTE(TRIM($K132),"-","")," ",""),마스터시트!$A$2:$H$1946,2,FALSE),"미등록"))</f>
        <v/>
      </c>
      <c r="N132" s="53" t="str">
        <f>IF($K132="","",IFERROR(VLOOKUP(--SUBSTITUTE(SUBSTITUTE(TRIM($K132),"-","")," ",""),마스터시트!$A$2:$H$1946,3,FALSE),"미등록"))</f>
        <v/>
      </c>
      <c r="O132" s="18" t="str">
        <f>IF($K132="","",IFERROR(VLOOKUP(--SUBSTITUTE(SUBSTITUTE(TRIM($K132),"-","")," ",""),마스터시트!$A$2:$H$1946,4,FALSE),""))</f>
        <v/>
      </c>
      <c r="P132" s="18" t="str">
        <f>IF($K132="","",IFERROR(VLOOKUP(--SUBSTITUTE(SUBSTITUTE(TRIM($K132),"-","")," ",""),마스터시트!$A$2:$H$1946,5,FALSE),""))</f>
        <v/>
      </c>
      <c r="Q132" s="18" t="str">
        <f>IF($K132="","",IFERROR(VLOOKUP(--SUBSTITUTE(SUBSTITUTE(TRIM($K132),"-","")," ",""),마스터시트!$A$2:$H$1946,6,FALSE),""))</f>
        <v/>
      </c>
      <c r="R132" s="18" t="str">
        <f>IF($K132="","",IFERROR(VLOOKUP(--SUBSTITUTE(SUBSTITUTE(TRIM($K132),"-","")," ",""),마스터시트!$A$2:$H$1946,7,FALSE),""))</f>
        <v/>
      </c>
    </row>
    <row r="133" spans="13:18" x14ac:dyDescent="0.3">
      <c r="M133" s="18" t="str">
        <f>IF($K133="","",IFERROR(VLOOKUP(--SUBSTITUTE(SUBSTITUTE(TRIM($K133),"-","")," ",""),마스터시트!$A$2:$H$1946,2,FALSE),"미등록"))</f>
        <v/>
      </c>
      <c r="N133" s="53" t="str">
        <f>IF($K133="","",IFERROR(VLOOKUP(--SUBSTITUTE(SUBSTITUTE(TRIM($K133),"-","")," ",""),마스터시트!$A$2:$H$1946,3,FALSE),"미등록"))</f>
        <v/>
      </c>
      <c r="O133" s="18" t="str">
        <f>IF($K133="","",IFERROR(VLOOKUP(--SUBSTITUTE(SUBSTITUTE(TRIM($K133),"-","")," ",""),마스터시트!$A$2:$H$1946,4,FALSE),""))</f>
        <v/>
      </c>
      <c r="P133" s="18" t="str">
        <f>IF($K133="","",IFERROR(VLOOKUP(--SUBSTITUTE(SUBSTITUTE(TRIM($K133),"-","")," ",""),마스터시트!$A$2:$H$1946,5,FALSE),""))</f>
        <v/>
      </c>
      <c r="Q133" s="18" t="str">
        <f>IF($K133="","",IFERROR(VLOOKUP(--SUBSTITUTE(SUBSTITUTE(TRIM($K133),"-","")," ",""),마스터시트!$A$2:$H$1946,6,FALSE),""))</f>
        <v/>
      </c>
      <c r="R133" s="18" t="str">
        <f>IF($K133="","",IFERROR(VLOOKUP(--SUBSTITUTE(SUBSTITUTE(TRIM($K133),"-","")," ",""),마스터시트!$A$2:$H$1946,7,FALSE),""))</f>
        <v/>
      </c>
    </row>
    <row r="134" spans="13:18" x14ac:dyDescent="0.3">
      <c r="M134" s="18" t="str">
        <f>IF($K134="","",IFERROR(VLOOKUP(--SUBSTITUTE(SUBSTITUTE(TRIM($K134),"-","")," ",""),마스터시트!$A$2:$H$1946,2,FALSE),"미등록"))</f>
        <v/>
      </c>
      <c r="N134" s="53" t="str">
        <f>IF($K134="","",IFERROR(VLOOKUP(--SUBSTITUTE(SUBSTITUTE(TRIM($K134),"-","")," ",""),마스터시트!$A$2:$H$1946,3,FALSE),"미등록"))</f>
        <v/>
      </c>
      <c r="O134" s="18" t="str">
        <f>IF($K134="","",IFERROR(VLOOKUP(--SUBSTITUTE(SUBSTITUTE(TRIM($K134),"-","")," ",""),마스터시트!$A$2:$H$1946,4,FALSE),""))</f>
        <v/>
      </c>
      <c r="P134" s="18" t="str">
        <f>IF($K134="","",IFERROR(VLOOKUP(--SUBSTITUTE(SUBSTITUTE(TRIM($K134),"-","")," ",""),마스터시트!$A$2:$H$1946,5,FALSE),""))</f>
        <v/>
      </c>
      <c r="Q134" s="18" t="str">
        <f>IF($K134="","",IFERROR(VLOOKUP(--SUBSTITUTE(SUBSTITUTE(TRIM($K134),"-","")," ",""),마스터시트!$A$2:$H$1946,6,FALSE),""))</f>
        <v/>
      </c>
      <c r="R134" s="18" t="str">
        <f>IF($K134="","",IFERROR(VLOOKUP(--SUBSTITUTE(SUBSTITUTE(TRIM($K134),"-","")," ",""),마스터시트!$A$2:$H$1946,7,FALSE),""))</f>
        <v/>
      </c>
    </row>
    <row r="135" spans="13:18" x14ac:dyDescent="0.3">
      <c r="M135" s="18" t="str">
        <f>IF($K135="","",IFERROR(VLOOKUP(--SUBSTITUTE(SUBSTITUTE(TRIM($K135),"-","")," ",""),마스터시트!$A$2:$H$1946,2,FALSE),"미등록"))</f>
        <v/>
      </c>
      <c r="N135" s="53" t="str">
        <f>IF($K135="","",IFERROR(VLOOKUP(--SUBSTITUTE(SUBSTITUTE(TRIM($K135),"-","")," ",""),마스터시트!$A$2:$H$1946,3,FALSE),"미등록"))</f>
        <v/>
      </c>
      <c r="O135" s="18" t="str">
        <f>IF($K135="","",IFERROR(VLOOKUP(--SUBSTITUTE(SUBSTITUTE(TRIM($K135),"-","")," ",""),마스터시트!$A$2:$H$1946,4,FALSE),""))</f>
        <v/>
      </c>
      <c r="P135" s="18" t="str">
        <f>IF($K135="","",IFERROR(VLOOKUP(--SUBSTITUTE(SUBSTITUTE(TRIM($K135),"-","")," ",""),마스터시트!$A$2:$H$1946,5,FALSE),""))</f>
        <v/>
      </c>
      <c r="Q135" s="18" t="str">
        <f>IF($K135="","",IFERROR(VLOOKUP(--SUBSTITUTE(SUBSTITUTE(TRIM($K135),"-","")," ",""),마스터시트!$A$2:$H$1946,6,FALSE),""))</f>
        <v/>
      </c>
      <c r="R135" s="18" t="str">
        <f>IF($K135="","",IFERROR(VLOOKUP(--SUBSTITUTE(SUBSTITUTE(TRIM($K135),"-","")," ",""),마스터시트!$A$2:$H$1946,7,FALSE),""))</f>
        <v/>
      </c>
    </row>
    <row r="136" spans="13:18" x14ac:dyDescent="0.3">
      <c r="M136" s="18" t="str">
        <f>IF($K136="","",IFERROR(VLOOKUP(--SUBSTITUTE(SUBSTITUTE(TRIM($K136),"-","")," ",""),마스터시트!$A$2:$H$1946,2,FALSE),"미등록"))</f>
        <v/>
      </c>
      <c r="N136" s="53" t="str">
        <f>IF($K136="","",IFERROR(VLOOKUP(--SUBSTITUTE(SUBSTITUTE(TRIM($K136),"-","")," ",""),마스터시트!$A$2:$H$1946,3,FALSE),"미등록"))</f>
        <v/>
      </c>
      <c r="O136" s="18" t="str">
        <f>IF($K136="","",IFERROR(VLOOKUP(--SUBSTITUTE(SUBSTITUTE(TRIM($K136),"-","")," ",""),마스터시트!$A$2:$H$1946,4,FALSE),""))</f>
        <v/>
      </c>
      <c r="P136" s="18" t="str">
        <f>IF($K136="","",IFERROR(VLOOKUP(--SUBSTITUTE(SUBSTITUTE(TRIM($K136),"-","")," ",""),마스터시트!$A$2:$H$1946,5,FALSE),""))</f>
        <v/>
      </c>
      <c r="Q136" s="18" t="str">
        <f>IF($K136="","",IFERROR(VLOOKUP(--SUBSTITUTE(SUBSTITUTE(TRIM($K136),"-","")," ",""),마스터시트!$A$2:$H$1946,6,FALSE),""))</f>
        <v/>
      </c>
      <c r="R136" s="18" t="str">
        <f>IF($K136="","",IFERROR(VLOOKUP(--SUBSTITUTE(SUBSTITUTE(TRIM($K136),"-","")," ",""),마스터시트!$A$2:$H$1946,7,FALSE),""))</f>
        <v/>
      </c>
    </row>
    <row r="137" spans="13:18" x14ac:dyDescent="0.3">
      <c r="M137" s="18" t="str">
        <f>IF($K137="","",IFERROR(VLOOKUP(--SUBSTITUTE(SUBSTITUTE(TRIM($K137),"-","")," ",""),마스터시트!$A$2:$H$1946,2,FALSE),"미등록"))</f>
        <v/>
      </c>
      <c r="N137" s="53" t="str">
        <f>IF($K137="","",IFERROR(VLOOKUP(--SUBSTITUTE(SUBSTITUTE(TRIM($K137),"-","")," ",""),마스터시트!$A$2:$H$1946,3,FALSE),"미등록"))</f>
        <v/>
      </c>
      <c r="O137" s="18" t="str">
        <f>IF($K137="","",IFERROR(VLOOKUP(--SUBSTITUTE(SUBSTITUTE(TRIM($K137),"-","")," ",""),마스터시트!$A$2:$H$1946,4,FALSE),""))</f>
        <v/>
      </c>
      <c r="P137" s="18" t="str">
        <f>IF($K137="","",IFERROR(VLOOKUP(--SUBSTITUTE(SUBSTITUTE(TRIM($K137),"-","")," ",""),마스터시트!$A$2:$H$1946,5,FALSE),""))</f>
        <v/>
      </c>
      <c r="Q137" s="18" t="str">
        <f>IF($K137="","",IFERROR(VLOOKUP(--SUBSTITUTE(SUBSTITUTE(TRIM($K137),"-","")," ",""),마스터시트!$A$2:$H$1946,6,FALSE),""))</f>
        <v/>
      </c>
      <c r="R137" s="18" t="str">
        <f>IF($K137="","",IFERROR(VLOOKUP(--SUBSTITUTE(SUBSTITUTE(TRIM($K137),"-","")," ",""),마스터시트!$A$2:$H$1946,7,FALSE),""))</f>
        <v/>
      </c>
    </row>
    <row r="138" spans="13:18" x14ac:dyDescent="0.3">
      <c r="M138" s="18" t="str">
        <f>IF($K138="","",IFERROR(VLOOKUP(--SUBSTITUTE(SUBSTITUTE(TRIM($K138),"-","")," ",""),마스터시트!$A$2:$H$1946,2,FALSE),"미등록"))</f>
        <v/>
      </c>
      <c r="N138" s="53" t="str">
        <f>IF($K138="","",IFERROR(VLOOKUP(--SUBSTITUTE(SUBSTITUTE(TRIM($K138),"-","")," ",""),마스터시트!$A$2:$H$1946,3,FALSE),"미등록"))</f>
        <v/>
      </c>
      <c r="O138" s="18" t="str">
        <f>IF($K138="","",IFERROR(VLOOKUP(--SUBSTITUTE(SUBSTITUTE(TRIM($K138),"-","")," ",""),마스터시트!$A$2:$H$1946,4,FALSE),""))</f>
        <v/>
      </c>
      <c r="P138" s="18" t="str">
        <f>IF($K138="","",IFERROR(VLOOKUP(--SUBSTITUTE(SUBSTITUTE(TRIM($K138),"-","")," ",""),마스터시트!$A$2:$H$1946,5,FALSE),""))</f>
        <v/>
      </c>
      <c r="Q138" s="18" t="str">
        <f>IF($K138="","",IFERROR(VLOOKUP(--SUBSTITUTE(SUBSTITUTE(TRIM($K138),"-","")," ",""),마스터시트!$A$2:$H$1946,6,FALSE),""))</f>
        <v/>
      </c>
      <c r="R138" s="18" t="str">
        <f>IF($K138="","",IFERROR(VLOOKUP(--SUBSTITUTE(SUBSTITUTE(TRIM($K138),"-","")," ",""),마스터시트!$A$2:$H$1946,7,FALSE),""))</f>
        <v/>
      </c>
    </row>
    <row r="139" spans="13:18" x14ac:dyDescent="0.3">
      <c r="M139" s="18" t="str">
        <f>IF($K139="","",IFERROR(VLOOKUP(--SUBSTITUTE(SUBSTITUTE(TRIM($K139),"-","")," ",""),마스터시트!$A$2:$H$1946,2,FALSE),"미등록"))</f>
        <v/>
      </c>
      <c r="N139" s="53" t="str">
        <f>IF($K139="","",IFERROR(VLOOKUP(--SUBSTITUTE(SUBSTITUTE(TRIM($K139),"-","")," ",""),마스터시트!$A$2:$H$1946,3,FALSE),"미등록"))</f>
        <v/>
      </c>
      <c r="O139" s="18" t="str">
        <f>IF($K139="","",IFERROR(VLOOKUP(--SUBSTITUTE(SUBSTITUTE(TRIM($K139),"-","")," ",""),마스터시트!$A$2:$H$1946,4,FALSE),""))</f>
        <v/>
      </c>
      <c r="P139" s="18" t="str">
        <f>IF($K139="","",IFERROR(VLOOKUP(--SUBSTITUTE(SUBSTITUTE(TRIM($K139),"-","")," ",""),마스터시트!$A$2:$H$1946,5,FALSE),""))</f>
        <v/>
      </c>
      <c r="Q139" s="18" t="str">
        <f>IF($K139="","",IFERROR(VLOOKUP(--SUBSTITUTE(SUBSTITUTE(TRIM($K139),"-","")," ",""),마스터시트!$A$2:$H$1946,6,FALSE),""))</f>
        <v/>
      </c>
      <c r="R139" s="18" t="str">
        <f>IF($K139="","",IFERROR(VLOOKUP(--SUBSTITUTE(SUBSTITUTE(TRIM($K139),"-","")," ",""),마스터시트!$A$2:$H$1946,7,FALSE),""))</f>
        <v/>
      </c>
    </row>
    <row r="140" spans="13:18" x14ac:dyDescent="0.3">
      <c r="M140" s="18" t="str">
        <f>IF($K140="","",IFERROR(VLOOKUP(--SUBSTITUTE(SUBSTITUTE(TRIM($K140),"-","")," ",""),마스터시트!$A$2:$H$1946,2,FALSE),"미등록"))</f>
        <v/>
      </c>
      <c r="N140" s="53" t="str">
        <f>IF($K140="","",IFERROR(VLOOKUP(--SUBSTITUTE(SUBSTITUTE(TRIM($K140),"-","")," ",""),마스터시트!$A$2:$H$1946,3,FALSE),"미등록"))</f>
        <v/>
      </c>
      <c r="O140" s="18" t="str">
        <f>IF($K140="","",IFERROR(VLOOKUP(--SUBSTITUTE(SUBSTITUTE(TRIM($K140),"-","")," ",""),마스터시트!$A$2:$H$1946,4,FALSE),""))</f>
        <v/>
      </c>
      <c r="P140" s="18" t="str">
        <f>IF($K140="","",IFERROR(VLOOKUP(--SUBSTITUTE(SUBSTITUTE(TRIM($K140),"-","")," ",""),마스터시트!$A$2:$H$1946,5,FALSE),""))</f>
        <v/>
      </c>
      <c r="Q140" s="18" t="str">
        <f>IF($K140="","",IFERROR(VLOOKUP(--SUBSTITUTE(SUBSTITUTE(TRIM($K140),"-","")," ",""),마스터시트!$A$2:$H$1946,6,FALSE),""))</f>
        <v/>
      </c>
      <c r="R140" s="18" t="str">
        <f>IF($K140="","",IFERROR(VLOOKUP(--SUBSTITUTE(SUBSTITUTE(TRIM($K140),"-","")," ",""),마스터시트!$A$2:$H$1946,7,FALSE),""))</f>
        <v/>
      </c>
    </row>
    <row r="141" spans="13:18" x14ac:dyDescent="0.3">
      <c r="M141" s="18" t="str">
        <f>IF($K141="","",IFERROR(VLOOKUP(--SUBSTITUTE(SUBSTITUTE(TRIM($K141),"-","")," ",""),마스터시트!$A$2:$H$1946,2,FALSE),"미등록"))</f>
        <v/>
      </c>
      <c r="N141" s="53" t="str">
        <f>IF($K141="","",IFERROR(VLOOKUP(--SUBSTITUTE(SUBSTITUTE(TRIM($K141),"-","")," ",""),마스터시트!$A$2:$H$1946,3,FALSE),"미등록"))</f>
        <v/>
      </c>
      <c r="O141" s="18" t="str">
        <f>IF($K141="","",IFERROR(VLOOKUP(--SUBSTITUTE(SUBSTITUTE(TRIM($K141),"-","")," ",""),마스터시트!$A$2:$H$1946,4,FALSE),""))</f>
        <v/>
      </c>
      <c r="P141" s="18" t="str">
        <f>IF($K141="","",IFERROR(VLOOKUP(--SUBSTITUTE(SUBSTITUTE(TRIM($K141),"-","")," ",""),마스터시트!$A$2:$H$1946,5,FALSE),""))</f>
        <v/>
      </c>
      <c r="Q141" s="18" t="str">
        <f>IF($K141="","",IFERROR(VLOOKUP(--SUBSTITUTE(SUBSTITUTE(TRIM($K141),"-","")," ",""),마스터시트!$A$2:$H$1946,6,FALSE),""))</f>
        <v/>
      </c>
      <c r="R141" s="18" t="str">
        <f>IF($K141="","",IFERROR(VLOOKUP(--SUBSTITUTE(SUBSTITUTE(TRIM($K141),"-","")," ",""),마스터시트!$A$2:$H$1946,7,FALSE),""))</f>
        <v/>
      </c>
    </row>
    <row r="142" spans="13:18" x14ac:dyDescent="0.3">
      <c r="M142" s="18" t="str">
        <f>IF($K142="","",IFERROR(VLOOKUP(--SUBSTITUTE(SUBSTITUTE(TRIM($K142),"-","")," ",""),마스터시트!$A$2:$H$1946,2,FALSE),"미등록"))</f>
        <v/>
      </c>
      <c r="N142" s="53" t="str">
        <f>IF($K142="","",IFERROR(VLOOKUP(--SUBSTITUTE(SUBSTITUTE(TRIM($K142),"-","")," ",""),마스터시트!$A$2:$H$1946,3,FALSE),"미등록"))</f>
        <v/>
      </c>
      <c r="O142" s="18" t="str">
        <f>IF($K142="","",IFERROR(VLOOKUP(--SUBSTITUTE(SUBSTITUTE(TRIM($K142),"-","")," ",""),마스터시트!$A$2:$H$1946,4,FALSE),""))</f>
        <v/>
      </c>
      <c r="P142" s="18" t="str">
        <f>IF($K142="","",IFERROR(VLOOKUP(--SUBSTITUTE(SUBSTITUTE(TRIM($K142),"-","")," ",""),마스터시트!$A$2:$H$1946,5,FALSE),""))</f>
        <v/>
      </c>
      <c r="Q142" s="18" t="str">
        <f>IF($K142="","",IFERROR(VLOOKUP(--SUBSTITUTE(SUBSTITUTE(TRIM($K142),"-","")," ",""),마스터시트!$A$2:$H$1946,6,FALSE),""))</f>
        <v/>
      </c>
      <c r="R142" s="18" t="str">
        <f>IF($K142="","",IFERROR(VLOOKUP(--SUBSTITUTE(SUBSTITUTE(TRIM($K142),"-","")," ",""),마스터시트!$A$2:$H$1946,7,FALSE),""))</f>
        <v/>
      </c>
    </row>
    <row r="143" spans="13:18" x14ac:dyDescent="0.3">
      <c r="M143" s="18" t="str">
        <f>IF($K143="","",IFERROR(VLOOKUP(--SUBSTITUTE(SUBSTITUTE(TRIM($K143),"-","")," ",""),마스터시트!$A$2:$H$1946,2,FALSE),"미등록"))</f>
        <v/>
      </c>
      <c r="N143" s="53" t="str">
        <f>IF($K143="","",IFERROR(VLOOKUP(--SUBSTITUTE(SUBSTITUTE(TRIM($K143),"-","")," ",""),마스터시트!$A$2:$H$1946,3,FALSE),"미등록"))</f>
        <v/>
      </c>
      <c r="O143" s="18" t="str">
        <f>IF($K143="","",IFERROR(VLOOKUP(--SUBSTITUTE(SUBSTITUTE(TRIM($K143),"-","")," ",""),마스터시트!$A$2:$H$1946,4,FALSE),""))</f>
        <v/>
      </c>
      <c r="P143" s="18" t="str">
        <f>IF($K143="","",IFERROR(VLOOKUP(--SUBSTITUTE(SUBSTITUTE(TRIM($K143),"-","")," ",""),마스터시트!$A$2:$H$1946,5,FALSE),""))</f>
        <v/>
      </c>
      <c r="Q143" s="18" t="str">
        <f>IF($K143="","",IFERROR(VLOOKUP(--SUBSTITUTE(SUBSTITUTE(TRIM($K143),"-","")," ",""),마스터시트!$A$2:$H$1946,6,FALSE),""))</f>
        <v/>
      </c>
      <c r="R143" s="18" t="str">
        <f>IF($K143="","",IFERROR(VLOOKUP(--SUBSTITUTE(SUBSTITUTE(TRIM($K143),"-","")," ",""),마스터시트!$A$2:$H$1946,7,FALSE),""))</f>
        <v/>
      </c>
    </row>
    <row r="144" spans="13:18" x14ac:dyDescent="0.3">
      <c r="M144" s="18" t="str">
        <f>IF($K144="","",IFERROR(VLOOKUP(--SUBSTITUTE(SUBSTITUTE(TRIM($K144),"-","")," ",""),마스터시트!$A$2:$H$1946,2,FALSE),"미등록"))</f>
        <v/>
      </c>
      <c r="N144" s="53" t="str">
        <f>IF($K144="","",IFERROR(VLOOKUP(--SUBSTITUTE(SUBSTITUTE(TRIM($K144),"-","")," ",""),마스터시트!$A$2:$H$1946,3,FALSE),"미등록"))</f>
        <v/>
      </c>
      <c r="O144" s="18" t="str">
        <f>IF($K144="","",IFERROR(VLOOKUP(--SUBSTITUTE(SUBSTITUTE(TRIM($K144),"-","")," ",""),마스터시트!$A$2:$H$1946,4,FALSE),""))</f>
        <v/>
      </c>
      <c r="P144" s="18" t="str">
        <f>IF($K144="","",IFERROR(VLOOKUP(--SUBSTITUTE(SUBSTITUTE(TRIM($K144),"-","")," ",""),마스터시트!$A$2:$H$1946,5,FALSE),""))</f>
        <v/>
      </c>
      <c r="Q144" s="18" t="str">
        <f>IF($K144="","",IFERROR(VLOOKUP(--SUBSTITUTE(SUBSTITUTE(TRIM($K144),"-","")," ",""),마스터시트!$A$2:$H$1946,6,FALSE),""))</f>
        <v/>
      </c>
      <c r="R144" s="18" t="str">
        <f>IF($K144="","",IFERROR(VLOOKUP(--SUBSTITUTE(SUBSTITUTE(TRIM($K144),"-","")," ",""),마스터시트!$A$2:$H$1946,7,FALSE),""))</f>
        <v/>
      </c>
    </row>
    <row r="145" spans="13:18" x14ac:dyDescent="0.3">
      <c r="M145" s="18" t="str">
        <f>IF($K145="","",IFERROR(VLOOKUP(--SUBSTITUTE(SUBSTITUTE(TRIM($K145),"-","")," ",""),마스터시트!$A$2:$H$1946,2,FALSE),"미등록"))</f>
        <v/>
      </c>
      <c r="N145" s="53" t="str">
        <f>IF($K145="","",IFERROR(VLOOKUP(--SUBSTITUTE(SUBSTITUTE(TRIM($K145),"-","")," ",""),마스터시트!$A$2:$H$1946,3,FALSE),"미등록"))</f>
        <v/>
      </c>
      <c r="O145" s="18" t="str">
        <f>IF($K145="","",IFERROR(VLOOKUP(--SUBSTITUTE(SUBSTITUTE(TRIM($K145),"-","")," ",""),마스터시트!$A$2:$H$1946,4,FALSE),""))</f>
        <v/>
      </c>
      <c r="P145" s="18" t="str">
        <f>IF($K145="","",IFERROR(VLOOKUP(--SUBSTITUTE(SUBSTITUTE(TRIM($K145),"-","")," ",""),마스터시트!$A$2:$H$1946,5,FALSE),""))</f>
        <v/>
      </c>
      <c r="Q145" s="18" t="str">
        <f>IF($K145="","",IFERROR(VLOOKUP(--SUBSTITUTE(SUBSTITUTE(TRIM($K145),"-","")," ",""),마스터시트!$A$2:$H$1946,6,FALSE),""))</f>
        <v/>
      </c>
      <c r="R145" s="18" t="str">
        <f>IF($K145="","",IFERROR(VLOOKUP(--SUBSTITUTE(SUBSTITUTE(TRIM($K145),"-","")," ",""),마스터시트!$A$2:$H$1946,7,FALSE),""))</f>
        <v/>
      </c>
    </row>
    <row r="146" spans="13:18" x14ac:dyDescent="0.3">
      <c r="M146" s="18" t="str">
        <f>IF($K146="","",IFERROR(VLOOKUP(--SUBSTITUTE(SUBSTITUTE(TRIM($K146),"-","")," ",""),마스터시트!$A$2:$H$1946,2,FALSE),"미등록"))</f>
        <v/>
      </c>
      <c r="N146" s="53" t="str">
        <f>IF($K146="","",IFERROR(VLOOKUP(--SUBSTITUTE(SUBSTITUTE(TRIM($K146),"-","")," ",""),마스터시트!$A$2:$H$1946,3,FALSE),"미등록"))</f>
        <v/>
      </c>
      <c r="O146" s="18" t="str">
        <f>IF($K146="","",IFERROR(VLOOKUP(--SUBSTITUTE(SUBSTITUTE(TRIM($K146),"-","")," ",""),마스터시트!$A$2:$H$1946,4,FALSE),""))</f>
        <v/>
      </c>
      <c r="P146" s="18" t="str">
        <f>IF($K146="","",IFERROR(VLOOKUP(--SUBSTITUTE(SUBSTITUTE(TRIM($K146),"-","")," ",""),마스터시트!$A$2:$H$1946,5,FALSE),""))</f>
        <v/>
      </c>
      <c r="Q146" s="18" t="str">
        <f>IF($K146="","",IFERROR(VLOOKUP(--SUBSTITUTE(SUBSTITUTE(TRIM($K146),"-","")," ",""),마스터시트!$A$2:$H$1946,6,FALSE),""))</f>
        <v/>
      </c>
      <c r="R146" s="18" t="str">
        <f>IF($K146="","",IFERROR(VLOOKUP(--SUBSTITUTE(SUBSTITUTE(TRIM($K146),"-","")," ",""),마스터시트!$A$2:$H$1946,7,FALSE),""))</f>
        <v/>
      </c>
    </row>
    <row r="147" spans="13:18" x14ac:dyDescent="0.3">
      <c r="M147" s="18" t="str">
        <f>IF($K147="","",IFERROR(VLOOKUP(--SUBSTITUTE(SUBSTITUTE(TRIM($K147),"-","")," ",""),마스터시트!$A$2:$H$1946,2,FALSE),"미등록"))</f>
        <v/>
      </c>
      <c r="N147" s="53" t="str">
        <f>IF($K147="","",IFERROR(VLOOKUP(--SUBSTITUTE(SUBSTITUTE(TRIM($K147),"-","")," ",""),마스터시트!$A$2:$H$1946,3,FALSE),"미등록"))</f>
        <v/>
      </c>
      <c r="O147" s="18" t="str">
        <f>IF($K147="","",IFERROR(VLOOKUP(--SUBSTITUTE(SUBSTITUTE(TRIM($K147),"-","")," ",""),마스터시트!$A$2:$H$1946,4,FALSE),""))</f>
        <v/>
      </c>
      <c r="P147" s="18" t="str">
        <f>IF($K147="","",IFERROR(VLOOKUP(--SUBSTITUTE(SUBSTITUTE(TRIM($K147),"-","")," ",""),마스터시트!$A$2:$H$1946,5,FALSE),""))</f>
        <v/>
      </c>
      <c r="Q147" s="18" t="str">
        <f>IF($K147="","",IFERROR(VLOOKUP(--SUBSTITUTE(SUBSTITUTE(TRIM($K147),"-","")," ",""),마스터시트!$A$2:$H$1946,6,FALSE),""))</f>
        <v/>
      </c>
      <c r="R147" s="18" t="str">
        <f>IF($K147="","",IFERROR(VLOOKUP(--SUBSTITUTE(SUBSTITUTE(TRIM($K147),"-","")," ",""),마스터시트!$A$2:$H$1946,7,FALSE),""))</f>
        <v/>
      </c>
    </row>
    <row r="148" spans="13:18" x14ac:dyDescent="0.3">
      <c r="M148" s="18" t="str">
        <f>IF($K148="","",IFERROR(VLOOKUP(--SUBSTITUTE(SUBSTITUTE(TRIM($K148),"-","")," ",""),마스터시트!$A$2:$H$1946,2,FALSE),"미등록"))</f>
        <v/>
      </c>
      <c r="N148" s="53" t="str">
        <f>IF($K148="","",IFERROR(VLOOKUP(--SUBSTITUTE(SUBSTITUTE(TRIM($K148),"-","")," ",""),마스터시트!$A$2:$H$1946,3,FALSE),"미등록"))</f>
        <v/>
      </c>
      <c r="O148" s="18" t="str">
        <f>IF($K148="","",IFERROR(VLOOKUP(--SUBSTITUTE(SUBSTITUTE(TRIM($K148),"-","")," ",""),마스터시트!$A$2:$H$1946,4,FALSE),""))</f>
        <v/>
      </c>
      <c r="P148" s="18" t="str">
        <f>IF($K148="","",IFERROR(VLOOKUP(--SUBSTITUTE(SUBSTITUTE(TRIM($K148),"-","")," ",""),마스터시트!$A$2:$H$1946,5,FALSE),""))</f>
        <v/>
      </c>
      <c r="Q148" s="18" t="str">
        <f>IF($K148="","",IFERROR(VLOOKUP(--SUBSTITUTE(SUBSTITUTE(TRIM($K148),"-","")," ",""),마스터시트!$A$2:$H$1946,6,FALSE),""))</f>
        <v/>
      </c>
      <c r="R148" s="18" t="str">
        <f>IF($K148="","",IFERROR(VLOOKUP(--SUBSTITUTE(SUBSTITUTE(TRIM($K148),"-","")," ",""),마스터시트!$A$2:$H$1946,7,FALSE),""))</f>
        <v/>
      </c>
    </row>
    <row r="149" spans="13:18" x14ac:dyDescent="0.3">
      <c r="M149" s="18" t="str">
        <f>IF($K149="","",IFERROR(VLOOKUP(--SUBSTITUTE(SUBSTITUTE(TRIM($K149),"-","")," ",""),마스터시트!$A$2:$H$1946,2,FALSE),"미등록"))</f>
        <v/>
      </c>
      <c r="N149" s="53" t="str">
        <f>IF($K149="","",IFERROR(VLOOKUP(--SUBSTITUTE(SUBSTITUTE(TRIM($K149),"-","")," ",""),마스터시트!$A$2:$H$1946,3,FALSE),"미등록"))</f>
        <v/>
      </c>
      <c r="O149" s="18" t="str">
        <f>IF($K149="","",IFERROR(VLOOKUP(--SUBSTITUTE(SUBSTITUTE(TRIM($K149),"-","")," ",""),마스터시트!$A$2:$H$1946,4,FALSE),""))</f>
        <v/>
      </c>
      <c r="P149" s="18" t="str">
        <f>IF($K149="","",IFERROR(VLOOKUP(--SUBSTITUTE(SUBSTITUTE(TRIM($K149),"-","")," ",""),마스터시트!$A$2:$H$1946,5,FALSE),""))</f>
        <v/>
      </c>
      <c r="Q149" s="18" t="str">
        <f>IF($K149="","",IFERROR(VLOOKUP(--SUBSTITUTE(SUBSTITUTE(TRIM($K149),"-","")," ",""),마스터시트!$A$2:$H$1946,6,FALSE),""))</f>
        <v/>
      </c>
      <c r="R149" s="18" t="str">
        <f>IF($K149="","",IFERROR(VLOOKUP(--SUBSTITUTE(SUBSTITUTE(TRIM($K149),"-","")," ",""),마스터시트!$A$2:$H$1946,7,FALSE),""))</f>
        <v/>
      </c>
    </row>
    <row r="150" spans="13:18" x14ac:dyDescent="0.3">
      <c r="M150" s="18" t="str">
        <f>IF($K150="","",IFERROR(VLOOKUP(--SUBSTITUTE(SUBSTITUTE(TRIM($K150),"-","")," ",""),마스터시트!$A$2:$H$1946,2,FALSE),"미등록"))</f>
        <v/>
      </c>
      <c r="N150" s="53" t="str">
        <f>IF($K150="","",IFERROR(VLOOKUP(--SUBSTITUTE(SUBSTITUTE(TRIM($K150),"-","")," ",""),마스터시트!$A$2:$H$1946,3,FALSE),"미등록"))</f>
        <v/>
      </c>
      <c r="O150" s="18" t="str">
        <f>IF($K150="","",IFERROR(VLOOKUP(--SUBSTITUTE(SUBSTITUTE(TRIM($K150),"-","")," ",""),마스터시트!$A$2:$H$1946,4,FALSE),""))</f>
        <v/>
      </c>
      <c r="P150" s="18" t="str">
        <f>IF($K150="","",IFERROR(VLOOKUP(--SUBSTITUTE(SUBSTITUTE(TRIM($K150),"-","")," ",""),마스터시트!$A$2:$H$1946,5,FALSE),""))</f>
        <v/>
      </c>
      <c r="Q150" s="18" t="str">
        <f>IF($K150="","",IFERROR(VLOOKUP(--SUBSTITUTE(SUBSTITUTE(TRIM($K150),"-","")," ",""),마스터시트!$A$2:$H$1946,6,FALSE),""))</f>
        <v/>
      </c>
      <c r="R150" s="18" t="str">
        <f>IF($K150="","",IFERROR(VLOOKUP(--SUBSTITUTE(SUBSTITUTE(TRIM($K150),"-","")," ",""),마스터시트!$A$2:$H$1946,7,FALSE),""))</f>
        <v/>
      </c>
    </row>
    <row r="151" spans="13:18" x14ac:dyDescent="0.3">
      <c r="M151" s="18" t="str">
        <f>IF($K151="","",IFERROR(VLOOKUP(--SUBSTITUTE(SUBSTITUTE(TRIM($K151),"-","")," ",""),마스터시트!$A$2:$H$1946,2,FALSE),"미등록"))</f>
        <v/>
      </c>
      <c r="N151" s="53" t="str">
        <f>IF($K151="","",IFERROR(VLOOKUP(--SUBSTITUTE(SUBSTITUTE(TRIM($K151),"-","")," ",""),마스터시트!$A$2:$H$1946,3,FALSE),"미등록"))</f>
        <v/>
      </c>
      <c r="O151" s="18" t="str">
        <f>IF($K151="","",IFERROR(VLOOKUP(--SUBSTITUTE(SUBSTITUTE(TRIM($K151),"-","")," ",""),마스터시트!$A$2:$H$1946,4,FALSE),""))</f>
        <v/>
      </c>
      <c r="P151" s="18" t="str">
        <f>IF($K151="","",IFERROR(VLOOKUP(--SUBSTITUTE(SUBSTITUTE(TRIM($K151),"-","")," ",""),마스터시트!$A$2:$H$1946,5,FALSE),""))</f>
        <v/>
      </c>
      <c r="Q151" s="18" t="str">
        <f>IF($K151="","",IFERROR(VLOOKUP(--SUBSTITUTE(SUBSTITUTE(TRIM($K151),"-","")," ",""),마스터시트!$A$2:$H$1946,6,FALSE),""))</f>
        <v/>
      </c>
      <c r="R151" s="18" t="str">
        <f>IF($K151="","",IFERROR(VLOOKUP(--SUBSTITUTE(SUBSTITUTE(TRIM($K151),"-","")," ",""),마스터시트!$A$2:$H$1946,7,FALSE),""))</f>
        <v/>
      </c>
    </row>
    <row r="152" spans="13:18" x14ac:dyDescent="0.3">
      <c r="M152" s="18" t="str">
        <f>IF($K152="","",IFERROR(VLOOKUP(--SUBSTITUTE(SUBSTITUTE(TRIM($K152),"-","")," ",""),마스터시트!$A$2:$H$1946,2,FALSE),"미등록"))</f>
        <v/>
      </c>
      <c r="N152" s="53" t="str">
        <f>IF($K152="","",IFERROR(VLOOKUP(--SUBSTITUTE(SUBSTITUTE(TRIM($K152),"-","")," ",""),마스터시트!$A$2:$H$1946,3,FALSE),"미등록"))</f>
        <v/>
      </c>
      <c r="O152" s="18" t="str">
        <f>IF($K152="","",IFERROR(VLOOKUP(--SUBSTITUTE(SUBSTITUTE(TRIM($K152),"-","")," ",""),마스터시트!$A$2:$H$1946,4,FALSE),""))</f>
        <v/>
      </c>
      <c r="P152" s="18" t="str">
        <f>IF($K152="","",IFERROR(VLOOKUP(--SUBSTITUTE(SUBSTITUTE(TRIM($K152),"-","")," ",""),마스터시트!$A$2:$H$1946,5,FALSE),""))</f>
        <v/>
      </c>
      <c r="Q152" s="18" t="str">
        <f>IF($K152="","",IFERROR(VLOOKUP(--SUBSTITUTE(SUBSTITUTE(TRIM($K152),"-","")," ",""),마스터시트!$A$2:$H$1946,6,FALSE),""))</f>
        <v/>
      </c>
      <c r="R152" s="18" t="str">
        <f>IF($K152="","",IFERROR(VLOOKUP(--SUBSTITUTE(SUBSTITUTE(TRIM($K152),"-","")," ",""),마스터시트!$A$2:$H$1946,7,FALSE),""))</f>
        <v/>
      </c>
    </row>
    <row r="153" spans="13:18" x14ac:dyDescent="0.3">
      <c r="M153" s="18" t="str">
        <f>IF($K153="","",IFERROR(VLOOKUP(--SUBSTITUTE(SUBSTITUTE(TRIM($K153),"-","")," ",""),마스터시트!$A$2:$H$1946,2,FALSE),"미등록"))</f>
        <v/>
      </c>
      <c r="N153" s="53" t="str">
        <f>IF($K153="","",IFERROR(VLOOKUP(--SUBSTITUTE(SUBSTITUTE(TRIM($K153),"-","")," ",""),마스터시트!$A$2:$H$1946,3,FALSE),"미등록"))</f>
        <v/>
      </c>
      <c r="O153" s="18" t="str">
        <f>IF($K153="","",IFERROR(VLOOKUP(--SUBSTITUTE(SUBSTITUTE(TRIM($K153),"-","")," ",""),마스터시트!$A$2:$H$1946,4,FALSE),""))</f>
        <v/>
      </c>
      <c r="P153" s="18" t="str">
        <f>IF($K153="","",IFERROR(VLOOKUP(--SUBSTITUTE(SUBSTITUTE(TRIM($K153),"-","")," ",""),마스터시트!$A$2:$H$1946,5,FALSE),""))</f>
        <v/>
      </c>
      <c r="Q153" s="18" t="str">
        <f>IF($K153="","",IFERROR(VLOOKUP(--SUBSTITUTE(SUBSTITUTE(TRIM($K153),"-","")," ",""),마스터시트!$A$2:$H$1946,6,FALSE),""))</f>
        <v/>
      </c>
      <c r="R153" s="18" t="str">
        <f>IF($K153="","",IFERROR(VLOOKUP(--SUBSTITUTE(SUBSTITUTE(TRIM($K153),"-","")," ",""),마스터시트!$A$2:$H$1946,7,FALSE),""))</f>
        <v/>
      </c>
    </row>
    <row r="154" spans="13:18" x14ac:dyDescent="0.3">
      <c r="M154" s="18" t="str">
        <f>IF($K154="","",IFERROR(VLOOKUP(--SUBSTITUTE(SUBSTITUTE(TRIM($K154),"-","")," ",""),마스터시트!$A$2:$H$1946,2,FALSE),"미등록"))</f>
        <v/>
      </c>
      <c r="N154" s="53" t="str">
        <f>IF($K154="","",IFERROR(VLOOKUP(--SUBSTITUTE(SUBSTITUTE(TRIM($K154),"-","")," ",""),마스터시트!$A$2:$H$1946,3,FALSE),"미등록"))</f>
        <v/>
      </c>
      <c r="O154" s="18" t="str">
        <f>IF($K154="","",IFERROR(VLOOKUP(--SUBSTITUTE(SUBSTITUTE(TRIM($K154),"-","")," ",""),마스터시트!$A$2:$H$1946,4,FALSE),""))</f>
        <v/>
      </c>
      <c r="P154" s="18" t="str">
        <f>IF($K154="","",IFERROR(VLOOKUP(--SUBSTITUTE(SUBSTITUTE(TRIM($K154),"-","")," ",""),마스터시트!$A$2:$H$1946,5,FALSE),""))</f>
        <v/>
      </c>
      <c r="Q154" s="18" t="str">
        <f>IF($K154="","",IFERROR(VLOOKUP(--SUBSTITUTE(SUBSTITUTE(TRIM($K154),"-","")," ",""),마스터시트!$A$2:$H$1946,6,FALSE),""))</f>
        <v/>
      </c>
      <c r="R154" s="18" t="str">
        <f>IF($K154="","",IFERROR(VLOOKUP(--SUBSTITUTE(SUBSTITUTE(TRIM($K154),"-","")," ",""),마스터시트!$A$2:$H$1946,7,FALSE),""))</f>
        <v/>
      </c>
    </row>
    <row r="155" spans="13:18" x14ac:dyDescent="0.3">
      <c r="M155" s="18" t="str">
        <f>IF($K155="","",IFERROR(VLOOKUP(--SUBSTITUTE(SUBSTITUTE(TRIM($K155),"-","")," ",""),마스터시트!$A$2:$H$1946,2,FALSE),"미등록"))</f>
        <v/>
      </c>
      <c r="N155" s="53" t="str">
        <f>IF($K155="","",IFERROR(VLOOKUP(--SUBSTITUTE(SUBSTITUTE(TRIM($K155),"-","")," ",""),마스터시트!$A$2:$H$1946,3,FALSE),"미등록"))</f>
        <v/>
      </c>
      <c r="O155" s="18" t="str">
        <f>IF($K155="","",IFERROR(VLOOKUP(--SUBSTITUTE(SUBSTITUTE(TRIM($K155),"-","")," ",""),마스터시트!$A$2:$H$1946,4,FALSE),""))</f>
        <v/>
      </c>
      <c r="P155" s="18" t="str">
        <f>IF($K155="","",IFERROR(VLOOKUP(--SUBSTITUTE(SUBSTITUTE(TRIM($K155),"-","")," ",""),마스터시트!$A$2:$H$1946,5,FALSE),""))</f>
        <v/>
      </c>
      <c r="Q155" s="18" t="str">
        <f>IF($K155="","",IFERROR(VLOOKUP(--SUBSTITUTE(SUBSTITUTE(TRIM($K155),"-","")," ",""),마스터시트!$A$2:$H$1946,6,FALSE),""))</f>
        <v/>
      </c>
      <c r="R155" s="18" t="str">
        <f>IF($K155="","",IFERROR(VLOOKUP(--SUBSTITUTE(SUBSTITUTE(TRIM($K155),"-","")," ",""),마스터시트!$A$2:$H$1946,7,FALSE),""))</f>
        <v/>
      </c>
    </row>
    <row r="156" spans="13:18" x14ac:dyDescent="0.3">
      <c r="M156" s="18" t="str">
        <f>IF($K156="","",IFERROR(VLOOKUP(--SUBSTITUTE(SUBSTITUTE(TRIM($K156),"-","")," ",""),마스터시트!$A$2:$H$1946,2,FALSE),"미등록"))</f>
        <v/>
      </c>
      <c r="N156" s="53" t="str">
        <f>IF($K156="","",IFERROR(VLOOKUP(--SUBSTITUTE(SUBSTITUTE(TRIM($K156),"-","")," ",""),마스터시트!$A$2:$H$1946,3,FALSE),"미등록"))</f>
        <v/>
      </c>
      <c r="O156" s="18" t="str">
        <f>IF($K156="","",IFERROR(VLOOKUP(--SUBSTITUTE(SUBSTITUTE(TRIM($K156),"-","")," ",""),마스터시트!$A$2:$H$1946,4,FALSE),""))</f>
        <v/>
      </c>
      <c r="P156" s="18" t="str">
        <f>IF($K156="","",IFERROR(VLOOKUP(--SUBSTITUTE(SUBSTITUTE(TRIM($K156),"-","")," ",""),마스터시트!$A$2:$H$1946,5,FALSE),""))</f>
        <v/>
      </c>
      <c r="Q156" s="18" t="str">
        <f>IF($K156="","",IFERROR(VLOOKUP(--SUBSTITUTE(SUBSTITUTE(TRIM($K156),"-","")," ",""),마스터시트!$A$2:$H$1946,6,FALSE),""))</f>
        <v/>
      </c>
      <c r="R156" s="18" t="str">
        <f>IF($K156="","",IFERROR(VLOOKUP(--SUBSTITUTE(SUBSTITUTE(TRIM($K156),"-","")," ",""),마스터시트!$A$2:$H$1946,7,FALSE),""))</f>
        <v/>
      </c>
    </row>
    <row r="157" spans="13:18" x14ac:dyDescent="0.3">
      <c r="M157" s="18" t="str">
        <f>IF($K157="","",IFERROR(VLOOKUP(--SUBSTITUTE(SUBSTITUTE(TRIM($K157),"-","")," ",""),마스터시트!$A$2:$H$1946,2,FALSE),"미등록"))</f>
        <v/>
      </c>
      <c r="N157" s="53" t="str">
        <f>IF($K157="","",IFERROR(VLOOKUP(--SUBSTITUTE(SUBSTITUTE(TRIM($K157),"-","")," ",""),마스터시트!$A$2:$H$1946,3,FALSE),"미등록"))</f>
        <v/>
      </c>
      <c r="O157" s="18" t="str">
        <f>IF($K157="","",IFERROR(VLOOKUP(--SUBSTITUTE(SUBSTITUTE(TRIM($K157),"-","")," ",""),마스터시트!$A$2:$H$1946,4,FALSE),""))</f>
        <v/>
      </c>
      <c r="P157" s="18" t="str">
        <f>IF($K157="","",IFERROR(VLOOKUP(--SUBSTITUTE(SUBSTITUTE(TRIM($K157),"-","")," ",""),마스터시트!$A$2:$H$1946,5,FALSE),""))</f>
        <v/>
      </c>
      <c r="Q157" s="18" t="str">
        <f>IF($K157="","",IFERROR(VLOOKUP(--SUBSTITUTE(SUBSTITUTE(TRIM($K157),"-","")," ",""),마스터시트!$A$2:$H$1946,6,FALSE),""))</f>
        <v/>
      </c>
      <c r="R157" s="18" t="str">
        <f>IF($K157="","",IFERROR(VLOOKUP(--SUBSTITUTE(SUBSTITUTE(TRIM($K157),"-","")," ",""),마스터시트!$A$2:$H$1946,7,FALSE),""))</f>
        <v/>
      </c>
    </row>
    <row r="158" spans="13:18" x14ac:dyDescent="0.3">
      <c r="M158" s="18" t="str">
        <f>IF($K158="","",IFERROR(VLOOKUP(--SUBSTITUTE(SUBSTITUTE(TRIM($K158),"-","")," ",""),마스터시트!$A$2:$H$1946,2,FALSE),"미등록"))</f>
        <v/>
      </c>
      <c r="N158" s="53" t="str">
        <f>IF($K158="","",IFERROR(VLOOKUP(--SUBSTITUTE(SUBSTITUTE(TRIM($K158),"-","")," ",""),마스터시트!$A$2:$H$1946,3,FALSE),"미등록"))</f>
        <v/>
      </c>
      <c r="O158" s="18" t="str">
        <f>IF($K158="","",IFERROR(VLOOKUP(--SUBSTITUTE(SUBSTITUTE(TRIM($K158),"-","")," ",""),마스터시트!$A$2:$H$1946,4,FALSE),""))</f>
        <v/>
      </c>
      <c r="P158" s="18" t="str">
        <f>IF($K158="","",IFERROR(VLOOKUP(--SUBSTITUTE(SUBSTITUTE(TRIM($K158),"-","")," ",""),마스터시트!$A$2:$H$1946,5,FALSE),""))</f>
        <v/>
      </c>
      <c r="Q158" s="18" t="str">
        <f>IF($K158="","",IFERROR(VLOOKUP(--SUBSTITUTE(SUBSTITUTE(TRIM($K158),"-","")," ",""),마스터시트!$A$2:$H$1946,6,FALSE),""))</f>
        <v/>
      </c>
      <c r="R158" s="18" t="str">
        <f>IF($K158="","",IFERROR(VLOOKUP(--SUBSTITUTE(SUBSTITUTE(TRIM($K158),"-","")," ",""),마스터시트!$A$2:$H$1946,7,FALSE),""))</f>
        <v/>
      </c>
    </row>
    <row r="159" spans="13:18" x14ac:dyDescent="0.3">
      <c r="M159" s="18" t="str">
        <f>IF($K159="","",IFERROR(VLOOKUP(--SUBSTITUTE(SUBSTITUTE(TRIM($K159),"-","")," ",""),마스터시트!$A$2:$H$1946,2,FALSE),"미등록"))</f>
        <v/>
      </c>
      <c r="N159" s="53" t="str">
        <f>IF($K159="","",IFERROR(VLOOKUP(--SUBSTITUTE(SUBSTITUTE(TRIM($K159),"-","")," ",""),마스터시트!$A$2:$H$1946,3,FALSE),"미등록"))</f>
        <v/>
      </c>
      <c r="O159" s="18" t="str">
        <f>IF($K159="","",IFERROR(VLOOKUP(--SUBSTITUTE(SUBSTITUTE(TRIM($K159),"-","")," ",""),마스터시트!$A$2:$H$1946,4,FALSE),""))</f>
        <v/>
      </c>
      <c r="P159" s="18" t="str">
        <f>IF($K159="","",IFERROR(VLOOKUP(--SUBSTITUTE(SUBSTITUTE(TRIM($K159),"-","")," ",""),마스터시트!$A$2:$H$1946,5,FALSE),""))</f>
        <v/>
      </c>
      <c r="Q159" s="18" t="str">
        <f>IF($K159="","",IFERROR(VLOOKUP(--SUBSTITUTE(SUBSTITUTE(TRIM($K159),"-","")," ",""),마스터시트!$A$2:$H$1946,6,FALSE),""))</f>
        <v/>
      </c>
      <c r="R159" s="18" t="str">
        <f>IF($K159="","",IFERROR(VLOOKUP(--SUBSTITUTE(SUBSTITUTE(TRIM($K159),"-","")," ",""),마스터시트!$A$2:$H$1946,7,FALSE),""))</f>
        <v/>
      </c>
    </row>
    <row r="160" spans="13:18" x14ac:dyDescent="0.3">
      <c r="M160" s="18" t="str">
        <f>IF($K160="","",IFERROR(VLOOKUP(--SUBSTITUTE(SUBSTITUTE(TRIM($K160),"-","")," ",""),마스터시트!$A$2:$H$1946,2,FALSE),"미등록"))</f>
        <v/>
      </c>
      <c r="N160" s="53" t="str">
        <f>IF($K160="","",IFERROR(VLOOKUP(--SUBSTITUTE(SUBSTITUTE(TRIM($K160),"-","")," ",""),마스터시트!$A$2:$H$1946,3,FALSE),"미등록"))</f>
        <v/>
      </c>
      <c r="O160" s="18" t="str">
        <f>IF($K160="","",IFERROR(VLOOKUP(--SUBSTITUTE(SUBSTITUTE(TRIM($K160),"-","")," ",""),마스터시트!$A$2:$H$1946,4,FALSE),""))</f>
        <v/>
      </c>
      <c r="P160" s="18" t="str">
        <f>IF($K160="","",IFERROR(VLOOKUP(--SUBSTITUTE(SUBSTITUTE(TRIM($K160),"-","")," ",""),마스터시트!$A$2:$H$1946,5,FALSE),""))</f>
        <v/>
      </c>
      <c r="Q160" s="18" t="str">
        <f>IF($K160="","",IFERROR(VLOOKUP(--SUBSTITUTE(SUBSTITUTE(TRIM($K160),"-","")," ",""),마스터시트!$A$2:$H$1946,6,FALSE),""))</f>
        <v/>
      </c>
      <c r="R160" s="18" t="str">
        <f>IF($K160="","",IFERROR(VLOOKUP(--SUBSTITUTE(SUBSTITUTE(TRIM($K160),"-","")," ",""),마스터시트!$A$2:$H$1946,7,FALSE),""))</f>
        <v/>
      </c>
    </row>
    <row r="161" spans="13:18" x14ac:dyDescent="0.3">
      <c r="M161" s="18" t="str">
        <f>IF($K161="","",IFERROR(VLOOKUP(--SUBSTITUTE(SUBSTITUTE(TRIM($K161),"-","")," ",""),마스터시트!$A$2:$H$1946,2,FALSE),"미등록"))</f>
        <v/>
      </c>
      <c r="N161" s="53" t="str">
        <f>IF($K161="","",IFERROR(VLOOKUP(--SUBSTITUTE(SUBSTITUTE(TRIM($K161),"-","")," ",""),마스터시트!$A$2:$H$1946,3,FALSE),"미등록"))</f>
        <v/>
      </c>
      <c r="O161" s="18" t="str">
        <f>IF($K161="","",IFERROR(VLOOKUP(--SUBSTITUTE(SUBSTITUTE(TRIM($K161),"-","")," ",""),마스터시트!$A$2:$H$1946,4,FALSE),""))</f>
        <v/>
      </c>
      <c r="P161" s="18" t="str">
        <f>IF($K161="","",IFERROR(VLOOKUP(--SUBSTITUTE(SUBSTITUTE(TRIM($K161),"-","")," ",""),마스터시트!$A$2:$H$1946,5,FALSE),""))</f>
        <v/>
      </c>
      <c r="Q161" s="18" t="str">
        <f>IF($K161="","",IFERROR(VLOOKUP(--SUBSTITUTE(SUBSTITUTE(TRIM($K161),"-","")," ",""),마스터시트!$A$2:$H$1946,6,FALSE),""))</f>
        <v/>
      </c>
      <c r="R161" s="18" t="str">
        <f>IF($K161="","",IFERROR(VLOOKUP(--SUBSTITUTE(SUBSTITUTE(TRIM($K161),"-","")," ",""),마스터시트!$A$2:$H$1946,7,FALSE),""))</f>
        <v/>
      </c>
    </row>
    <row r="162" spans="13:18" x14ac:dyDescent="0.3">
      <c r="M162" s="18" t="str">
        <f>IF($K162="","",IFERROR(VLOOKUP(--SUBSTITUTE(SUBSTITUTE(TRIM($K162),"-","")," ",""),마스터시트!$A$2:$H$1946,2,FALSE),"미등록"))</f>
        <v/>
      </c>
      <c r="N162" s="53" t="str">
        <f>IF($K162="","",IFERROR(VLOOKUP(--SUBSTITUTE(SUBSTITUTE(TRIM($K162),"-","")," ",""),마스터시트!$A$2:$H$1946,3,FALSE),"미등록"))</f>
        <v/>
      </c>
      <c r="O162" s="18" t="str">
        <f>IF($K162="","",IFERROR(VLOOKUP(--SUBSTITUTE(SUBSTITUTE(TRIM($K162),"-","")," ",""),마스터시트!$A$2:$H$1946,4,FALSE),""))</f>
        <v/>
      </c>
      <c r="P162" s="18" t="str">
        <f>IF($K162="","",IFERROR(VLOOKUP(--SUBSTITUTE(SUBSTITUTE(TRIM($K162),"-","")," ",""),마스터시트!$A$2:$H$1946,5,FALSE),""))</f>
        <v/>
      </c>
      <c r="Q162" s="18" t="str">
        <f>IF($K162="","",IFERROR(VLOOKUP(--SUBSTITUTE(SUBSTITUTE(TRIM($K162),"-","")," ",""),마스터시트!$A$2:$H$1946,6,FALSE),""))</f>
        <v/>
      </c>
      <c r="R162" s="18" t="str">
        <f>IF($K162="","",IFERROR(VLOOKUP(--SUBSTITUTE(SUBSTITUTE(TRIM($K162),"-","")," ",""),마스터시트!$A$2:$H$1946,7,FALSE),""))</f>
        <v/>
      </c>
    </row>
    <row r="163" spans="13:18" x14ac:dyDescent="0.3">
      <c r="M163" s="18" t="str">
        <f>IF($K163="","",IFERROR(VLOOKUP(--SUBSTITUTE(SUBSTITUTE(TRIM($K163),"-","")," ",""),마스터시트!$A$2:$H$1946,2,FALSE),"미등록"))</f>
        <v/>
      </c>
      <c r="N163" s="53" t="str">
        <f>IF($K163="","",IFERROR(VLOOKUP(--SUBSTITUTE(SUBSTITUTE(TRIM($K163),"-","")," ",""),마스터시트!$A$2:$H$1946,3,FALSE),"미등록"))</f>
        <v/>
      </c>
      <c r="O163" s="18" t="str">
        <f>IF($K163="","",IFERROR(VLOOKUP(--SUBSTITUTE(SUBSTITUTE(TRIM($K163),"-","")," ",""),마스터시트!$A$2:$H$1946,4,FALSE),""))</f>
        <v/>
      </c>
      <c r="P163" s="18" t="str">
        <f>IF($K163="","",IFERROR(VLOOKUP(--SUBSTITUTE(SUBSTITUTE(TRIM($K163),"-","")," ",""),마스터시트!$A$2:$H$1946,5,FALSE),""))</f>
        <v/>
      </c>
      <c r="Q163" s="18" t="str">
        <f>IF($K163="","",IFERROR(VLOOKUP(--SUBSTITUTE(SUBSTITUTE(TRIM($K163),"-","")," ",""),마스터시트!$A$2:$H$1946,6,FALSE),""))</f>
        <v/>
      </c>
      <c r="R163" s="18" t="str">
        <f>IF($K163="","",IFERROR(VLOOKUP(--SUBSTITUTE(SUBSTITUTE(TRIM($K163),"-","")," ",""),마스터시트!$A$2:$H$1946,7,FALSE),""))</f>
        <v/>
      </c>
    </row>
    <row r="164" spans="13:18" x14ac:dyDescent="0.3">
      <c r="M164" s="18" t="str">
        <f>IF($K164="","",IFERROR(VLOOKUP(--SUBSTITUTE(SUBSTITUTE(TRIM($K164),"-","")," ",""),마스터시트!$A$2:$H$1946,2,FALSE),"미등록"))</f>
        <v/>
      </c>
      <c r="N164" s="53" t="str">
        <f>IF($K164="","",IFERROR(VLOOKUP(--SUBSTITUTE(SUBSTITUTE(TRIM($K164),"-","")," ",""),마스터시트!$A$2:$H$1946,3,FALSE),"미등록"))</f>
        <v/>
      </c>
      <c r="O164" s="18" t="str">
        <f>IF($K164="","",IFERROR(VLOOKUP(--SUBSTITUTE(SUBSTITUTE(TRIM($K164),"-","")," ",""),마스터시트!$A$2:$H$1946,4,FALSE),""))</f>
        <v/>
      </c>
      <c r="P164" s="18" t="str">
        <f>IF($K164="","",IFERROR(VLOOKUP(--SUBSTITUTE(SUBSTITUTE(TRIM($K164),"-","")," ",""),마스터시트!$A$2:$H$1946,5,FALSE),""))</f>
        <v/>
      </c>
      <c r="Q164" s="18" t="str">
        <f>IF($K164="","",IFERROR(VLOOKUP(--SUBSTITUTE(SUBSTITUTE(TRIM($K164),"-","")," ",""),마스터시트!$A$2:$H$1946,6,FALSE),""))</f>
        <v/>
      </c>
      <c r="R164" s="18" t="str">
        <f>IF($K164="","",IFERROR(VLOOKUP(--SUBSTITUTE(SUBSTITUTE(TRIM($K164),"-","")," ",""),마스터시트!$A$2:$H$1946,7,FALSE),""))</f>
        <v/>
      </c>
    </row>
    <row r="165" spans="13:18" x14ac:dyDescent="0.3">
      <c r="M165" s="18" t="str">
        <f>IF($K165="","",IFERROR(VLOOKUP(--SUBSTITUTE(SUBSTITUTE(TRIM($K165),"-","")," ",""),마스터시트!$A$2:$H$1946,2,FALSE),"미등록"))</f>
        <v/>
      </c>
      <c r="N165" s="53" t="str">
        <f>IF($K165="","",IFERROR(VLOOKUP(--SUBSTITUTE(SUBSTITUTE(TRIM($K165),"-","")," ",""),마스터시트!$A$2:$H$1946,3,FALSE),"미등록"))</f>
        <v/>
      </c>
      <c r="O165" s="18" t="str">
        <f>IF($K165="","",IFERROR(VLOOKUP(--SUBSTITUTE(SUBSTITUTE(TRIM($K165),"-","")," ",""),마스터시트!$A$2:$H$1946,4,FALSE),""))</f>
        <v/>
      </c>
      <c r="P165" s="18" t="str">
        <f>IF($K165="","",IFERROR(VLOOKUP(--SUBSTITUTE(SUBSTITUTE(TRIM($K165),"-","")," ",""),마스터시트!$A$2:$H$1946,5,FALSE),""))</f>
        <v/>
      </c>
      <c r="Q165" s="18" t="str">
        <f>IF($K165="","",IFERROR(VLOOKUP(--SUBSTITUTE(SUBSTITUTE(TRIM($K165),"-","")," ",""),마스터시트!$A$2:$H$1946,6,FALSE),""))</f>
        <v/>
      </c>
      <c r="R165" s="18" t="str">
        <f>IF($K165="","",IFERROR(VLOOKUP(--SUBSTITUTE(SUBSTITUTE(TRIM($K165),"-","")," ",""),마스터시트!$A$2:$H$1946,7,FALSE),""))</f>
        <v/>
      </c>
    </row>
    <row r="166" spans="13:18" x14ac:dyDescent="0.3">
      <c r="M166" s="18" t="str">
        <f>IF($K166="","",IFERROR(VLOOKUP(--SUBSTITUTE(SUBSTITUTE(TRIM($K166),"-","")," ",""),마스터시트!$A$2:$H$1946,2,FALSE),"미등록"))</f>
        <v/>
      </c>
      <c r="N166" s="53" t="str">
        <f>IF($K166="","",IFERROR(VLOOKUP(--SUBSTITUTE(SUBSTITUTE(TRIM($K166),"-","")," ",""),마스터시트!$A$2:$H$1946,3,FALSE),"미등록"))</f>
        <v/>
      </c>
      <c r="O166" s="18" t="str">
        <f>IF($K166="","",IFERROR(VLOOKUP(--SUBSTITUTE(SUBSTITUTE(TRIM($K166),"-","")," ",""),마스터시트!$A$2:$H$1946,4,FALSE),""))</f>
        <v/>
      </c>
      <c r="P166" s="18" t="str">
        <f>IF($K166="","",IFERROR(VLOOKUP(--SUBSTITUTE(SUBSTITUTE(TRIM($K166),"-","")," ",""),마스터시트!$A$2:$H$1946,5,FALSE),""))</f>
        <v/>
      </c>
      <c r="Q166" s="18" t="str">
        <f>IF($K166="","",IFERROR(VLOOKUP(--SUBSTITUTE(SUBSTITUTE(TRIM($K166),"-","")," ",""),마스터시트!$A$2:$H$1946,6,FALSE),""))</f>
        <v/>
      </c>
      <c r="R166" s="18" t="str">
        <f>IF($K166="","",IFERROR(VLOOKUP(--SUBSTITUTE(SUBSTITUTE(TRIM($K166),"-","")," ",""),마스터시트!$A$2:$H$1946,7,FALSE),""))</f>
        <v/>
      </c>
    </row>
    <row r="167" spans="13:18" x14ac:dyDescent="0.3">
      <c r="M167" s="18" t="str">
        <f>IF($K167="","",IFERROR(VLOOKUP(--SUBSTITUTE(SUBSTITUTE(TRIM($K167),"-","")," ",""),마스터시트!$A$2:$H$1946,2,FALSE),"미등록"))</f>
        <v/>
      </c>
      <c r="N167" s="53" t="str">
        <f>IF($K167="","",IFERROR(VLOOKUP(--SUBSTITUTE(SUBSTITUTE(TRIM($K167),"-","")," ",""),마스터시트!$A$2:$H$1946,3,FALSE),"미등록"))</f>
        <v/>
      </c>
      <c r="O167" s="18" t="str">
        <f>IF($K167="","",IFERROR(VLOOKUP(--SUBSTITUTE(SUBSTITUTE(TRIM($K167),"-","")," ",""),마스터시트!$A$2:$H$1946,4,FALSE),""))</f>
        <v/>
      </c>
      <c r="P167" s="18" t="str">
        <f>IF($K167="","",IFERROR(VLOOKUP(--SUBSTITUTE(SUBSTITUTE(TRIM($K167),"-","")," ",""),마스터시트!$A$2:$H$1946,5,FALSE),""))</f>
        <v/>
      </c>
      <c r="Q167" s="18" t="str">
        <f>IF($K167="","",IFERROR(VLOOKUP(--SUBSTITUTE(SUBSTITUTE(TRIM($K167),"-","")," ",""),마스터시트!$A$2:$H$1946,6,FALSE),""))</f>
        <v/>
      </c>
      <c r="R167" s="18" t="str">
        <f>IF($K167="","",IFERROR(VLOOKUP(--SUBSTITUTE(SUBSTITUTE(TRIM($K167),"-","")," ",""),마스터시트!$A$2:$H$1946,7,FALSE),""))</f>
        <v/>
      </c>
    </row>
    <row r="168" spans="13:18" x14ac:dyDescent="0.3">
      <c r="M168" s="18" t="str">
        <f>IF($K168="","",IFERROR(VLOOKUP(--SUBSTITUTE(SUBSTITUTE(TRIM($K168),"-","")," ",""),마스터시트!$A$2:$H$1946,2,FALSE),"미등록"))</f>
        <v/>
      </c>
      <c r="N168" s="53" t="str">
        <f>IF($K168="","",IFERROR(VLOOKUP(--SUBSTITUTE(SUBSTITUTE(TRIM($K168),"-","")," ",""),마스터시트!$A$2:$H$1946,3,FALSE),"미등록"))</f>
        <v/>
      </c>
      <c r="O168" s="18" t="str">
        <f>IF($K168="","",IFERROR(VLOOKUP(--SUBSTITUTE(SUBSTITUTE(TRIM($K168),"-","")," ",""),마스터시트!$A$2:$H$1946,4,FALSE),""))</f>
        <v/>
      </c>
      <c r="P168" s="18" t="str">
        <f>IF($K168="","",IFERROR(VLOOKUP(--SUBSTITUTE(SUBSTITUTE(TRIM($K168),"-","")," ",""),마스터시트!$A$2:$H$1946,5,FALSE),""))</f>
        <v/>
      </c>
      <c r="Q168" s="18" t="str">
        <f>IF($K168="","",IFERROR(VLOOKUP(--SUBSTITUTE(SUBSTITUTE(TRIM($K168),"-","")," ",""),마스터시트!$A$2:$H$1946,6,FALSE),""))</f>
        <v/>
      </c>
      <c r="R168" s="18" t="str">
        <f>IF($K168="","",IFERROR(VLOOKUP(--SUBSTITUTE(SUBSTITUTE(TRIM($K168),"-","")," ",""),마스터시트!$A$2:$H$1946,7,FALSE),""))</f>
        <v/>
      </c>
    </row>
    <row r="169" spans="13:18" x14ac:dyDescent="0.3">
      <c r="M169" s="18" t="str">
        <f>IF($K169="","",IFERROR(VLOOKUP(--SUBSTITUTE(SUBSTITUTE(TRIM($K169),"-","")," ",""),마스터시트!$A$2:$H$1946,2,FALSE),"미등록"))</f>
        <v/>
      </c>
      <c r="N169" s="53" t="str">
        <f>IF($K169="","",IFERROR(VLOOKUP(--SUBSTITUTE(SUBSTITUTE(TRIM($K169),"-","")," ",""),마스터시트!$A$2:$H$1946,3,FALSE),"미등록"))</f>
        <v/>
      </c>
      <c r="O169" s="18" t="str">
        <f>IF($K169="","",IFERROR(VLOOKUP(--SUBSTITUTE(SUBSTITUTE(TRIM($K169),"-","")," ",""),마스터시트!$A$2:$H$1946,4,FALSE),""))</f>
        <v/>
      </c>
      <c r="P169" s="18" t="str">
        <f>IF($K169="","",IFERROR(VLOOKUP(--SUBSTITUTE(SUBSTITUTE(TRIM($K169),"-","")," ",""),마스터시트!$A$2:$H$1946,5,FALSE),""))</f>
        <v/>
      </c>
      <c r="Q169" s="18" t="str">
        <f>IF($K169="","",IFERROR(VLOOKUP(--SUBSTITUTE(SUBSTITUTE(TRIM($K169),"-","")," ",""),마스터시트!$A$2:$H$1946,6,FALSE),""))</f>
        <v/>
      </c>
      <c r="R169" s="18" t="str">
        <f>IF($K169="","",IFERROR(VLOOKUP(--SUBSTITUTE(SUBSTITUTE(TRIM($K169),"-","")," ",""),마스터시트!$A$2:$H$1946,7,FALSE),""))</f>
        <v/>
      </c>
    </row>
    <row r="170" spans="13:18" x14ac:dyDescent="0.3">
      <c r="M170" s="18" t="str">
        <f>IF($K170="","",IFERROR(VLOOKUP(--SUBSTITUTE(SUBSTITUTE(TRIM($K170),"-","")," ",""),마스터시트!$A$2:$H$1946,2,FALSE),"미등록"))</f>
        <v/>
      </c>
      <c r="N170" s="53" t="str">
        <f>IF($K170="","",IFERROR(VLOOKUP(--SUBSTITUTE(SUBSTITUTE(TRIM($K170),"-","")," ",""),마스터시트!$A$2:$H$1946,3,FALSE),"미등록"))</f>
        <v/>
      </c>
      <c r="O170" s="18" t="str">
        <f>IF($K170="","",IFERROR(VLOOKUP(--SUBSTITUTE(SUBSTITUTE(TRIM($K170),"-","")," ",""),마스터시트!$A$2:$H$1946,4,FALSE),""))</f>
        <v/>
      </c>
      <c r="P170" s="18" t="str">
        <f>IF($K170="","",IFERROR(VLOOKUP(--SUBSTITUTE(SUBSTITUTE(TRIM($K170),"-","")," ",""),마스터시트!$A$2:$H$1946,5,FALSE),""))</f>
        <v/>
      </c>
      <c r="Q170" s="18" t="str">
        <f>IF($K170="","",IFERROR(VLOOKUP(--SUBSTITUTE(SUBSTITUTE(TRIM($K170),"-","")," ",""),마스터시트!$A$2:$H$1946,6,FALSE),""))</f>
        <v/>
      </c>
      <c r="R170" s="18" t="str">
        <f>IF($K170="","",IFERROR(VLOOKUP(--SUBSTITUTE(SUBSTITUTE(TRIM($K170),"-","")," ",""),마스터시트!$A$2:$H$1946,7,FALSE),""))</f>
        <v/>
      </c>
    </row>
    <row r="171" spans="13:18" x14ac:dyDescent="0.3">
      <c r="M171" s="18" t="str">
        <f>IF($K171="","",IFERROR(VLOOKUP(--SUBSTITUTE(SUBSTITUTE(TRIM($K171),"-","")," ",""),마스터시트!$A$2:$H$1946,2,FALSE),"미등록"))</f>
        <v/>
      </c>
      <c r="N171" s="53" t="str">
        <f>IF($K171="","",IFERROR(VLOOKUP(--SUBSTITUTE(SUBSTITUTE(TRIM($K171),"-","")," ",""),마스터시트!$A$2:$H$1946,3,FALSE),"미등록"))</f>
        <v/>
      </c>
      <c r="O171" s="18" t="str">
        <f>IF($K171="","",IFERROR(VLOOKUP(--SUBSTITUTE(SUBSTITUTE(TRIM($K171),"-","")," ",""),마스터시트!$A$2:$H$1946,4,FALSE),""))</f>
        <v/>
      </c>
      <c r="P171" s="18" t="str">
        <f>IF($K171="","",IFERROR(VLOOKUP(--SUBSTITUTE(SUBSTITUTE(TRIM($K171),"-","")," ",""),마스터시트!$A$2:$H$1946,5,FALSE),""))</f>
        <v/>
      </c>
      <c r="Q171" s="18" t="str">
        <f>IF($K171="","",IFERROR(VLOOKUP(--SUBSTITUTE(SUBSTITUTE(TRIM($K171),"-","")," ",""),마스터시트!$A$2:$H$1946,6,FALSE),""))</f>
        <v/>
      </c>
      <c r="R171" s="18" t="str">
        <f>IF($K171="","",IFERROR(VLOOKUP(--SUBSTITUTE(SUBSTITUTE(TRIM($K171),"-","")," ",""),마스터시트!$A$2:$H$1946,7,FALSE),""))</f>
        <v/>
      </c>
    </row>
    <row r="172" spans="13:18" x14ac:dyDescent="0.3">
      <c r="M172" s="18" t="str">
        <f>IF($K172="","",IFERROR(VLOOKUP(--SUBSTITUTE(SUBSTITUTE(TRIM($K172),"-","")," ",""),마스터시트!$A$2:$H$1946,2,FALSE),"미등록"))</f>
        <v/>
      </c>
      <c r="N172" s="53" t="str">
        <f>IF($K172="","",IFERROR(VLOOKUP(--SUBSTITUTE(SUBSTITUTE(TRIM($K172),"-","")," ",""),마스터시트!$A$2:$H$1946,3,FALSE),"미등록"))</f>
        <v/>
      </c>
      <c r="O172" s="18" t="str">
        <f>IF($K172="","",IFERROR(VLOOKUP(--SUBSTITUTE(SUBSTITUTE(TRIM($K172),"-","")," ",""),마스터시트!$A$2:$H$1946,4,FALSE),""))</f>
        <v/>
      </c>
      <c r="P172" s="18" t="str">
        <f>IF($K172="","",IFERROR(VLOOKUP(--SUBSTITUTE(SUBSTITUTE(TRIM($K172),"-","")," ",""),마스터시트!$A$2:$H$1946,5,FALSE),""))</f>
        <v/>
      </c>
      <c r="Q172" s="18" t="str">
        <f>IF($K172="","",IFERROR(VLOOKUP(--SUBSTITUTE(SUBSTITUTE(TRIM($K172),"-","")," ",""),마스터시트!$A$2:$H$1946,6,FALSE),""))</f>
        <v/>
      </c>
      <c r="R172" s="18" t="str">
        <f>IF($K172="","",IFERROR(VLOOKUP(--SUBSTITUTE(SUBSTITUTE(TRIM($K172),"-","")," ",""),마스터시트!$A$2:$H$1946,7,FALSE),""))</f>
        <v/>
      </c>
    </row>
    <row r="173" spans="13:18" x14ac:dyDescent="0.3">
      <c r="M173" s="18" t="str">
        <f>IF($K173="","",IFERROR(VLOOKUP(--SUBSTITUTE(SUBSTITUTE(TRIM($K173),"-","")," ",""),마스터시트!$A$2:$H$1946,2,FALSE),"미등록"))</f>
        <v/>
      </c>
      <c r="N173" s="53" t="str">
        <f>IF($K173="","",IFERROR(VLOOKUP(--SUBSTITUTE(SUBSTITUTE(TRIM($K173),"-","")," ",""),마스터시트!$A$2:$H$1946,3,FALSE),"미등록"))</f>
        <v/>
      </c>
      <c r="O173" s="18" t="str">
        <f>IF($K173="","",IFERROR(VLOOKUP(--SUBSTITUTE(SUBSTITUTE(TRIM($K173),"-","")," ",""),마스터시트!$A$2:$H$1946,4,FALSE),""))</f>
        <v/>
      </c>
      <c r="P173" s="18" t="str">
        <f>IF($K173="","",IFERROR(VLOOKUP(--SUBSTITUTE(SUBSTITUTE(TRIM($K173),"-","")," ",""),마스터시트!$A$2:$H$1946,5,FALSE),""))</f>
        <v/>
      </c>
      <c r="Q173" s="18" t="str">
        <f>IF($K173="","",IFERROR(VLOOKUP(--SUBSTITUTE(SUBSTITUTE(TRIM($K173),"-","")," ",""),마스터시트!$A$2:$H$1946,6,FALSE),""))</f>
        <v/>
      </c>
      <c r="R173" s="18" t="str">
        <f>IF($K173="","",IFERROR(VLOOKUP(--SUBSTITUTE(SUBSTITUTE(TRIM($K173),"-","")," ",""),마스터시트!$A$2:$H$1946,7,FALSE),""))</f>
        <v/>
      </c>
    </row>
    <row r="174" spans="13:18" x14ac:dyDescent="0.3">
      <c r="M174" s="18" t="str">
        <f>IF($K174="","",IFERROR(VLOOKUP(--SUBSTITUTE(SUBSTITUTE(TRIM($K174),"-","")," ",""),마스터시트!$A$2:$H$1946,2,FALSE),"미등록"))</f>
        <v/>
      </c>
      <c r="N174" s="53" t="str">
        <f>IF($K174="","",IFERROR(VLOOKUP(--SUBSTITUTE(SUBSTITUTE(TRIM($K174),"-","")," ",""),마스터시트!$A$2:$H$1946,3,FALSE),"미등록"))</f>
        <v/>
      </c>
      <c r="O174" s="18" t="str">
        <f>IF($K174="","",IFERROR(VLOOKUP(--SUBSTITUTE(SUBSTITUTE(TRIM($K174),"-","")," ",""),마스터시트!$A$2:$H$1946,4,FALSE),""))</f>
        <v/>
      </c>
      <c r="P174" s="18" t="str">
        <f>IF($K174="","",IFERROR(VLOOKUP(--SUBSTITUTE(SUBSTITUTE(TRIM($K174),"-","")," ",""),마스터시트!$A$2:$H$1946,5,FALSE),""))</f>
        <v/>
      </c>
      <c r="Q174" s="18" t="str">
        <f>IF($K174="","",IFERROR(VLOOKUP(--SUBSTITUTE(SUBSTITUTE(TRIM($K174),"-","")," ",""),마스터시트!$A$2:$H$1946,6,FALSE),""))</f>
        <v/>
      </c>
      <c r="R174" s="18" t="str">
        <f>IF($K174="","",IFERROR(VLOOKUP(--SUBSTITUTE(SUBSTITUTE(TRIM($K174),"-","")," ",""),마스터시트!$A$2:$H$1946,7,FALSE),""))</f>
        <v/>
      </c>
    </row>
    <row r="175" spans="13:18" x14ac:dyDescent="0.3">
      <c r="M175" s="18" t="str">
        <f>IF($K175="","",IFERROR(VLOOKUP(--SUBSTITUTE(SUBSTITUTE(TRIM($K175),"-","")," ",""),마스터시트!$A$2:$H$1946,2,FALSE),"미등록"))</f>
        <v/>
      </c>
      <c r="N175" s="53" t="str">
        <f>IF($K175="","",IFERROR(VLOOKUP(--SUBSTITUTE(SUBSTITUTE(TRIM($K175),"-","")," ",""),마스터시트!$A$2:$H$1946,3,FALSE),"미등록"))</f>
        <v/>
      </c>
      <c r="O175" s="18" t="str">
        <f>IF($K175="","",IFERROR(VLOOKUP(--SUBSTITUTE(SUBSTITUTE(TRIM($K175),"-","")," ",""),마스터시트!$A$2:$H$1946,4,FALSE),""))</f>
        <v/>
      </c>
      <c r="P175" s="18" t="str">
        <f>IF($K175="","",IFERROR(VLOOKUP(--SUBSTITUTE(SUBSTITUTE(TRIM($K175),"-","")," ",""),마스터시트!$A$2:$H$1946,5,FALSE),""))</f>
        <v/>
      </c>
      <c r="Q175" s="18" t="str">
        <f>IF($K175="","",IFERROR(VLOOKUP(--SUBSTITUTE(SUBSTITUTE(TRIM($K175),"-","")," ",""),마스터시트!$A$2:$H$1946,6,FALSE),""))</f>
        <v/>
      </c>
      <c r="R175" s="18" t="str">
        <f>IF($K175="","",IFERROR(VLOOKUP(--SUBSTITUTE(SUBSTITUTE(TRIM($K175),"-","")," ",""),마스터시트!$A$2:$H$1946,7,FALSE),""))</f>
        <v/>
      </c>
    </row>
    <row r="176" spans="13:18" x14ac:dyDescent="0.3">
      <c r="M176" s="18" t="str">
        <f>IF($K176="","",IFERROR(VLOOKUP(--SUBSTITUTE(SUBSTITUTE(TRIM($K176),"-","")," ",""),마스터시트!$A$2:$H$1946,2,FALSE),"미등록"))</f>
        <v/>
      </c>
      <c r="N176" s="53" t="str">
        <f>IF($K176="","",IFERROR(VLOOKUP(--SUBSTITUTE(SUBSTITUTE(TRIM($K176),"-","")," ",""),마스터시트!$A$2:$H$1946,3,FALSE),"미등록"))</f>
        <v/>
      </c>
      <c r="O176" s="18" t="str">
        <f>IF($K176="","",IFERROR(VLOOKUP(--SUBSTITUTE(SUBSTITUTE(TRIM($K176),"-","")," ",""),마스터시트!$A$2:$H$1946,4,FALSE),""))</f>
        <v/>
      </c>
      <c r="P176" s="18" t="str">
        <f>IF($K176="","",IFERROR(VLOOKUP(--SUBSTITUTE(SUBSTITUTE(TRIM($K176),"-","")," ",""),마스터시트!$A$2:$H$1946,5,FALSE),""))</f>
        <v/>
      </c>
      <c r="Q176" s="18" t="str">
        <f>IF($K176="","",IFERROR(VLOOKUP(--SUBSTITUTE(SUBSTITUTE(TRIM($K176),"-","")," ",""),마스터시트!$A$2:$H$1946,6,FALSE),""))</f>
        <v/>
      </c>
      <c r="R176" s="18" t="str">
        <f>IF($K176="","",IFERROR(VLOOKUP(--SUBSTITUTE(SUBSTITUTE(TRIM($K176),"-","")," ",""),마스터시트!$A$2:$H$1946,7,FALSE),""))</f>
        <v/>
      </c>
    </row>
    <row r="177" spans="13:18" x14ac:dyDescent="0.3">
      <c r="M177" s="18" t="str">
        <f>IF($K177="","",IFERROR(VLOOKUP(--SUBSTITUTE(SUBSTITUTE(TRIM($K177),"-","")," ",""),마스터시트!$A$2:$H$1946,2,FALSE),"미등록"))</f>
        <v/>
      </c>
      <c r="N177" s="53" t="str">
        <f>IF($K177="","",IFERROR(VLOOKUP(--SUBSTITUTE(SUBSTITUTE(TRIM($K177),"-","")," ",""),마스터시트!$A$2:$H$1946,3,FALSE),"미등록"))</f>
        <v/>
      </c>
      <c r="O177" s="18" t="str">
        <f>IF($K177="","",IFERROR(VLOOKUP(--SUBSTITUTE(SUBSTITUTE(TRIM($K177),"-","")," ",""),마스터시트!$A$2:$H$1946,4,FALSE),""))</f>
        <v/>
      </c>
      <c r="P177" s="18" t="str">
        <f>IF($K177="","",IFERROR(VLOOKUP(--SUBSTITUTE(SUBSTITUTE(TRIM($K177),"-","")," ",""),마스터시트!$A$2:$H$1946,5,FALSE),""))</f>
        <v/>
      </c>
      <c r="Q177" s="18" t="str">
        <f>IF($K177="","",IFERROR(VLOOKUP(--SUBSTITUTE(SUBSTITUTE(TRIM($K177),"-","")," ",""),마스터시트!$A$2:$H$1946,6,FALSE),""))</f>
        <v/>
      </c>
      <c r="R177" s="18" t="str">
        <f>IF($K177="","",IFERROR(VLOOKUP(--SUBSTITUTE(SUBSTITUTE(TRIM($K177),"-","")," ",""),마스터시트!$A$2:$H$1946,7,FALSE),""))</f>
        <v/>
      </c>
    </row>
    <row r="178" spans="13:18" x14ac:dyDescent="0.3">
      <c r="M178" s="18" t="str">
        <f>IF($K178="","",IFERROR(VLOOKUP(--SUBSTITUTE(SUBSTITUTE(TRIM($K178),"-","")," ",""),마스터시트!$A$2:$H$1946,2,FALSE),"미등록"))</f>
        <v/>
      </c>
      <c r="N178" s="53" t="str">
        <f>IF($K178="","",IFERROR(VLOOKUP(--SUBSTITUTE(SUBSTITUTE(TRIM($K178),"-","")," ",""),마스터시트!$A$2:$H$1946,3,FALSE),"미등록"))</f>
        <v/>
      </c>
      <c r="O178" s="18" t="str">
        <f>IF($K178="","",IFERROR(VLOOKUP(--SUBSTITUTE(SUBSTITUTE(TRIM($K178),"-","")," ",""),마스터시트!$A$2:$H$1946,4,FALSE),""))</f>
        <v/>
      </c>
      <c r="P178" s="18" t="str">
        <f>IF($K178="","",IFERROR(VLOOKUP(--SUBSTITUTE(SUBSTITUTE(TRIM($K178),"-","")," ",""),마스터시트!$A$2:$H$1946,5,FALSE),""))</f>
        <v/>
      </c>
      <c r="Q178" s="18" t="str">
        <f>IF($K178="","",IFERROR(VLOOKUP(--SUBSTITUTE(SUBSTITUTE(TRIM($K178),"-","")," ",""),마스터시트!$A$2:$H$1946,6,FALSE),""))</f>
        <v/>
      </c>
      <c r="R178" s="18" t="str">
        <f>IF($K178="","",IFERROR(VLOOKUP(--SUBSTITUTE(SUBSTITUTE(TRIM($K178),"-","")," ",""),마스터시트!$A$2:$H$1946,7,FALSE),""))</f>
        <v/>
      </c>
    </row>
    <row r="179" spans="13:18" x14ac:dyDescent="0.3">
      <c r="M179" s="18" t="str">
        <f>IF($K179="","",IFERROR(VLOOKUP(--SUBSTITUTE(SUBSTITUTE(TRIM($K179),"-","")," ",""),마스터시트!$A$2:$H$1946,2,FALSE),"미등록"))</f>
        <v/>
      </c>
      <c r="N179" s="53" t="str">
        <f>IF($K179="","",IFERROR(VLOOKUP(--SUBSTITUTE(SUBSTITUTE(TRIM($K179),"-","")," ",""),마스터시트!$A$2:$H$1946,3,FALSE),"미등록"))</f>
        <v/>
      </c>
      <c r="O179" s="18" t="str">
        <f>IF($K179="","",IFERROR(VLOOKUP(--SUBSTITUTE(SUBSTITUTE(TRIM($K179),"-","")," ",""),마스터시트!$A$2:$H$1946,4,FALSE),""))</f>
        <v/>
      </c>
      <c r="P179" s="18" t="str">
        <f>IF($K179="","",IFERROR(VLOOKUP(--SUBSTITUTE(SUBSTITUTE(TRIM($K179),"-","")," ",""),마스터시트!$A$2:$H$1946,5,FALSE),""))</f>
        <v/>
      </c>
      <c r="Q179" s="18" t="str">
        <f>IF($K179="","",IFERROR(VLOOKUP(--SUBSTITUTE(SUBSTITUTE(TRIM($K179),"-","")," ",""),마스터시트!$A$2:$H$1946,6,FALSE),""))</f>
        <v/>
      </c>
      <c r="R179" s="18" t="str">
        <f>IF($K179="","",IFERROR(VLOOKUP(--SUBSTITUTE(SUBSTITUTE(TRIM($K179),"-","")," ",""),마스터시트!$A$2:$H$1946,7,FALSE),""))</f>
        <v/>
      </c>
    </row>
    <row r="180" spans="13:18" x14ac:dyDescent="0.3">
      <c r="M180" s="18" t="str">
        <f>IF($K180="","",IFERROR(VLOOKUP(--SUBSTITUTE(SUBSTITUTE(TRIM($K180),"-","")," ",""),마스터시트!$A$2:$H$1946,2,FALSE),"미등록"))</f>
        <v/>
      </c>
      <c r="N180" s="53" t="str">
        <f>IF($K180="","",IFERROR(VLOOKUP(--SUBSTITUTE(SUBSTITUTE(TRIM($K180),"-","")," ",""),마스터시트!$A$2:$H$1946,3,FALSE),"미등록"))</f>
        <v/>
      </c>
      <c r="O180" s="18" t="str">
        <f>IF($K180="","",IFERROR(VLOOKUP(--SUBSTITUTE(SUBSTITUTE(TRIM($K180),"-","")," ",""),마스터시트!$A$2:$H$1946,4,FALSE),""))</f>
        <v/>
      </c>
      <c r="P180" s="18" t="str">
        <f>IF($K180="","",IFERROR(VLOOKUP(--SUBSTITUTE(SUBSTITUTE(TRIM($K180),"-","")," ",""),마스터시트!$A$2:$H$1946,5,FALSE),""))</f>
        <v/>
      </c>
      <c r="Q180" s="18" t="str">
        <f>IF($K180="","",IFERROR(VLOOKUP(--SUBSTITUTE(SUBSTITUTE(TRIM($K180),"-","")," ",""),마스터시트!$A$2:$H$1946,6,FALSE),""))</f>
        <v/>
      </c>
      <c r="R180" s="18" t="str">
        <f>IF($K180="","",IFERROR(VLOOKUP(--SUBSTITUTE(SUBSTITUTE(TRIM($K180),"-","")," ",""),마스터시트!$A$2:$H$1946,7,FALSE),""))</f>
        <v/>
      </c>
    </row>
    <row r="181" spans="13:18" x14ac:dyDescent="0.3">
      <c r="M181" s="18" t="str">
        <f>IF($K181="","",IFERROR(VLOOKUP(--SUBSTITUTE(SUBSTITUTE(TRIM($K181),"-","")," ",""),마스터시트!$A$2:$H$1946,2,FALSE),"미등록"))</f>
        <v/>
      </c>
      <c r="N181" s="53" t="str">
        <f>IF($K181="","",IFERROR(VLOOKUP(--SUBSTITUTE(SUBSTITUTE(TRIM($K181),"-","")," ",""),마스터시트!$A$2:$H$1946,3,FALSE),"미등록"))</f>
        <v/>
      </c>
      <c r="O181" s="18" t="str">
        <f>IF($K181="","",IFERROR(VLOOKUP(--SUBSTITUTE(SUBSTITUTE(TRIM($K181),"-","")," ",""),마스터시트!$A$2:$H$1946,4,FALSE),""))</f>
        <v/>
      </c>
      <c r="P181" s="18" t="str">
        <f>IF($K181="","",IFERROR(VLOOKUP(--SUBSTITUTE(SUBSTITUTE(TRIM($K181),"-","")," ",""),마스터시트!$A$2:$H$1946,5,FALSE),""))</f>
        <v/>
      </c>
      <c r="Q181" s="18" t="str">
        <f>IF($K181="","",IFERROR(VLOOKUP(--SUBSTITUTE(SUBSTITUTE(TRIM($K181),"-","")," ",""),마스터시트!$A$2:$H$1946,6,FALSE),""))</f>
        <v/>
      </c>
      <c r="R181" s="18" t="str">
        <f>IF($K181="","",IFERROR(VLOOKUP(--SUBSTITUTE(SUBSTITUTE(TRIM($K181),"-","")," ",""),마스터시트!$A$2:$H$1946,7,FALSE),""))</f>
        <v/>
      </c>
    </row>
    <row r="182" spans="13:18" x14ac:dyDescent="0.3">
      <c r="M182" s="18" t="str">
        <f>IF($K182="","",IFERROR(VLOOKUP(--SUBSTITUTE(SUBSTITUTE(TRIM($K182),"-","")," ",""),마스터시트!$A$2:$H$1946,2,FALSE),"미등록"))</f>
        <v/>
      </c>
      <c r="N182" s="53" t="str">
        <f>IF($K182="","",IFERROR(VLOOKUP(--SUBSTITUTE(SUBSTITUTE(TRIM($K182),"-","")," ",""),마스터시트!$A$2:$H$1946,3,FALSE),"미등록"))</f>
        <v/>
      </c>
      <c r="O182" s="18" t="str">
        <f>IF($K182="","",IFERROR(VLOOKUP(--SUBSTITUTE(SUBSTITUTE(TRIM($K182),"-","")," ",""),마스터시트!$A$2:$H$1946,4,FALSE),""))</f>
        <v/>
      </c>
      <c r="P182" s="18" t="str">
        <f>IF($K182="","",IFERROR(VLOOKUP(--SUBSTITUTE(SUBSTITUTE(TRIM($K182),"-","")," ",""),마스터시트!$A$2:$H$1946,5,FALSE),""))</f>
        <v/>
      </c>
      <c r="Q182" s="18" t="str">
        <f>IF($K182="","",IFERROR(VLOOKUP(--SUBSTITUTE(SUBSTITUTE(TRIM($K182),"-","")," ",""),마스터시트!$A$2:$H$1946,6,FALSE),""))</f>
        <v/>
      </c>
      <c r="R182" s="18" t="str">
        <f>IF($K182="","",IFERROR(VLOOKUP(--SUBSTITUTE(SUBSTITUTE(TRIM($K182),"-","")," ",""),마스터시트!$A$2:$H$1946,7,FALSE),""))</f>
        <v/>
      </c>
    </row>
    <row r="183" spans="13:18" x14ac:dyDescent="0.3">
      <c r="M183" s="18" t="str">
        <f>IF($K183="","",IFERROR(VLOOKUP(--SUBSTITUTE(SUBSTITUTE(TRIM($K183),"-","")," ",""),마스터시트!$A$2:$H$1946,2,FALSE),"미등록"))</f>
        <v/>
      </c>
      <c r="N183" s="53" t="str">
        <f>IF($K183="","",IFERROR(VLOOKUP(--SUBSTITUTE(SUBSTITUTE(TRIM($K183),"-","")," ",""),마스터시트!$A$2:$H$1946,3,FALSE),"미등록"))</f>
        <v/>
      </c>
      <c r="O183" s="18" t="str">
        <f>IF($K183="","",IFERROR(VLOOKUP(--SUBSTITUTE(SUBSTITUTE(TRIM($K183),"-","")," ",""),마스터시트!$A$2:$H$1946,4,FALSE),""))</f>
        <v/>
      </c>
      <c r="P183" s="18" t="str">
        <f>IF($K183="","",IFERROR(VLOOKUP(--SUBSTITUTE(SUBSTITUTE(TRIM($K183),"-","")," ",""),마스터시트!$A$2:$H$1946,5,FALSE),""))</f>
        <v/>
      </c>
      <c r="Q183" s="18" t="str">
        <f>IF($K183="","",IFERROR(VLOOKUP(--SUBSTITUTE(SUBSTITUTE(TRIM($K183),"-","")," ",""),마스터시트!$A$2:$H$1946,6,FALSE),""))</f>
        <v/>
      </c>
      <c r="R183" s="18" t="str">
        <f>IF($K183="","",IFERROR(VLOOKUP(--SUBSTITUTE(SUBSTITUTE(TRIM($K183),"-","")," ",""),마스터시트!$A$2:$H$1946,7,FALSE),""))</f>
        <v/>
      </c>
    </row>
    <row r="184" spans="13:18" x14ac:dyDescent="0.3">
      <c r="M184" s="18" t="str">
        <f>IF($K184="","",IFERROR(VLOOKUP(--SUBSTITUTE(SUBSTITUTE(TRIM($K184),"-","")," ",""),마스터시트!$A$2:$H$1946,2,FALSE),"미등록"))</f>
        <v/>
      </c>
      <c r="N184" s="53" t="str">
        <f>IF($K184="","",IFERROR(VLOOKUP(--SUBSTITUTE(SUBSTITUTE(TRIM($K184),"-","")," ",""),마스터시트!$A$2:$H$1946,3,FALSE),"미등록"))</f>
        <v/>
      </c>
      <c r="O184" s="18" t="str">
        <f>IF($K184="","",IFERROR(VLOOKUP(--SUBSTITUTE(SUBSTITUTE(TRIM($K184),"-","")," ",""),마스터시트!$A$2:$H$1946,4,FALSE),""))</f>
        <v/>
      </c>
      <c r="P184" s="18" t="str">
        <f>IF($K184="","",IFERROR(VLOOKUP(--SUBSTITUTE(SUBSTITUTE(TRIM($K184),"-","")," ",""),마스터시트!$A$2:$H$1946,5,FALSE),""))</f>
        <v/>
      </c>
      <c r="Q184" s="18" t="str">
        <f>IF($K184="","",IFERROR(VLOOKUP(--SUBSTITUTE(SUBSTITUTE(TRIM($K184),"-","")," ",""),마스터시트!$A$2:$H$1946,6,FALSE),""))</f>
        <v/>
      </c>
      <c r="R184" s="18" t="str">
        <f>IF($K184="","",IFERROR(VLOOKUP(--SUBSTITUTE(SUBSTITUTE(TRIM($K184),"-","")," ",""),마스터시트!$A$2:$H$1946,7,FALSE),""))</f>
        <v/>
      </c>
    </row>
    <row r="185" spans="13:18" x14ac:dyDescent="0.3">
      <c r="M185" s="18" t="str">
        <f>IF($K185="","",IFERROR(VLOOKUP(--SUBSTITUTE(SUBSTITUTE(TRIM($K185),"-","")," ",""),마스터시트!$A$2:$H$1946,2,FALSE),"미등록"))</f>
        <v/>
      </c>
      <c r="N185" s="53" t="str">
        <f>IF($K185="","",IFERROR(VLOOKUP(--SUBSTITUTE(SUBSTITUTE(TRIM($K185),"-","")," ",""),마스터시트!$A$2:$H$1946,3,FALSE),"미등록"))</f>
        <v/>
      </c>
      <c r="O185" s="18" t="str">
        <f>IF($K185="","",IFERROR(VLOOKUP(--SUBSTITUTE(SUBSTITUTE(TRIM($K185),"-","")," ",""),마스터시트!$A$2:$H$1946,4,FALSE),""))</f>
        <v/>
      </c>
      <c r="P185" s="18" t="str">
        <f>IF($K185="","",IFERROR(VLOOKUP(--SUBSTITUTE(SUBSTITUTE(TRIM($K185),"-","")," ",""),마스터시트!$A$2:$H$1946,5,FALSE),""))</f>
        <v/>
      </c>
      <c r="Q185" s="18" t="str">
        <f>IF($K185="","",IFERROR(VLOOKUP(--SUBSTITUTE(SUBSTITUTE(TRIM($K185),"-","")," ",""),마스터시트!$A$2:$H$1946,6,FALSE),""))</f>
        <v/>
      </c>
      <c r="R185" s="18" t="str">
        <f>IF($K185="","",IFERROR(VLOOKUP(--SUBSTITUTE(SUBSTITUTE(TRIM($K185),"-","")," ",""),마스터시트!$A$2:$H$1946,7,FALSE),""))</f>
        <v/>
      </c>
    </row>
    <row r="186" spans="13:18" x14ac:dyDescent="0.3">
      <c r="M186" s="18" t="str">
        <f>IF($K186="","",IFERROR(VLOOKUP(--SUBSTITUTE(SUBSTITUTE(TRIM($K186),"-","")," ",""),마스터시트!$A$2:$H$1946,2,FALSE),"미등록"))</f>
        <v/>
      </c>
      <c r="N186" s="53" t="str">
        <f>IF($K186="","",IFERROR(VLOOKUP(--SUBSTITUTE(SUBSTITUTE(TRIM($K186),"-","")," ",""),마스터시트!$A$2:$H$1946,3,FALSE),"미등록"))</f>
        <v/>
      </c>
      <c r="O186" s="18" t="str">
        <f>IF($K186="","",IFERROR(VLOOKUP(--SUBSTITUTE(SUBSTITUTE(TRIM($K186),"-","")," ",""),마스터시트!$A$2:$H$1946,4,FALSE),""))</f>
        <v/>
      </c>
      <c r="P186" s="18" t="str">
        <f>IF($K186="","",IFERROR(VLOOKUP(--SUBSTITUTE(SUBSTITUTE(TRIM($K186),"-","")," ",""),마스터시트!$A$2:$H$1946,5,FALSE),""))</f>
        <v/>
      </c>
      <c r="Q186" s="18" t="str">
        <f>IF($K186="","",IFERROR(VLOOKUP(--SUBSTITUTE(SUBSTITUTE(TRIM($K186),"-","")," ",""),마스터시트!$A$2:$H$1946,6,FALSE),""))</f>
        <v/>
      </c>
      <c r="R186" s="18" t="str">
        <f>IF($K186="","",IFERROR(VLOOKUP(--SUBSTITUTE(SUBSTITUTE(TRIM($K186),"-","")," ",""),마스터시트!$A$2:$H$1946,7,FALSE),""))</f>
        <v/>
      </c>
    </row>
    <row r="187" spans="13:18" x14ac:dyDescent="0.3">
      <c r="M187" s="18" t="str">
        <f>IF($K187="","",IFERROR(VLOOKUP(--SUBSTITUTE(SUBSTITUTE(TRIM($K187),"-","")," ",""),마스터시트!$A$2:$H$1946,2,FALSE),"미등록"))</f>
        <v/>
      </c>
      <c r="N187" s="53" t="str">
        <f>IF($K187="","",IFERROR(VLOOKUP(--SUBSTITUTE(SUBSTITUTE(TRIM($K187),"-","")," ",""),마스터시트!$A$2:$H$1946,3,FALSE),"미등록"))</f>
        <v/>
      </c>
      <c r="O187" s="18" t="str">
        <f>IF($K187="","",IFERROR(VLOOKUP(--SUBSTITUTE(SUBSTITUTE(TRIM($K187),"-","")," ",""),마스터시트!$A$2:$H$1946,4,FALSE),""))</f>
        <v/>
      </c>
      <c r="P187" s="18" t="str">
        <f>IF($K187="","",IFERROR(VLOOKUP(--SUBSTITUTE(SUBSTITUTE(TRIM($K187),"-","")," ",""),마스터시트!$A$2:$H$1946,5,FALSE),""))</f>
        <v/>
      </c>
      <c r="Q187" s="18" t="str">
        <f>IF($K187="","",IFERROR(VLOOKUP(--SUBSTITUTE(SUBSTITUTE(TRIM($K187),"-","")," ",""),마스터시트!$A$2:$H$1946,6,FALSE),""))</f>
        <v/>
      </c>
      <c r="R187" s="18" t="str">
        <f>IF($K187="","",IFERROR(VLOOKUP(--SUBSTITUTE(SUBSTITUTE(TRIM($K187),"-","")," ",""),마스터시트!$A$2:$H$1946,7,FALSE),""))</f>
        <v/>
      </c>
    </row>
    <row r="188" spans="13:18" x14ac:dyDescent="0.3">
      <c r="M188" s="18" t="str">
        <f>IF($K188="","",IFERROR(VLOOKUP(--SUBSTITUTE(SUBSTITUTE(TRIM($K188),"-","")," ",""),마스터시트!$A$2:$H$1946,2,FALSE),"미등록"))</f>
        <v/>
      </c>
      <c r="N188" s="53" t="str">
        <f>IF($K188="","",IFERROR(VLOOKUP(--SUBSTITUTE(SUBSTITUTE(TRIM($K188),"-","")," ",""),마스터시트!$A$2:$H$1946,3,FALSE),"미등록"))</f>
        <v/>
      </c>
      <c r="O188" s="18" t="str">
        <f>IF($K188="","",IFERROR(VLOOKUP(--SUBSTITUTE(SUBSTITUTE(TRIM($K188),"-","")," ",""),마스터시트!$A$2:$H$1946,4,FALSE),""))</f>
        <v/>
      </c>
      <c r="P188" s="18" t="str">
        <f>IF($K188="","",IFERROR(VLOOKUP(--SUBSTITUTE(SUBSTITUTE(TRIM($K188),"-","")," ",""),마스터시트!$A$2:$H$1946,5,FALSE),""))</f>
        <v/>
      </c>
      <c r="Q188" s="18" t="str">
        <f>IF($K188="","",IFERROR(VLOOKUP(--SUBSTITUTE(SUBSTITUTE(TRIM($K188),"-","")," ",""),마스터시트!$A$2:$H$1946,6,FALSE),""))</f>
        <v/>
      </c>
      <c r="R188" s="18" t="str">
        <f>IF($K188="","",IFERROR(VLOOKUP(--SUBSTITUTE(SUBSTITUTE(TRIM($K188),"-","")," ",""),마스터시트!$A$2:$H$1946,7,FALSE),""))</f>
        <v/>
      </c>
    </row>
    <row r="189" spans="13:18" x14ac:dyDescent="0.3">
      <c r="M189" s="18" t="str">
        <f>IF($K189="","",IFERROR(VLOOKUP(--SUBSTITUTE(SUBSTITUTE(TRIM($K189),"-","")," ",""),마스터시트!$A$2:$H$1946,2,FALSE),"미등록"))</f>
        <v/>
      </c>
      <c r="N189" s="53" t="str">
        <f>IF($K189="","",IFERROR(VLOOKUP(--SUBSTITUTE(SUBSTITUTE(TRIM($K189),"-","")," ",""),마스터시트!$A$2:$H$1946,3,FALSE),"미등록"))</f>
        <v/>
      </c>
      <c r="O189" s="18" t="str">
        <f>IF($K189="","",IFERROR(VLOOKUP(--SUBSTITUTE(SUBSTITUTE(TRIM($K189),"-","")," ",""),마스터시트!$A$2:$H$1946,4,FALSE),""))</f>
        <v/>
      </c>
      <c r="P189" s="18" t="str">
        <f>IF($K189="","",IFERROR(VLOOKUP(--SUBSTITUTE(SUBSTITUTE(TRIM($K189),"-","")," ",""),마스터시트!$A$2:$H$1946,5,FALSE),""))</f>
        <v/>
      </c>
      <c r="Q189" s="18" t="str">
        <f>IF($K189="","",IFERROR(VLOOKUP(--SUBSTITUTE(SUBSTITUTE(TRIM($K189),"-","")," ",""),마스터시트!$A$2:$H$1946,6,FALSE),""))</f>
        <v/>
      </c>
      <c r="R189" s="18" t="str">
        <f>IF($K189="","",IFERROR(VLOOKUP(--SUBSTITUTE(SUBSTITUTE(TRIM($K189),"-","")," ",""),마스터시트!$A$2:$H$1946,7,FALSE),""))</f>
        <v/>
      </c>
    </row>
    <row r="190" spans="13:18" x14ac:dyDescent="0.3">
      <c r="M190" s="18" t="str">
        <f>IF($K190="","",IFERROR(VLOOKUP(--SUBSTITUTE(SUBSTITUTE(TRIM($K190),"-","")," ",""),마스터시트!$A$2:$H$1946,2,FALSE),"미등록"))</f>
        <v/>
      </c>
      <c r="N190" s="53" t="str">
        <f>IF($K190="","",IFERROR(VLOOKUP(--SUBSTITUTE(SUBSTITUTE(TRIM($K190),"-","")," ",""),마스터시트!$A$2:$H$1946,3,FALSE),"미등록"))</f>
        <v/>
      </c>
      <c r="O190" s="18" t="str">
        <f>IF($K190="","",IFERROR(VLOOKUP(--SUBSTITUTE(SUBSTITUTE(TRIM($K190),"-","")," ",""),마스터시트!$A$2:$H$1946,4,FALSE),""))</f>
        <v/>
      </c>
      <c r="P190" s="18" t="str">
        <f>IF($K190="","",IFERROR(VLOOKUP(--SUBSTITUTE(SUBSTITUTE(TRIM($K190),"-","")," ",""),마스터시트!$A$2:$H$1946,5,FALSE),""))</f>
        <v/>
      </c>
      <c r="Q190" s="18" t="str">
        <f>IF($K190="","",IFERROR(VLOOKUP(--SUBSTITUTE(SUBSTITUTE(TRIM($K190),"-","")," ",""),마스터시트!$A$2:$H$1946,6,FALSE),""))</f>
        <v/>
      </c>
      <c r="R190" s="18" t="str">
        <f>IF($K190="","",IFERROR(VLOOKUP(--SUBSTITUTE(SUBSTITUTE(TRIM($K190),"-","")," ",""),마스터시트!$A$2:$H$1946,7,FALSE),""))</f>
        <v/>
      </c>
    </row>
    <row r="191" spans="13:18" x14ac:dyDescent="0.3">
      <c r="M191" s="18" t="str">
        <f>IF($K191="","",IFERROR(VLOOKUP(--SUBSTITUTE(SUBSTITUTE(TRIM($K191),"-","")," ",""),마스터시트!$A$2:$H$1946,2,FALSE),"미등록"))</f>
        <v/>
      </c>
      <c r="N191" s="53" t="str">
        <f>IF($K191="","",IFERROR(VLOOKUP(--SUBSTITUTE(SUBSTITUTE(TRIM($K191),"-","")," ",""),마스터시트!$A$2:$H$1946,3,FALSE),"미등록"))</f>
        <v/>
      </c>
      <c r="O191" s="18" t="str">
        <f>IF($K191="","",IFERROR(VLOOKUP(--SUBSTITUTE(SUBSTITUTE(TRIM($K191),"-","")," ",""),마스터시트!$A$2:$H$1946,4,FALSE),""))</f>
        <v/>
      </c>
      <c r="P191" s="18" t="str">
        <f>IF($K191="","",IFERROR(VLOOKUP(--SUBSTITUTE(SUBSTITUTE(TRIM($K191),"-","")," ",""),마스터시트!$A$2:$H$1946,5,FALSE),""))</f>
        <v/>
      </c>
      <c r="Q191" s="18" t="str">
        <f>IF($K191="","",IFERROR(VLOOKUP(--SUBSTITUTE(SUBSTITUTE(TRIM($K191),"-","")," ",""),마스터시트!$A$2:$H$1946,6,FALSE),""))</f>
        <v/>
      </c>
      <c r="R191" s="18" t="str">
        <f>IF($K191="","",IFERROR(VLOOKUP(--SUBSTITUTE(SUBSTITUTE(TRIM($K191),"-","")," ",""),마스터시트!$A$2:$H$1946,7,FALSE),""))</f>
        <v/>
      </c>
    </row>
    <row r="192" spans="13:18" x14ac:dyDescent="0.3">
      <c r="M192" s="18" t="str">
        <f>IF($K192="","",IFERROR(VLOOKUP(--SUBSTITUTE(SUBSTITUTE(TRIM($K192),"-","")," ",""),마스터시트!$A$2:$H$1946,2,FALSE),"미등록"))</f>
        <v/>
      </c>
      <c r="N192" s="53" t="str">
        <f>IF($K192="","",IFERROR(VLOOKUP(--SUBSTITUTE(SUBSTITUTE(TRIM($K192),"-","")," ",""),마스터시트!$A$2:$H$1946,3,FALSE),"미등록"))</f>
        <v/>
      </c>
      <c r="O192" s="18" t="str">
        <f>IF($K192="","",IFERROR(VLOOKUP(--SUBSTITUTE(SUBSTITUTE(TRIM($K192),"-","")," ",""),마스터시트!$A$2:$H$1946,4,FALSE),""))</f>
        <v/>
      </c>
      <c r="P192" s="18" t="str">
        <f>IF($K192="","",IFERROR(VLOOKUP(--SUBSTITUTE(SUBSTITUTE(TRIM($K192),"-","")," ",""),마스터시트!$A$2:$H$1946,5,FALSE),""))</f>
        <v/>
      </c>
      <c r="Q192" s="18" t="str">
        <f>IF($K192="","",IFERROR(VLOOKUP(--SUBSTITUTE(SUBSTITUTE(TRIM($K192),"-","")," ",""),마스터시트!$A$2:$H$1946,6,FALSE),""))</f>
        <v/>
      </c>
      <c r="R192" s="18" t="str">
        <f>IF($K192="","",IFERROR(VLOOKUP(--SUBSTITUTE(SUBSTITUTE(TRIM($K192),"-","")," ",""),마스터시트!$A$2:$H$1946,7,FALSE),""))</f>
        <v/>
      </c>
    </row>
    <row r="193" spans="13:18" x14ac:dyDescent="0.3">
      <c r="M193" s="18" t="str">
        <f>IF($K193="","",IFERROR(VLOOKUP(--SUBSTITUTE(SUBSTITUTE(TRIM($K193),"-","")," ",""),마스터시트!$A$2:$H$1946,2,FALSE),"미등록"))</f>
        <v/>
      </c>
      <c r="N193" s="53" t="str">
        <f>IF($K193="","",IFERROR(VLOOKUP(--SUBSTITUTE(SUBSTITUTE(TRIM($K193),"-","")," ",""),마스터시트!$A$2:$H$1946,3,FALSE),"미등록"))</f>
        <v/>
      </c>
      <c r="O193" s="18" t="str">
        <f>IF($K193="","",IFERROR(VLOOKUP(--SUBSTITUTE(SUBSTITUTE(TRIM($K193),"-","")," ",""),마스터시트!$A$2:$H$1946,4,FALSE),""))</f>
        <v/>
      </c>
      <c r="P193" s="18" t="str">
        <f>IF($K193="","",IFERROR(VLOOKUP(--SUBSTITUTE(SUBSTITUTE(TRIM($K193),"-","")," ",""),마스터시트!$A$2:$H$1946,5,FALSE),""))</f>
        <v/>
      </c>
      <c r="Q193" s="18" t="str">
        <f>IF($K193="","",IFERROR(VLOOKUP(--SUBSTITUTE(SUBSTITUTE(TRIM($K193),"-","")," ",""),마스터시트!$A$2:$H$1946,6,FALSE),""))</f>
        <v/>
      </c>
      <c r="R193" s="18" t="str">
        <f>IF($K193="","",IFERROR(VLOOKUP(--SUBSTITUTE(SUBSTITUTE(TRIM($K193),"-","")," ",""),마스터시트!$A$2:$H$1946,7,FALSE),""))</f>
        <v/>
      </c>
    </row>
    <row r="194" spans="13:18" x14ac:dyDescent="0.3">
      <c r="M194" s="18" t="str">
        <f>IF($K194="","",IFERROR(VLOOKUP(--SUBSTITUTE(SUBSTITUTE(TRIM($K194),"-","")," ",""),마스터시트!$A$2:$H$1946,2,FALSE),"미등록"))</f>
        <v/>
      </c>
      <c r="N194" s="53" t="str">
        <f>IF($K194="","",IFERROR(VLOOKUP(--SUBSTITUTE(SUBSTITUTE(TRIM($K194),"-","")," ",""),마스터시트!$A$2:$H$1946,3,FALSE),"미등록"))</f>
        <v/>
      </c>
      <c r="O194" s="18" t="str">
        <f>IF($K194="","",IFERROR(VLOOKUP(--SUBSTITUTE(SUBSTITUTE(TRIM($K194),"-","")," ",""),마스터시트!$A$2:$H$1946,4,FALSE),""))</f>
        <v/>
      </c>
      <c r="P194" s="18" t="str">
        <f>IF($K194="","",IFERROR(VLOOKUP(--SUBSTITUTE(SUBSTITUTE(TRIM($K194),"-","")," ",""),마스터시트!$A$2:$H$1946,5,FALSE),""))</f>
        <v/>
      </c>
      <c r="Q194" s="18" t="str">
        <f>IF($K194="","",IFERROR(VLOOKUP(--SUBSTITUTE(SUBSTITUTE(TRIM($K194),"-","")," ",""),마스터시트!$A$2:$H$1946,6,FALSE),""))</f>
        <v/>
      </c>
      <c r="R194" s="18" t="str">
        <f>IF($K194="","",IFERROR(VLOOKUP(--SUBSTITUTE(SUBSTITUTE(TRIM($K194),"-","")," ",""),마스터시트!$A$2:$H$1946,7,FALSE),""))</f>
        <v/>
      </c>
    </row>
    <row r="195" spans="13:18" x14ac:dyDescent="0.3">
      <c r="M195" s="18" t="str">
        <f>IF($K195="","",IFERROR(VLOOKUP(--SUBSTITUTE(SUBSTITUTE(TRIM($K195),"-","")," ",""),마스터시트!$A$2:$H$1946,2,FALSE),"미등록"))</f>
        <v/>
      </c>
      <c r="N195" s="53" t="str">
        <f>IF($K195="","",IFERROR(VLOOKUP(--SUBSTITUTE(SUBSTITUTE(TRIM($K195),"-","")," ",""),마스터시트!$A$2:$H$1946,3,FALSE),"미등록"))</f>
        <v/>
      </c>
      <c r="O195" s="18" t="str">
        <f>IF($K195="","",IFERROR(VLOOKUP(--SUBSTITUTE(SUBSTITUTE(TRIM($K195),"-","")," ",""),마스터시트!$A$2:$H$1946,4,FALSE),""))</f>
        <v/>
      </c>
      <c r="P195" s="18" t="str">
        <f>IF($K195="","",IFERROR(VLOOKUP(--SUBSTITUTE(SUBSTITUTE(TRIM($K195),"-","")," ",""),마스터시트!$A$2:$H$1946,5,FALSE),""))</f>
        <v/>
      </c>
      <c r="Q195" s="18" t="str">
        <f>IF($K195="","",IFERROR(VLOOKUP(--SUBSTITUTE(SUBSTITUTE(TRIM($K195),"-","")," ",""),마스터시트!$A$2:$H$1946,6,FALSE),""))</f>
        <v/>
      </c>
      <c r="R195" s="18" t="str">
        <f>IF($K195="","",IFERROR(VLOOKUP(--SUBSTITUTE(SUBSTITUTE(TRIM($K195),"-","")," ",""),마스터시트!$A$2:$H$1946,7,FALSE),""))</f>
        <v/>
      </c>
    </row>
    <row r="196" spans="13:18" x14ac:dyDescent="0.3">
      <c r="M196" s="18" t="str">
        <f>IF($K196="","",IFERROR(VLOOKUP(--SUBSTITUTE(SUBSTITUTE(TRIM($K196),"-","")," ",""),마스터시트!$A$2:$H$1946,2,FALSE),"미등록"))</f>
        <v/>
      </c>
      <c r="N196" s="53" t="str">
        <f>IF($K196="","",IFERROR(VLOOKUP(--SUBSTITUTE(SUBSTITUTE(TRIM($K196),"-","")," ",""),마스터시트!$A$2:$H$1946,3,FALSE),"미등록"))</f>
        <v/>
      </c>
      <c r="O196" s="18" t="str">
        <f>IF($K196="","",IFERROR(VLOOKUP(--SUBSTITUTE(SUBSTITUTE(TRIM($K196),"-","")," ",""),마스터시트!$A$2:$H$1946,4,FALSE),""))</f>
        <v/>
      </c>
      <c r="P196" s="18" t="str">
        <f>IF($K196="","",IFERROR(VLOOKUP(--SUBSTITUTE(SUBSTITUTE(TRIM($K196),"-","")," ",""),마스터시트!$A$2:$H$1946,5,FALSE),""))</f>
        <v/>
      </c>
      <c r="Q196" s="18" t="str">
        <f>IF($K196="","",IFERROR(VLOOKUP(--SUBSTITUTE(SUBSTITUTE(TRIM($K196),"-","")," ",""),마스터시트!$A$2:$H$1946,6,FALSE),""))</f>
        <v/>
      </c>
      <c r="R196" s="18" t="str">
        <f>IF($K196="","",IFERROR(VLOOKUP(--SUBSTITUTE(SUBSTITUTE(TRIM($K196),"-","")," ",""),마스터시트!$A$2:$H$1946,7,FALSE),""))</f>
        <v/>
      </c>
    </row>
    <row r="197" spans="13:18" x14ac:dyDescent="0.3">
      <c r="M197" s="18" t="str">
        <f>IF($K197="","",IFERROR(VLOOKUP(--SUBSTITUTE(SUBSTITUTE(TRIM($K197),"-","")," ",""),마스터시트!$A$2:$H$1946,2,FALSE),"미등록"))</f>
        <v/>
      </c>
      <c r="N197" s="53" t="str">
        <f>IF($K197="","",IFERROR(VLOOKUP(--SUBSTITUTE(SUBSTITUTE(TRIM($K197),"-","")," ",""),마스터시트!$A$2:$H$1946,3,FALSE),"미등록"))</f>
        <v/>
      </c>
      <c r="O197" s="18" t="str">
        <f>IF($K197="","",IFERROR(VLOOKUP(--SUBSTITUTE(SUBSTITUTE(TRIM($K197),"-","")," ",""),마스터시트!$A$2:$H$1946,4,FALSE),""))</f>
        <v/>
      </c>
      <c r="P197" s="18" t="str">
        <f>IF($K197="","",IFERROR(VLOOKUP(--SUBSTITUTE(SUBSTITUTE(TRIM($K197),"-","")," ",""),마스터시트!$A$2:$H$1946,5,FALSE),""))</f>
        <v/>
      </c>
      <c r="Q197" s="18" t="str">
        <f>IF($K197="","",IFERROR(VLOOKUP(--SUBSTITUTE(SUBSTITUTE(TRIM($K197),"-","")," ",""),마스터시트!$A$2:$H$1946,6,FALSE),""))</f>
        <v/>
      </c>
      <c r="R197" s="18" t="str">
        <f>IF($K197="","",IFERROR(VLOOKUP(--SUBSTITUTE(SUBSTITUTE(TRIM($K197),"-","")," ",""),마스터시트!$A$2:$H$1946,7,FALSE),""))</f>
        <v/>
      </c>
    </row>
    <row r="198" spans="13:18" x14ac:dyDescent="0.3">
      <c r="M198" s="18" t="str">
        <f>IF($K198="","",IFERROR(VLOOKUP(--SUBSTITUTE(SUBSTITUTE(TRIM($K198),"-","")," ",""),마스터시트!$A$2:$H$1946,2,FALSE),"미등록"))</f>
        <v/>
      </c>
      <c r="N198" s="53" t="str">
        <f>IF($K198="","",IFERROR(VLOOKUP(--SUBSTITUTE(SUBSTITUTE(TRIM($K198),"-","")," ",""),마스터시트!$A$2:$H$1946,3,FALSE),"미등록"))</f>
        <v/>
      </c>
      <c r="O198" s="18" t="str">
        <f>IF($K198="","",IFERROR(VLOOKUP(--SUBSTITUTE(SUBSTITUTE(TRIM($K198),"-","")," ",""),마스터시트!$A$2:$H$1946,4,FALSE),""))</f>
        <v/>
      </c>
      <c r="P198" s="18" t="str">
        <f>IF($K198="","",IFERROR(VLOOKUP(--SUBSTITUTE(SUBSTITUTE(TRIM($K198),"-","")," ",""),마스터시트!$A$2:$H$1946,5,FALSE),""))</f>
        <v/>
      </c>
      <c r="Q198" s="18" t="str">
        <f>IF($K198="","",IFERROR(VLOOKUP(--SUBSTITUTE(SUBSTITUTE(TRIM($K198),"-","")," ",""),마스터시트!$A$2:$H$1946,6,FALSE),""))</f>
        <v/>
      </c>
      <c r="R198" s="18" t="str">
        <f>IF($K198="","",IFERROR(VLOOKUP(--SUBSTITUTE(SUBSTITUTE(TRIM($K198),"-","")," ",""),마스터시트!$A$2:$H$1946,7,FALSE),""))</f>
        <v/>
      </c>
    </row>
    <row r="199" spans="13:18" x14ac:dyDescent="0.3">
      <c r="M199" s="18" t="str">
        <f>IF($K199="","",IFERROR(VLOOKUP(--SUBSTITUTE(SUBSTITUTE(TRIM($K199),"-","")," ",""),마스터시트!$A$2:$H$1946,2,FALSE),"미등록"))</f>
        <v/>
      </c>
      <c r="N199" s="53" t="str">
        <f>IF($K199="","",IFERROR(VLOOKUP(--SUBSTITUTE(SUBSTITUTE(TRIM($K199),"-","")," ",""),마스터시트!$A$2:$H$1946,3,FALSE),"미등록"))</f>
        <v/>
      </c>
      <c r="O199" s="18" t="str">
        <f>IF($K199="","",IFERROR(VLOOKUP(--SUBSTITUTE(SUBSTITUTE(TRIM($K199),"-","")," ",""),마스터시트!$A$2:$H$1946,4,FALSE),""))</f>
        <v/>
      </c>
      <c r="P199" s="18" t="str">
        <f>IF($K199="","",IFERROR(VLOOKUP(--SUBSTITUTE(SUBSTITUTE(TRIM($K199),"-","")," ",""),마스터시트!$A$2:$H$1946,5,FALSE),""))</f>
        <v/>
      </c>
      <c r="Q199" s="18" t="str">
        <f>IF($K199="","",IFERROR(VLOOKUP(--SUBSTITUTE(SUBSTITUTE(TRIM($K199),"-","")," ",""),마스터시트!$A$2:$H$1946,6,FALSE),""))</f>
        <v/>
      </c>
      <c r="R199" s="18" t="str">
        <f>IF($K199="","",IFERROR(VLOOKUP(--SUBSTITUTE(SUBSTITUTE(TRIM($K199),"-","")," ",""),마스터시트!$A$2:$H$1946,7,FALSE),""))</f>
        <v/>
      </c>
    </row>
    <row r="200" spans="13:18" x14ac:dyDescent="0.3">
      <c r="M200" s="18" t="str">
        <f>IF($K200="","",IFERROR(VLOOKUP(--SUBSTITUTE(SUBSTITUTE(TRIM($K200),"-","")," ",""),마스터시트!$A$2:$H$1946,2,FALSE),"미등록"))</f>
        <v/>
      </c>
      <c r="N200" s="53" t="str">
        <f>IF($K200="","",IFERROR(VLOOKUP(--SUBSTITUTE(SUBSTITUTE(TRIM($K200),"-","")," ",""),마스터시트!$A$2:$H$1946,3,FALSE),"미등록"))</f>
        <v/>
      </c>
      <c r="O200" s="18" t="str">
        <f>IF($K200="","",IFERROR(VLOOKUP(--SUBSTITUTE(SUBSTITUTE(TRIM($K200),"-","")," ",""),마스터시트!$A$2:$H$1946,4,FALSE),""))</f>
        <v/>
      </c>
      <c r="P200" s="18" t="str">
        <f>IF($K200="","",IFERROR(VLOOKUP(--SUBSTITUTE(SUBSTITUTE(TRIM($K200),"-","")," ",""),마스터시트!$A$2:$H$1946,5,FALSE),""))</f>
        <v/>
      </c>
      <c r="Q200" s="18" t="str">
        <f>IF($K200="","",IFERROR(VLOOKUP(--SUBSTITUTE(SUBSTITUTE(TRIM($K200),"-","")," ",""),마스터시트!$A$2:$H$1946,6,FALSE),""))</f>
        <v/>
      </c>
      <c r="R200" s="18" t="str">
        <f>IF($K200="","",IFERROR(VLOOKUP(--SUBSTITUTE(SUBSTITUTE(TRIM($K200),"-","")," ",""),마스터시트!$A$2:$H$1946,7,FALSE),""))</f>
        <v/>
      </c>
    </row>
    <row r="201" spans="13:18" x14ac:dyDescent="0.3">
      <c r="M201" s="18" t="str">
        <f>IF($K201="","",IFERROR(VLOOKUP(--SUBSTITUTE(SUBSTITUTE(TRIM($K201),"-","")," ",""),마스터시트!$A$2:$H$1946,2,FALSE),"미등록"))</f>
        <v/>
      </c>
      <c r="N201" s="53" t="str">
        <f>IF($K201="","",IFERROR(VLOOKUP(--SUBSTITUTE(SUBSTITUTE(TRIM($K201),"-","")," ",""),마스터시트!$A$2:$H$1946,3,FALSE),"미등록"))</f>
        <v/>
      </c>
      <c r="O201" s="18" t="str">
        <f>IF($K201="","",IFERROR(VLOOKUP(--SUBSTITUTE(SUBSTITUTE(TRIM($K201),"-","")," ",""),마스터시트!$A$2:$H$1946,4,FALSE),""))</f>
        <v/>
      </c>
      <c r="P201" s="18" t="str">
        <f>IF($K201="","",IFERROR(VLOOKUP(--SUBSTITUTE(SUBSTITUTE(TRIM($K201),"-","")," ",""),마스터시트!$A$2:$H$1946,5,FALSE),""))</f>
        <v/>
      </c>
      <c r="Q201" s="18" t="str">
        <f>IF($K201="","",IFERROR(VLOOKUP(--SUBSTITUTE(SUBSTITUTE(TRIM($K201),"-","")," ",""),마스터시트!$A$2:$H$1946,6,FALSE),""))</f>
        <v/>
      </c>
      <c r="R201" s="18" t="str">
        <f>IF($K201="","",IFERROR(VLOOKUP(--SUBSTITUTE(SUBSTITUTE(TRIM($K201),"-","")," ",""),마스터시트!$A$2:$H$1946,7,FALSE),""))</f>
        <v/>
      </c>
    </row>
    <row r="202" spans="13:18" x14ac:dyDescent="0.3">
      <c r="M202" s="18" t="str">
        <f>IF($K202="","",IFERROR(VLOOKUP(--SUBSTITUTE(SUBSTITUTE(TRIM($K202),"-","")," ",""),마스터시트!$A$2:$H$1946,2,FALSE),"미등록"))</f>
        <v/>
      </c>
      <c r="N202" s="53" t="str">
        <f>IF($K202="","",IFERROR(VLOOKUP(--SUBSTITUTE(SUBSTITUTE(TRIM($K202),"-","")," ",""),마스터시트!$A$2:$H$1946,3,FALSE),"미등록"))</f>
        <v/>
      </c>
      <c r="O202" s="18" t="str">
        <f>IF($K202="","",IFERROR(VLOOKUP(--SUBSTITUTE(SUBSTITUTE(TRIM($K202),"-","")," ",""),마스터시트!$A$2:$H$1946,4,FALSE),""))</f>
        <v/>
      </c>
      <c r="P202" s="18" t="str">
        <f>IF($K202="","",IFERROR(VLOOKUP(--SUBSTITUTE(SUBSTITUTE(TRIM($K202),"-","")," ",""),마스터시트!$A$2:$H$1946,5,FALSE),""))</f>
        <v/>
      </c>
      <c r="Q202" s="18" t="str">
        <f>IF($K202="","",IFERROR(VLOOKUP(--SUBSTITUTE(SUBSTITUTE(TRIM($K202),"-","")," ",""),마스터시트!$A$2:$H$1946,6,FALSE),""))</f>
        <v/>
      </c>
      <c r="R202" s="18" t="str">
        <f>IF($K202="","",IFERROR(VLOOKUP(--SUBSTITUTE(SUBSTITUTE(TRIM($K202),"-","")," ",""),마스터시트!$A$2:$H$1946,7,FALSE),""))</f>
        <v/>
      </c>
    </row>
    <row r="203" spans="13:18" x14ac:dyDescent="0.3">
      <c r="M203" s="18" t="str">
        <f>IF($K203="","",IFERROR(VLOOKUP(--SUBSTITUTE(SUBSTITUTE(TRIM($K203),"-","")," ",""),마스터시트!$A$2:$H$1946,2,FALSE),"미등록"))</f>
        <v/>
      </c>
      <c r="N203" s="53" t="str">
        <f>IF($K203="","",IFERROR(VLOOKUP(--SUBSTITUTE(SUBSTITUTE(TRIM($K203),"-","")," ",""),마스터시트!$A$2:$H$1946,3,FALSE),"미등록"))</f>
        <v/>
      </c>
      <c r="O203" s="18" t="str">
        <f>IF($K203="","",IFERROR(VLOOKUP(--SUBSTITUTE(SUBSTITUTE(TRIM($K203),"-","")," ",""),마스터시트!$A$2:$H$1946,4,FALSE),""))</f>
        <v/>
      </c>
      <c r="P203" s="18" t="str">
        <f>IF($K203="","",IFERROR(VLOOKUP(--SUBSTITUTE(SUBSTITUTE(TRIM($K203),"-","")," ",""),마스터시트!$A$2:$H$1946,5,FALSE),""))</f>
        <v/>
      </c>
      <c r="Q203" s="18" t="str">
        <f>IF($K203="","",IFERROR(VLOOKUP(--SUBSTITUTE(SUBSTITUTE(TRIM($K203),"-","")," ",""),마스터시트!$A$2:$H$1946,6,FALSE),""))</f>
        <v/>
      </c>
      <c r="R203" s="18" t="str">
        <f>IF($K203="","",IFERROR(VLOOKUP(--SUBSTITUTE(SUBSTITUTE(TRIM($K203),"-","")," ",""),마스터시트!$A$2:$H$1946,7,FALSE),""))</f>
        <v/>
      </c>
    </row>
    <row r="204" spans="13:18" x14ac:dyDescent="0.3">
      <c r="M204" s="18" t="str">
        <f>IF($K204="","",IFERROR(VLOOKUP(--SUBSTITUTE(SUBSTITUTE(TRIM($K204),"-","")," ",""),마스터시트!$A$2:$H$1946,2,FALSE),"미등록"))</f>
        <v/>
      </c>
      <c r="N204" s="53" t="str">
        <f>IF($K204="","",IFERROR(VLOOKUP(--SUBSTITUTE(SUBSTITUTE(TRIM($K204),"-","")," ",""),마스터시트!$A$2:$H$1946,3,FALSE),"미등록"))</f>
        <v/>
      </c>
      <c r="O204" s="18" t="str">
        <f>IF($K204="","",IFERROR(VLOOKUP(--SUBSTITUTE(SUBSTITUTE(TRIM($K204),"-","")," ",""),마스터시트!$A$2:$H$1946,4,FALSE),""))</f>
        <v/>
      </c>
      <c r="P204" s="18" t="str">
        <f>IF($K204="","",IFERROR(VLOOKUP(--SUBSTITUTE(SUBSTITUTE(TRIM($K204),"-","")," ",""),마스터시트!$A$2:$H$1946,5,FALSE),""))</f>
        <v/>
      </c>
      <c r="Q204" s="18" t="str">
        <f>IF($K204="","",IFERROR(VLOOKUP(--SUBSTITUTE(SUBSTITUTE(TRIM($K204),"-","")," ",""),마스터시트!$A$2:$H$1946,6,FALSE),""))</f>
        <v/>
      </c>
      <c r="R204" s="18" t="str">
        <f>IF($K204="","",IFERROR(VLOOKUP(--SUBSTITUTE(SUBSTITUTE(TRIM($K204),"-","")," ",""),마스터시트!$A$2:$H$1946,7,FALSE),""))</f>
        <v/>
      </c>
    </row>
    <row r="205" spans="13:18" x14ac:dyDescent="0.3">
      <c r="M205" s="18" t="str">
        <f>IF($K205="","",IFERROR(VLOOKUP(--SUBSTITUTE(SUBSTITUTE(TRIM($K205),"-","")," ",""),마스터시트!$A$2:$H$1946,2,FALSE),"미등록"))</f>
        <v/>
      </c>
      <c r="N205" s="53" t="str">
        <f>IF($K205="","",IFERROR(VLOOKUP(--SUBSTITUTE(SUBSTITUTE(TRIM($K205),"-","")," ",""),마스터시트!$A$2:$H$1946,3,FALSE),"미등록"))</f>
        <v/>
      </c>
      <c r="O205" s="18" t="str">
        <f>IF($K205="","",IFERROR(VLOOKUP(--SUBSTITUTE(SUBSTITUTE(TRIM($K205),"-","")," ",""),마스터시트!$A$2:$H$1946,4,FALSE),""))</f>
        <v/>
      </c>
      <c r="P205" s="18" t="str">
        <f>IF($K205="","",IFERROR(VLOOKUP(--SUBSTITUTE(SUBSTITUTE(TRIM($K205),"-","")," ",""),마스터시트!$A$2:$H$1946,5,FALSE),""))</f>
        <v/>
      </c>
      <c r="Q205" s="18" t="str">
        <f>IF($K205="","",IFERROR(VLOOKUP(--SUBSTITUTE(SUBSTITUTE(TRIM($K205),"-","")," ",""),마스터시트!$A$2:$H$1946,6,FALSE),""))</f>
        <v/>
      </c>
      <c r="R205" s="18" t="str">
        <f>IF($K205="","",IFERROR(VLOOKUP(--SUBSTITUTE(SUBSTITUTE(TRIM($K205),"-","")," ",""),마스터시트!$A$2:$H$1946,7,FALSE),""))</f>
        <v/>
      </c>
    </row>
    <row r="206" spans="13:18" x14ac:dyDescent="0.3">
      <c r="M206" s="18" t="str">
        <f>IF($K206="","",IFERROR(VLOOKUP(--SUBSTITUTE(SUBSTITUTE(TRIM($K206),"-","")," ",""),마스터시트!$A$2:$H$1946,2,FALSE),"미등록"))</f>
        <v/>
      </c>
      <c r="N206" s="53" t="str">
        <f>IF($K206="","",IFERROR(VLOOKUP(--SUBSTITUTE(SUBSTITUTE(TRIM($K206),"-","")," ",""),마스터시트!$A$2:$H$1946,3,FALSE),"미등록"))</f>
        <v/>
      </c>
      <c r="O206" s="18" t="str">
        <f>IF($K206="","",IFERROR(VLOOKUP(--SUBSTITUTE(SUBSTITUTE(TRIM($K206),"-","")," ",""),마스터시트!$A$2:$H$1946,4,FALSE),""))</f>
        <v/>
      </c>
      <c r="P206" s="18" t="str">
        <f>IF($K206="","",IFERROR(VLOOKUP(--SUBSTITUTE(SUBSTITUTE(TRIM($K206),"-","")," ",""),마스터시트!$A$2:$H$1946,5,FALSE),""))</f>
        <v/>
      </c>
      <c r="Q206" s="18" t="str">
        <f>IF($K206="","",IFERROR(VLOOKUP(--SUBSTITUTE(SUBSTITUTE(TRIM($K206),"-","")," ",""),마스터시트!$A$2:$H$1946,6,FALSE),""))</f>
        <v/>
      </c>
      <c r="R206" s="18" t="str">
        <f>IF($K206="","",IFERROR(VLOOKUP(--SUBSTITUTE(SUBSTITUTE(TRIM($K206),"-","")," ",""),마스터시트!$A$2:$H$1946,7,FALSE),""))</f>
        <v/>
      </c>
    </row>
    <row r="207" spans="13:18" x14ac:dyDescent="0.3">
      <c r="M207" s="18" t="str">
        <f>IF($K207="","",IFERROR(VLOOKUP(--SUBSTITUTE(SUBSTITUTE(TRIM($K207),"-","")," ",""),마스터시트!$A$2:$H$1946,2,FALSE),"미등록"))</f>
        <v/>
      </c>
      <c r="N207" s="53" t="str">
        <f>IF($K207="","",IFERROR(VLOOKUP(--SUBSTITUTE(SUBSTITUTE(TRIM($K207),"-","")," ",""),마스터시트!$A$2:$H$1946,3,FALSE),"미등록"))</f>
        <v/>
      </c>
      <c r="O207" s="18" t="str">
        <f>IF($K207="","",IFERROR(VLOOKUP(--SUBSTITUTE(SUBSTITUTE(TRIM($K207),"-","")," ",""),마스터시트!$A$2:$H$1946,4,FALSE),""))</f>
        <v/>
      </c>
      <c r="P207" s="18" t="str">
        <f>IF($K207="","",IFERROR(VLOOKUP(--SUBSTITUTE(SUBSTITUTE(TRIM($K207),"-","")," ",""),마스터시트!$A$2:$H$1946,5,FALSE),""))</f>
        <v/>
      </c>
      <c r="Q207" s="18" t="str">
        <f>IF($K207="","",IFERROR(VLOOKUP(--SUBSTITUTE(SUBSTITUTE(TRIM($K207),"-","")," ",""),마스터시트!$A$2:$H$1946,6,FALSE),""))</f>
        <v/>
      </c>
      <c r="R207" s="18" t="str">
        <f>IF($K207="","",IFERROR(VLOOKUP(--SUBSTITUTE(SUBSTITUTE(TRIM($K207),"-","")," ",""),마스터시트!$A$2:$H$1946,7,FALSE),""))</f>
        <v/>
      </c>
    </row>
    <row r="208" spans="13:18" x14ac:dyDescent="0.3">
      <c r="M208" s="18" t="str">
        <f>IF($K208="","",IFERROR(VLOOKUP(--SUBSTITUTE(SUBSTITUTE(TRIM($K208),"-","")," ",""),마스터시트!$A$2:$H$1946,2,FALSE),"미등록"))</f>
        <v/>
      </c>
      <c r="N208" s="53" t="str">
        <f>IF($K208="","",IFERROR(VLOOKUP(--SUBSTITUTE(SUBSTITUTE(TRIM($K208),"-","")," ",""),마스터시트!$A$2:$H$1946,3,FALSE),"미등록"))</f>
        <v/>
      </c>
      <c r="O208" s="18" t="str">
        <f>IF($K208="","",IFERROR(VLOOKUP(--SUBSTITUTE(SUBSTITUTE(TRIM($K208),"-","")," ",""),마스터시트!$A$2:$H$1946,4,FALSE),""))</f>
        <v/>
      </c>
      <c r="P208" s="18" t="str">
        <f>IF($K208="","",IFERROR(VLOOKUP(--SUBSTITUTE(SUBSTITUTE(TRIM($K208),"-","")," ",""),마스터시트!$A$2:$H$1946,5,FALSE),""))</f>
        <v/>
      </c>
      <c r="Q208" s="18" t="str">
        <f>IF($K208="","",IFERROR(VLOOKUP(--SUBSTITUTE(SUBSTITUTE(TRIM($K208),"-","")," ",""),마스터시트!$A$2:$H$1946,6,FALSE),""))</f>
        <v/>
      </c>
      <c r="R208" s="18" t="str">
        <f>IF($K208="","",IFERROR(VLOOKUP(--SUBSTITUTE(SUBSTITUTE(TRIM($K208),"-","")," ",""),마스터시트!$A$2:$H$1946,7,FALSE),""))</f>
        <v/>
      </c>
    </row>
    <row r="209" spans="13:18" x14ac:dyDescent="0.3">
      <c r="M209" s="18" t="str">
        <f>IF($K209="","",IFERROR(VLOOKUP(--SUBSTITUTE(SUBSTITUTE(TRIM($K209),"-","")," ",""),마스터시트!$A$2:$H$1946,2,FALSE),"미등록"))</f>
        <v/>
      </c>
      <c r="N209" s="53" t="str">
        <f>IF($K209="","",IFERROR(VLOOKUP(--SUBSTITUTE(SUBSTITUTE(TRIM($K209),"-","")," ",""),마스터시트!$A$2:$H$1946,3,FALSE),"미등록"))</f>
        <v/>
      </c>
      <c r="O209" s="18" t="str">
        <f>IF($K209="","",IFERROR(VLOOKUP(--SUBSTITUTE(SUBSTITUTE(TRIM($K209),"-","")," ",""),마스터시트!$A$2:$H$1946,4,FALSE),""))</f>
        <v/>
      </c>
      <c r="P209" s="18" t="str">
        <f>IF($K209="","",IFERROR(VLOOKUP(--SUBSTITUTE(SUBSTITUTE(TRIM($K209),"-","")," ",""),마스터시트!$A$2:$H$1946,5,FALSE),""))</f>
        <v/>
      </c>
      <c r="Q209" s="18" t="str">
        <f>IF($K209="","",IFERROR(VLOOKUP(--SUBSTITUTE(SUBSTITUTE(TRIM($K209),"-","")," ",""),마스터시트!$A$2:$H$1946,6,FALSE),""))</f>
        <v/>
      </c>
      <c r="R209" s="18" t="str">
        <f>IF($K209="","",IFERROR(VLOOKUP(--SUBSTITUTE(SUBSTITUTE(TRIM($K209),"-","")," ",""),마스터시트!$A$2:$H$1946,7,FALSE),""))</f>
        <v/>
      </c>
    </row>
    <row r="210" spans="13:18" x14ac:dyDescent="0.3">
      <c r="M210" s="18" t="str">
        <f>IF($K210="","",IFERROR(VLOOKUP(--SUBSTITUTE(SUBSTITUTE(TRIM($K210),"-","")," ",""),마스터시트!$A$2:$H$1946,2,FALSE),"미등록"))</f>
        <v/>
      </c>
      <c r="N210" s="53" t="str">
        <f>IF($K210="","",IFERROR(VLOOKUP(--SUBSTITUTE(SUBSTITUTE(TRIM($K210),"-","")," ",""),마스터시트!$A$2:$H$1946,3,FALSE),"미등록"))</f>
        <v/>
      </c>
      <c r="O210" s="18" t="str">
        <f>IF($K210="","",IFERROR(VLOOKUP(--SUBSTITUTE(SUBSTITUTE(TRIM($K210),"-","")," ",""),마스터시트!$A$2:$H$1946,4,FALSE),""))</f>
        <v/>
      </c>
      <c r="P210" s="18" t="str">
        <f>IF($K210="","",IFERROR(VLOOKUP(--SUBSTITUTE(SUBSTITUTE(TRIM($K210),"-","")," ",""),마스터시트!$A$2:$H$1946,5,FALSE),""))</f>
        <v/>
      </c>
      <c r="Q210" s="18" t="str">
        <f>IF($K210="","",IFERROR(VLOOKUP(--SUBSTITUTE(SUBSTITUTE(TRIM($K210),"-","")," ",""),마스터시트!$A$2:$H$1946,6,FALSE),""))</f>
        <v/>
      </c>
      <c r="R210" s="18" t="str">
        <f>IF($K210="","",IFERROR(VLOOKUP(--SUBSTITUTE(SUBSTITUTE(TRIM($K210),"-","")," ",""),마스터시트!$A$2:$H$1946,7,FALSE),""))</f>
        <v/>
      </c>
    </row>
    <row r="211" spans="13:18" x14ac:dyDescent="0.3">
      <c r="M211" s="18" t="str">
        <f>IF($K211="","",IFERROR(VLOOKUP(--SUBSTITUTE(SUBSTITUTE(TRIM($K211),"-","")," ",""),마스터시트!$A$2:$H$1946,2,FALSE),"미등록"))</f>
        <v/>
      </c>
      <c r="N211" s="53" t="str">
        <f>IF($K211="","",IFERROR(VLOOKUP(--SUBSTITUTE(SUBSTITUTE(TRIM($K211),"-","")," ",""),마스터시트!$A$2:$H$1946,3,FALSE),"미등록"))</f>
        <v/>
      </c>
      <c r="O211" s="18" t="str">
        <f>IF($K211="","",IFERROR(VLOOKUP(--SUBSTITUTE(SUBSTITUTE(TRIM($K211),"-","")," ",""),마스터시트!$A$2:$H$1946,4,FALSE),""))</f>
        <v/>
      </c>
      <c r="P211" s="18" t="str">
        <f>IF($K211="","",IFERROR(VLOOKUP(--SUBSTITUTE(SUBSTITUTE(TRIM($K211),"-","")," ",""),마스터시트!$A$2:$H$1946,5,FALSE),""))</f>
        <v/>
      </c>
      <c r="Q211" s="18" t="str">
        <f>IF($K211="","",IFERROR(VLOOKUP(--SUBSTITUTE(SUBSTITUTE(TRIM($K211),"-","")," ",""),마스터시트!$A$2:$H$1946,6,FALSE),""))</f>
        <v/>
      </c>
      <c r="R211" s="18" t="str">
        <f>IF($K211="","",IFERROR(VLOOKUP(--SUBSTITUTE(SUBSTITUTE(TRIM($K211),"-","")," ",""),마스터시트!$A$2:$H$1946,7,FALSE),""))</f>
        <v/>
      </c>
    </row>
    <row r="212" spans="13:18" x14ac:dyDescent="0.3">
      <c r="M212" s="18" t="str">
        <f>IF($K212="","",IFERROR(VLOOKUP(--SUBSTITUTE(SUBSTITUTE(TRIM($K212),"-","")," ",""),마스터시트!$A$2:$H$1946,2,FALSE),"미등록"))</f>
        <v/>
      </c>
      <c r="N212" s="53" t="str">
        <f>IF($K212="","",IFERROR(VLOOKUP(--SUBSTITUTE(SUBSTITUTE(TRIM($K212),"-","")," ",""),마스터시트!$A$2:$H$1946,3,FALSE),"미등록"))</f>
        <v/>
      </c>
      <c r="O212" s="18" t="str">
        <f>IF($K212="","",IFERROR(VLOOKUP(--SUBSTITUTE(SUBSTITUTE(TRIM($K212),"-","")," ",""),마스터시트!$A$2:$H$1946,4,FALSE),""))</f>
        <v/>
      </c>
      <c r="P212" s="18" t="str">
        <f>IF($K212="","",IFERROR(VLOOKUP(--SUBSTITUTE(SUBSTITUTE(TRIM($K212),"-","")," ",""),마스터시트!$A$2:$H$1946,5,FALSE),""))</f>
        <v/>
      </c>
      <c r="Q212" s="18" t="str">
        <f>IF($K212="","",IFERROR(VLOOKUP(--SUBSTITUTE(SUBSTITUTE(TRIM($K212),"-","")," ",""),마스터시트!$A$2:$H$1946,6,FALSE),""))</f>
        <v/>
      </c>
      <c r="R212" s="18" t="str">
        <f>IF($K212="","",IFERROR(VLOOKUP(--SUBSTITUTE(SUBSTITUTE(TRIM($K212),"-","")," ",""),마스터시트!$A$2:$H$1946,7,FALSE),""))</f>
        <v/>
      </c>
    </row>
    <row r="213" spans="13:18" x14ac:dyDescent="0.3">
      <c r="M213" s="18" t="str">
        <f>IF($K213="","",IFERROR(VLOOKUP(--SUBSTITUTE(SUBSTITUTE(TRIM($K213),"-","")," ",""),마스터시트!$A$2:$H$1946,2,FALSE),"미등록"))</f>
        <v/>
      </c>
      <c r="N213" s="53" t="str">
        <f>IF($K213="","",IFERROR(VLOOKUP(--SUBSTITUTE(SUBSTITUTE(TRIM($K213),"-","")," ",""),마스터시트!$A$2:$H$1946,3,FALSE),"미등록"))</f>
        <v/>
      </c>
      <c r="O213" s="18" t="str">
        <f>IF($K213="","",IFERROR(VLOOKUP(--SUBSTITUTE(SUBSTITUTE(TRIM($K213),"-","")," ",""),마스터시트!$A$2:$H$1946,4,FALSE),""))</f>
        <v/>
      </c>
      <c r="P213" s="18" t="str">
        <f>IF($K213="","",IFERROR(VLOOKUP(--SUBSTITUTE(SUBSTITUTE(TRIM($K213),"-","")," ",""),마스터시트!$A$2:$H$1946,5,FALSE),""))</f>
        <v/>
      </c>
      <c r="Q213" s="18" t="str">
        <f>IF($K213="","",IFERROR(VLOOKUP(--SUBSTITUTE(SUBSTITUTE(TRIM($K213),"-","")," ",""),마스터시트!$A$2:$H$1946,6,FALSE),""))</f>
        <v/>
      </c>
      <c r="R213" s="18" t="str">
        <f>IF($K213="","",IFERROR(VLOOKUP(--SUBSTITUTE(SUBSTITUTE(TRIM($K213),"-","")," ",""),마스터시트!$A$2:$H$1946,7,FALSE),""))</f>
        <v/>
      </c>
    </row>
    <row r="214" spans="13:18" x14ac:dyDescent="0.3">
      <c r="M214" s="18" t="str">
        <f>IF($K214="","",IFERROR(VLOOKUP(--SUBSTITUTE(SUBSTITUTE(TRIM($K214),"-","")," ",""),마스터시트!$A$2:$H$1946,2,FALSE),"미등록"))</f>
        <v/>
      </c>
      <c r="N214" s="53" t="str">
        <f>IF($K214="","",IFERROR(VLOOKUP(--SUBSTITUTE(SUBSTITUTE(TRIM($K214),"-","")," ",""),마스터시트!$A$2:$H$1946,3,FALSE),"미등록"))</f>
        <v/>
      </c>
      <c r="O214" s="18" t="str">
        <f>IF($K214="","",IFERROR(VLOOKUP(--SUBSTITUTE(SUBSTITUTE(TRIM($K214),"-","")," ",""),마스터시트!$A$2:$H$1946,4,FALSE),""))</f>
        <v/>
      </c>
      <c r="P214" s="18" t="str">
        <f>IF($K214="","",IFERROR(VLOOKUP(--SUBSTITUTE(SUBSTITUTE(TRIM($K214),"-","")," ",""),마스터시트!$A$2:$H$1946,5,FALSE),""))</f>
        <v/>
      </c>
      <c r="Q214" s="18" t="str">
        <f>IF($K214="","",IFERROR(VLOOKUP(--SUBSTITUTE(SUBSTITUTE(TRIM($K214),"-","")," ",""),마스터시트!$A$2:$H$1946,6,FALSE),""))</f>
        <v/>
      </c>
      <c r="R214" s="18" t="str">
        <f>IF($K214="","",IFERROR(VLOOKUP(--SUBSTITUTE(SUBSTITUTE(TRIM($K214),"-","")," ",""),마스터시트!$A$2:$H$1946,7,FALSE),""))</f>
        <v/>
      </c>
    </row>
    <row r="215" spans="13:18" x14ac:dyDescent="0.3">
      <c r="M215" s="18" t="str">
        <f>IF($K215="","",IFERROR(VLOOKUP(--SUBSTITUTE(SUBSTITUTE(TRIM($K215),"-","")," ",""),마스터시트!$A$2:$H$1946,2,FALSE),"미등록"))</f>
        <v/>
      </c>
      <c r="N215" s="53" t="str">
        <f>IF($K215="","",IFERROR(VLOOKUP(--SUBSTITUTE(SUBSTITUTE(TRIM($K215),"-","")," ",""),마스터시트!$A$2:$H$1946,3,FALSE),"미등록"))</f>
        <v/>
      </c>
      <c r="O215" s="18" t="str">
        <f>IF($K215="","",IFERROR(VLOOKUP(--SUBSTITUTE(SUBSTITUTE(TRIM($K215),"-","")," ",""),마스터시트!$A$2:$H$1946,4,FALSE),""))</f>
        <v/>
      </c>
      <c r="P215" s="18" t="str">
        <f>IF($K215="","",IFERROR(VLOOKUP(--SUBSTITUTE(SUBSTITUTE(TRIM($K215),"-","")," ",""),마스터시트!$A$2:$H$1946,5,FALSE),""))</f>
        <v/>
      </c>
      <c r="Q215" s="18" t="str">
        <f>IF($K215="","",IFERROR(VLOOKUP(--SUBSTITUTE(SUBSTITUTE(TRIM($K215),"-","")," ",""),마스터시트!$A$2:$H$1946,6,FALSE),""))</f>
        <v/>
      </c>
      <c r="R215" s="18" t="str">
        <f>IF($K215="","",IFERROR(VLOOKUP(--SUBSTITUTE(SUBSTITUTE(TRIM($K215),"-","")," ",""),마스터시트!$A$2:$H$1946,7,FALSE),""))</f>
        <v/>
      </c>
    </row>
    <row r="216" spans="13:18" x14ac:dyDescent="0.3">
      <c r="M216" s="18" t="str">
        <f>IF($K216="","",IFERROR(VLOOKUP(--SUBSTITUTE(SUBSTITUTE(TRIM($K216),"-","")," ",""),마스터시트!$A$2:$H$1946,2,FALSE),"미등록"))</f>
        <v/>
      </c>
      <c r="N216" s="53" t="str">
        <f>IF($K216="","",IFERROR(VLOOKUP(--SUBSTITUTE(SUBSTITUTE(TRIM($K216),"-","")," ",""),마스터시트!$A$2:$H$1946,3,FALSE),"미등록"))</f>
        <v/>
      </c>
      <c r="O216" s="18" t="str">
        <f>IF($K216="","",IFERROR(VLOOKUP(--SUBSTITUTE(SUBSTITUTE(TRIM($K216),"-","")," ",""),마스터시트!$A$2:$H$1946,4,FALSE),""))</f>
        <v/>
      </c>
      <c r="P216" s="18" t="str">
        <f>IF($K216="","",IFERROR(VLOOKUP(--SUBSTITUTE(SUBSTITUTE(TRIM($K216),"-","")," ",""),마스터시트!$A$2:$H$1946,5,FALSE),""))</f>
        <v/>
      </c>
      <c r="Q216" s="18" t="str">
        <f>IF($K216="","",IFERROR(VLOOKUP(--SUBSTITUTE(SUBSTITUTE(TRIM($K216),"-","")," ",""),마스터시트!$A$2:$H$1946,6,FALSE),""))</f>
        <v/>
      </c>
      <c r="R216" s="18" t="str">
        <f>IF($K216="","",IFERROR(VLOOKUP(--SUBSTITUTE(SUBSTITUTE(TRIM($K216),"-","")," ",""),마스터시트!$A$2:$H$1946,7,FALSE),""))</f>
        <v/>
      </c>
    </row>
    <row r="217" spans="13:18" x14ac:dyDescent="0.3">
      <c r="M217" s="18" t="str">
        <f>IF($K217="","",IFERROR(VLOOKUP(--SUBSTITUTE(SUBSTITUTE(TRIM($K217),"-","")," ",""),마스터시트!$A$2:$H$1946,2,FALSE),"미등록"))</f>
        <v/>
      </c>
      <c r="N217" s="53" t="str">
        <f>IF($K217="","",IFERROR(VLOOKUP(--SUBSTITUTE(SUBSTITUTE(TRIM($K217),"-","")," ",""),마스터시트!$A$2:$H$1946,3,FALSE),"미등록"))</f>
        <v/>
      </c>
      <c r="O217" s="18" t="str">
        <f>IF($K217="","",IFERROR(VLOOKUP(--SUBSTITUTE(SUBSTITUTE(TRIM($K217),"-","")," ",""),마스터시트!$A$2:$H$1946,4,FALSE),""))</f>
        <v/>
      </c>
      <c r="P217" s="18" t="str">
        <f>IF($K217="","",IFERROR(VLOOKUP(--SUBSTITUTE(SUBSTITUTE(TRIM($K217),"-","")," ",""),마스터시트!$A$2:$H$1946,5,FALSE),""))</f>
        <v/>
      </c>
      <c r="Q217" s="18" t="str">
        <f>IF($K217="","",IFERROR(VLOOKUP(--SUBSTITUTE(SUBSTITUTE(TRIM($K217),"-","")," ",""),마스터시트!$A$2:$H$1946,6,FALSE),""))</f>
        <v/>
      </c>
      <c r="R217" s="18" t="str">
        <f>IF($K217="","",IFERROR(VLOOKUP(--SUBSTITUTE(SUBSTITUTE(TRIM($K217),"-","")," ",""),마스터시트!$A$2:$H$1946,7,FALSE),""))</f>
        <v/>
      </c>
    </row>
    <row r="218" spans="13:18" x14ac:dyDescent="0.3">
      <c r="M218" s="18" t="str">
        <f>IF($K218="","",IFERROR(VLOOKUP(--SUBSTITUTE(SUBSTITUTE(TRIM($K218),"-","")," ",""),마스터시트!$A$2:$H$1946,2,FALSE),"미등록"))</f>
        <v/>
      </c>
      <c r="N218" s="53" t="str">
        <f>IF($K218="","",IFERROR(VLOOKUP(--SUBSTITUTE(SUBSTITUTE(TRIM($K218),"-","")," ",""),마스터시트!$A$2:$H$1946,3,FALSE),"미등록"))</f>
        <v/>
      </c>
      <c r="O218" s="18" t="str">
        <f>IF($K218="","",IFERROR(VLOOKUP(--SUBSTITUTE(SUBSTITUTE(TRIM($K218),"-","")," ",""),마스터시트!$A$2:$H$1946,4,FALSE),""))</f>
        <v/>
      </c>
      <c r="P218" s="18" t="str">
        <f>IF($K218="","",IFERROR(VLOOKUP(--SUBSTITUTE(SUBSTITUTE(TRIM($K218),"-","")," ",""),마스터시트!$A$2:$H$1946,5,FALSE),""))</f>
        <v/>
      </c>
      <c r="Q218" s="18" t="str">
        <f>IF($K218="","",IFERROR(VLOOKUP(--SUBSTITUTE(SUBSTITUTE(TRIM($K218),"-","")," ",""),마스터시트!$A$2:$H$1946,6,FALSE),""))</f>
        <v/>
      </c>
      <c r="R218" s="18" t="str">
        <f>IF($K218="","",IFERROR(VLOOKUP(--SUBSTITUTE(SUBSTITUTE(TRIM($K218),"-","")," ",""),마스터시트!$A$2:$H$1946,7,FALSE),""))</f>
        <v/>
      </c>
    </row>
    <row r="219" spans="13:18" x14ac:dyDescent="0.3">
      <c r="M219" s="18" t="str">
        <f>IF($K219="","",IFERROR(VLOOKUP(--SUBSTITUTE(SUBSTITUTE(TRIM($K219),"-","")," ",""),마스터시트!$A$2:$H$1946,2,FALSE),"미등록"))</f>
        <v/>
      </c>
      <c r="N219" s="53" t="str">
        <f>IF($K219="","",IFERROR(VLOOKUP(--SUBSTITUTE(SUBSTITUTE(TRIM($K219),"-","")," ",""),마스터시트!$A$2:$H$1946,3,FALSE),"미등록"))</f>
        <v/>
      </c>
      <c r="O219" s="18" t="str">
        <f>IF($K219="","",IFERROR(VLOOKUP(--SUBSTITUTE(SUBSTITUTE(TRIM($K219),"-","")," ",""),마스터시트!$A$2:$H$1946,4,FALSE),""))</f>
        <v/>
      </c>
      <c r="P219" s="18" t="str">
        <f>IF($K219="","",IFERROR(VLOOKUP(--SUBSTITUTE(SUBSTITUTE(TRIM($K219),"-","")," ",""),마스터시트!$A$2:$H$1946,5,FALSE),""))</f>
        <v/>
      </c>
      <c r="Q219" s="18" t="str">
        <f>IF($K219="","",IFERROR(VLOOKUP(--SUBSTITUTE(SUBSTITUTE(TRIM($K219),"-","")," ",""),마스터시트!$A$2:$H$1946,6,FALSE),""))</f>
        <v/>
      </c>
      <c r="R219" s="18" t="str">
        <f>IF($K219="","",IFERROR(VLOOKUP(--SUBSTITUTE(SUBSTITUTE(TRIM($K219),"-","")," ",""),마스터시트!$A$2:$H$1946,7,FALSE),""))</f>
        <v/>
      </c>
    </row>
    <row r="220" spans="13:18" x14ac:dyDescent="0.3">
      <c r="M220" s="18" t="str">
        <f>IF($K220="","",IFERROR(VLOOKUP(--SUBSTITUTE(SUBSTITUTE(TRIM($K220),"-","")," ",""),마스터시트!$A$2:$H$1946,2,FALSE),"미등록"))</f>
        <v/>
      </c>
      <c r="N220" s="53" t="str">
        <f>IF($K220="","",IFERROR(VLOOKUP(--SUBSTITUTE(SUBSTITUTE(TRIM($K220),"-","")," ",""),마스터시트!$A$2:$H$1946,3,FALSE),"미등록"))</f>
        <v/>
      </c>
      <c r="O220" s="18" t="str">
        <f>IF($K220="","",IFERROR(VLOOKUP(--SUBSTITUTE(SUBSTITUTE(TRIM($K220),"-","")," ",""),마스터시트!$A$2:$H$1946,4,FALSE),""))</f>
        <v/>
      </c>
      <c r="P220" s="18" t="str">
        <f>IF($K220="","",IFERROR(VLOOKUP(--SUBSTITUTE(SUBSTITUTE(TRIM($K220),"-","")," ",""),마스터시트!$A$2:$H$1946,5,FALSE),""))</f>
        <v/>
      </c>
      <c r="Q220" s="18" t="str">
        <f>IF($K220="","",IFERROR(VLOOKUP(--SUBSTITUTE(SUBSTITUTE(TRIM($K220),"-","")," ",""),마스터시트!$A$2:$H$1946,6,FALSE),""))</f>
        <v/>
      </c>
      <c r="R220" s="18" t="str">
        <f>IF($K220="","",IFERROR(VLOOKUP(--SUBSTITUTE(SUBSTITUTE(TRIM($K220),"-","")," ",""),마스터시트!$A$2:$H$1946,7,FALSE),""))</f>
        <v/>
      </c>
    </row>
    <row r="221" spans="13:18" x14ac:dyDescent="0.3">
      <c r="M221" s="18" t="str">
        <f>IF($K221="","",IFERROR(VLOOKUP(--SUBSTITUTE(SUBSTITUTE(TRIM($K221),"-","")," ",""),마스터시트!$A$2:$H$1946,2,FALSE),"미등록"))</f>
        <v/>
      </c>
      <c r="N221" s="53" t="str">
        <f>IF($K221="","",IFERROR(VLOOKUP(--SUBSTITUTE(SUBSTITUTE(TRIM($K221),"-","")," ",""),마스터시트!$A$2:$H$1946,3,FALSE),"미등록"))</f>
        <v/>
      </c>
      <c r="O221" s="18" t="str">
        <f>IF($K221="","",IFERROR(VLOOKUP(--SUBSTITUTE(SUBSTITUTE(TRIM($K221),"-","")," ",""),마스터시트!$A$2:$H$1946,4,FALSE),""))</f>
        <v/>
      </c>
      <c r="P221" s="18" t="str">
        <f>IF($K221="","",IFERROR(VLOOKUP(--SUBSTITUTE(SUBSTITUTE(TRIM($K221),"-","")," ",""),마스터시트!$A$2:$H$1946,5,FALSE),""))</f>
        <v/>
      </c>
      <c r="Q221" s="18" t="str">
        <f>IF($K221="","",IFERROR(VLOOKUP(--SUBSTITUTE(SUBSTITUTE(TRIM($K221),"-","")," ",""),마스터시트!$A$2:$H$1946,6,FALSE),""))</f>
        <v/>
      </c>
      <c r="R221" s="18" t="str">
        <f>IF($K221="","",IFERROR(VLOOKUP(--SUBSTITUTE(SUBSTITUTE(TRIM($K221),"-","")," ",""),마스터시트!$A$2:$H$1946,7,FALSE),""))</f>
        <v/>
      </c>
    </row>
    <row r="222" spans="13:18" x14ac:dyDescent="0.3">
      <c r="M222" s="18" t="str">
        <f>IF($K222="","",IFERROR(VLOOKUP(--SUBSTITUTE(SUBSTITUTE(TRIM($K222),"-","")," ",""),마스터시트!$A$2:$H$1946,2,FALSE),"미등록"))</f>
        <v/>
      </c>
      <c r="N222" s="53" t="str">
        <f>IF($K222="","",IFERROR(VLOOKUP(--SUBSTITUTE(SUBSTITUTE(TRIM($K222),"-","")," ",""),마스터시트!$A$2:$H$1946,3,FALSE),"미등록"))</f>
        <v/>
      </c>
      <c r="O222" s="18" t="str">
        <f>IF($K222="","",IFERROR(VLOOKUP(--SUBSTITUTE(SUBSTITUTE(TRIM($K222),"-","")," ",""),마스터시트!$A$2:$H$1946,4,FALSE),""))</f>
        <v/>
      </c>
      <c r="P222" s="18" t="str">
        <f>IF($K222="","",IFERROR(VLOOKUP(--SUBSTITUTE(SUBSTITUTE(TRIM($K222),"-","")," ",""),마스터시트!$A$2:$H$1946,5,FALSE),""))</f>
        <v/>
      </c>
      <c r="Q222" s="18" t="str">
        <f>IF($K222="","",IFERROR(VLOOKUP(--SUBSTITUTE(SUBSTITUTE(TRIM($K222),"-","")," ",""),마스터시트!$A$2:$H$1946,6,FALSE),""))</f>
        <v/>
      </c>
      <c r="R222" s="18" t="str">
        <f>IF($K222="","",IFERROR(VLOOKUP(--SUBSTITUTE(SUBSTITUTE(TRIM($K222),"-","")," ",""),마스터시트!$A$2:$H$1946,7,FALSE),""))</f>
        <v/>
      </c>
    </row>
    <row r="223" spans="13:18" x14ac:dyDescent="0.3">
      <c r="M223" s="18" t="str">
        <f>IF($K223="","",IFERROR(VLOOKUP(--SUBSTITUTE(SUBSTITUTE(TRIM($K223),"-","")," ",""),마스터시트!$A$2:$H$1946,2,FALSE),"미등록"))</f>
        <v/>
      </c>
      <c r="N223" s="53" t="str">
        <f>IF($K223="","",IFERROR(VLOOKUP(--SUBSTITUTE(SUBSTITUTE(TRIM($K223),"-","")," ",""),마스터시트!$A$2:$H$1946,3,FALSE),"미등록"))</f>
        <v/>
      </c>
      <c r="O223" s="18" t="str">
        <f>IF($K223="","",IFERROR(VLOOKUP(--SUBSTITUTE(SUBSTITUTE(TRIM($K223),"-","")," ",""),마스터시트!$A$2:$H$1946,4,FALSE),""))</f>
        <v/>
      </c>
      <c r="P223" s="18" t="str">
        <f>IF($K223="","",IFERROR(VLOOKUP(--SUBSTITUTE(SUBSTITUTE(TRIM($K223),"-","")," ",""),마스터시트!$A$2:$H$1946,5,FALSE),""))</f>
        <v/>
      </c>
      <c r="Q223" s="18" t="str">
        <f>IF($K223="","",IFERROR(VLOOKUP(--SUBSTITUTE(SUBSTITUTE(TRIM($K223),"-","")," ",""),마스터시트!$A$2:$H$1946,6,FALSE),""))</f>
        <v/>
      </c>
      <c r="R223" s="18" t="str">
        <f>IF($K223="","",IFERROR(VLOOKUP(--SUBSTITUTE(SUBSTITUTE(TRIM($K223),"-","")," ",""),마스터시트!$A$2:$H$1946,7,FALSE),""))</f>
        <v/>
      </c>
    </row>
    <row r="224" spans="13:18" x14ac:dyDescent="0.3">
      <c r="M224" s="18" t="str">
        <f>IF($K224="","",IFERROR(VLOOKUP(--SUBSTITUTE(SUBSTITUTE(TRIM($K224),"-","")," ",""),마스터시트!$A$2:$H$1946,2,FALSE),"미등록"))</f>
        <v/>
      </c>
      <c r="N224" s="53" t="str">
        <f>IF($K224="","",IFERROR(VLOOKUP(--SUBSTITUTE(SUBSTITUTE(TRIM($K224),"-","")," ",""),마스터시트!$A$2:$H$1946,3,FALSE),"미등록"))</f>
        <v/>
      </c>
      <c r="O224" s="18" t="str">
        <f>IF($K224="","",IFERROR(VLOOKUP(--SUBSTITUTE(SUBSTITUTE(TRIM($K224),"-","")," ",""),마스터시트!$A$2:$H$1946,4,FALSE),""))</f>
        <v/>
      </c>
      <c r="P224" s="18" t="str">
        <f>IF($K224="","",IFERROR(VLOOKUP(--SUBSTITUTE(SUBSTITUTE(TRIM($K224),"-","")," ",""),마스터시트!$A$2:$H$1946,5,FALSE),""))</f>
        <v/>
      </c>
      <c r="Q224" s="18" t="str">
        <f>IF($K224="","",IFERROR(VLOOKUP(--SUBSTITUTE(SUBSTITUTE(TRIM($K224),"-","")," ",""),마스터시트!$A$2:$H$1946,6,FALSE),""))</f>
        <v/>
      </c>
      <c r="R224" s="18" t="str">
        <f>IF($K224="","",IFERROR(VLOOKUP(--SUBSTITUTE(SUBSTITUTE(TRIM($K224),"-","")," ",""),마스터시트!$A$2:$H$1946,7,FALSE),""))</f>
        <v/>
      </c>
    </row>
    <row r="225" spans="13:18" x14ac:dyDescent="0.3">
      <c r="M225" s="18" t="str">
        <f>IF($K225="","",IFERROR(VLOOKUP(--SUBSTITUTE(SUBSTITUTE(TRIM($K225),"-","")," ",""),마스터시트!$A$2:$H$1946,2,FALSE),"미등록"))</f>
        <v/>
      </c>
      <c r="N225" s="53" t="str">
        <f>IF($K225="","",IFERROR(VLOOKUP(--SUBSTITUTE(SUBSTITUTE(TRIM($K225),"-","")," ",""),마스터시트!$A$2:$H$1946,3,FALSE),"미등록"))</f>
        <v/>
      </c>
      <c r="O225" s="18" t="str">
        <f>IF($K225="","",IFERROR(VLOOKUP(--SUBSTITUTE(SUBSTITUTE(TRIM($K225),"-","")," ",""),마스터시트!$A$2:$H$1946,4,FALSE),""))</f>
        <v/>
      </c>
      <c r="P225" s="18" t="str">
        <f>IF($K225="","",IFERROR(VLOOKUP(--SUBSTITUTE(SUBSTITUTE(TRIM($K225),"-","")," ",""),마스터시트!$A$2:$H$1946,5,FALSE),""))</f>
        <v/>
      </c>
      <c r="Q225" s="18" t="str">
        <f>IF($K225="","",IFERROR(VLOOKUP(--SUBSTITUTE(SUBSTITUTE(TRIM($K225),"-","")," ",""),마스터시트!$A$2:$H$1946,6,FALSE),""))</f>
        <v/>
      </c>
      <c r="R225" s="18" t="str">
        <f>IF($K225="","",IFERROR(VLOOKUP(--SUBSTITUTE(SUBSTITUTE(TRIM($K225),"-","")," ",""),마스터시트!$A$2:$H$1946,7,FALSE),""))</f>
        <v/>
      </c>
    </row>
    <row r="226" spans="13:18" x14ac:dyDescent="0.3">
      <c r="M226" s="18" t="str">
        <f>IF($K226="","",IFERROR(VLOOKUP(--SUBSTITUTE(SUBSTITUTE(TRIM($K226),"-","")," ",""),마스터시트!$A$2:$H$1946,2,FALSE),"미등록"))</f>
        <v/>
      </c>
      <c r="N226" s="53" t="str">
        <f>IF($K226="","",IFERROR(VLOOKUP(--SUBSTITUTE(SUBSTITUTE(TRIM($K226),"-","")," ",""),마스터시트!$A$2:$H$1946,3,FALSE),"미등록"))</f>
        <v/>
      </c>
      <c r="O226" s="18" t="str">
        <f>IF($K226="","",IFERROR(VLOOKUP(--SUBSTITUTE(SUBSTITUTE(TRIM($K226),"-","")," ",""),마스터시트!$A$2:$H$1946,4,FALSE),""))</f>
        <v/>
      </c>
      <c r="P226" s="18" t="str">
        <f>IF($K226="","",IFERROR(VLOOKUP(--SUBSTITUTE(SUBSTITUTE(TRIM($K226),"-","")," ",""),마스터시트!$A$2:$H$1946,5,FALSE),""))</f>
        <v/>
      </c>
      <c r="Q226" s="18" t="str">
        <f>IF($K226="","",IFERROR(VLOOKUP(--SUBSTITUTE(SUBSTITUTE(TRIM($K226),"-","")," ",""),마스터시트!$A$2:$H$1946,6,FALSE),""))</f>
        <v/>
      </c>
      <c r="R226" s="18" t="str">
        <f>IF($K226="","",IFERROR(VLOOKUP(--SUBSTITUTE(SUBSTITUTE(TRIM($K226),"-","")," ",""),마스터시트!$A$2:$H$1946,7,FALSE),""))</f>
        <v/>
      </c>
    </row>
    <row r="227" spans="13:18" x14ac:dyDescent="0.3">
      <c r="M227" s="18" t="str">
        <f>IF($K227="","",IFERROR(VLOOKUP(--SUBSTITUTE(SUBSTITUTE(TRIM($K227),"-","")," ",""),마스터시트!$A$2:$H$1946,2,FALSE),"미등록"))</f>
        <v/>
      </c>
      <c r="N227" s="53" t="str">
        <f>IF($K227="","",IFERROR(VLOOKUP(--SUBSTITUTE(SUBSTITUTE(TRIM($K227),"-","")," ",""),마스터시트!$A$2:$H$1946,3,FALSE),"미등록"))</f>
        <v/>
      </c>
      <c r="O227" s="18" t="str">
        <f>IF($K227="","",IFERROR(VLOOKUP(--SUBSTITUTE(SUBSTITUTE(TRIM($K227),"-","")," ",""),마스터시트!$A$2:$H$1946,4,FALSE),""))</f>
        <v/>
      </c>
      <c r="P227" s="18" t="str">
        <f>IF($K227="","",IFERROR(VLOOKUP(--SUBSTITUTE(SUBSTITUTE(TRIM($K227),"-","")," ",""),마스터시트!$A$2:$H$1946,5,FALSE),""))</f>
        <v/>
      </c>
      <c r="Q227" s="18" t="str">
        <f>IF($K227="","",IFERROR(VLOOKUP(--SUBSTITUTE(SUBSTITUTE(TRIM($K227),"-","")," ",""),마스터시트!$A$2:$H$1946,6,FALSE),""))</f>
        <v/>
      </c>
      <c r="R227" s="18" t="str">
        <f>IF($K227="","",IFERROR(VLOOKUP(--SUBSTITUTE(SUBSTITUTE(TRIM($K227),"-","")," ",""),마스터시트!$A$2:$H$1946,7,FALSE),""))</f>
        <v/>
      </c>
    </row>
    <row r="228" spans="13:18" x14ac:dyDescent="0.3">
      <c r="M228" s="18" t="str">
        <f>IF($K228="","",IFERROR(VLOOKUP(--SUBSTITUTE(SUBSTITUTE(TRIM($K228),"-","")," ",""),마스터시트!$A$2:$H$1946,2,FALSE),"미등록"))</f>
        <v/>
      </c>
      <c r="N228" s="53" t="str">
        <f>IF($K228="","",IFERROR(VLOOKUP(--SUBSTITUTE(SUBSTITUTE(TRIM($K228),"-","")," ",""),마스터시트!$A$2:$H$1946,3,FALSE),"미등록"))</f>
        <v/>
      </c>
      <c r="O228" s="18" t="str">
        <f>IF($K228="","",IFERROR(VLOOKUP(--SUBSTITUTE(SUBSTITUTE(TRIM($K228),"-","")," ",""),마스터시트!$A$2:$H$1946,4,FALSE),""))</f>
        <v/>
      </c>
      <c r="P228" s="18" t="str">
        <f>IF($K228="","",IFERROR(VLOOKUP(--SUBSTITUTE(SUBSTITUTE(TRIM($K228),"-","")," ",""),마스터시트!$A$2:$H$1946,5,FALSE),""))</f>
        <v/>
      </c>
      <c r="Q228" s="18" t="str">
        <f>IF($K228="","",IFERROR(VLOOKUP(--SUBSTITUTE(SUBSTITUTE(TRIM($K228),"-","")," ",""),마스터시트!$A$2:$H$1946,6,FALSE),""))</f>
        <v/>
      </c>
      <c r="R228" s="18" t="str">
        <f>IF($K228="","",IFERROR(VLOOKUP(--SUBSTITUTE(SUBSTITUTE(TRIM($K228),"-","")," ",""),마스터시트!$A$2:$H$1946,7,FALSE),""))</f>
        <v/>
      </c>
    </row>
    <row r="229" spans="13:18" x14ac:dyDescent="0.3">
      <c r="M229" s="18" t="str">
        <f>IF($K229="","",IFERROR(VLOOKUP(--SUBSTITUTE(SUBSTITUTE(TRIM($K229),"-","")," ",""),마스터시트!$A$2:$H$1946,2,FALSE),"미등록"))</f>
        <v/>
      </c>
      <c r="N229" s="53" t="str">
        <f>IF($K229="","",IFERROR(VLOOKUP(--SUBSTITUTE(SUBSTITUTE(TRIM($K229),"-","")," ",""),마스터시트!$A$2:$H$1946,3,FALSE),"미등록"))</f>
        <v/>
      </c>
      <c r="O229" s="18" t="str">
        <f>IF($K229="","",IFERROR(VLOOKUP(--SUBSTITUTE(SUBSTITUTE(TRIM($K229),"-","")," ",""),마스터시트!$A$2:$H$1946,4,FALSE),""))</f>
        <v/>
      </c>
      <c r="P229" s="18" t="str">
        <f>IF($K229="","",IFERROR(VLOOKUP(--SUBSTITUTE(SUBSTITUTE(TRIM($K229),"-","")," ",""),마스터시트!$A$2:$H$1946,5,FALSE),""))</f>
        <v/>
      </c>
      <c r="Q229" s="18" t="str">
        <f>IF($K229="","",IFERROR(VLOOKUP(--SUBSTITUTE(SUBSTITUTE(TRIM($K229),"-","")," ",""),마스터시트!$A$2:$H$1946,6,FALSE),""))</f>
        <v/>
      </c>
      <c r="R229" s="18" t="str">
        <f>IF($K229="","",IFERROR(VLOOKUP(--SUBSTITUTE(SUBSTITUTE(TRIM($K229),"-","")," ",""),마스터시트!$A$2:$H$1946,7,FALSE),""))</f>
        <v/>
      </c>
    </row>
    <row r="230" spans="13:18" x14ac:dyDescent="0.3">
      <c r="M230" s="18" t="str">
        <f>IF($K230="","",IFERROR(VLOOKUP(--SUBSTITUTE(SUBSTITUTE(TRIM($K230),"-","")," ",""),마스터시트!$A$2:$H$1946,2,FALSE),"미등록"))</f>
        <v/>
      </c>
      <c r="N230" s="53" t="str">
        <f>IF($K230="","",IFERROR(VLOOKUP(--SUBSTITUTE(SUBSTITUTE(TRIM($K230),"-","")," ",""),마스터시트!$A$2:$H$1946,3,FALSE),"미등록"))</f>
        <v/>
      </c>
      <c r="O230" s="18" t="str">
        <f>IF($K230="","",IFERROR(VLOOKUP(--SUBSTITUTE(SUBSTITUTE(TRIM($K230),"-","")," ",""),마스터시트!$A$2:$H$1946,4,FALSE),""))</f>
        <v/>
      </c>
      <c r="P230" s="18" t="str">
        <f>IF($K230="","",IFERROR(VLOOKUP(--SUBSTITUTE(SUBSTITUTE(TRIM($K230),"-","")," ",""),마스터시트!$A$2:$H$1946,5,FALSE),""))</f>
        <v/>
      </c>
      <c r="Q230" s="18" t="str">
        <f>IF($K230="","",IFERROR(VLOOKUP(--SUBSTITUTE(SUBSTITUTE(TRIM($K230),"-","")," ",""),마스터시트!$A$2:$H$1946,6,FALSE),""))</f>
        <v/>
      </c>
      <c r="R230" s="18" t="str">
        <f>IF($K230="","",IFERROR(VLOOKUP(--SUBSTITUTE(SUBSTITUTE(TRIM($K230),"-","")," ",""),마스터시트!$A$2:$H$1946,7,FALSE),""))</f>
        <v/>
      </c>
    </row>
    <row r="231" spans="13:18" x14ac:dyDescent="0.3">
      <c r="M231" s="18" t="str">
        <f>IF($K231="","",IFERROR(VLOOKUP(--SUBSTITUTE(SUBSTITUTE(TRIM($K231),"-","")," ",""),마스터시트!$A$2:$H$1946,2,FALSE),"미등록"))</f>
        <v/>
      </c>
      <c r="N231" s="53" t="str">
        <f>IF($K231="","",IFERROR(VLOOKUP(--SUBSTITUTE(SUBSTITUTE(TRIM($K231),"-","")," ",""),마스터시트!$A$2:$H$1946,3,FALSE),"미등록"))</f>
        <v/>
      </c>
      <c r="O231" s="18" t="str">
        <f>IF($K231="","",IFERROR(VLOOKUP(--SUBSTITUTE(SUBSTITUTE(TRIM($K231),"-","")," ",""),마스터시트!$A$2:$H$1946,4,FALSE),""))</f>
        <v/>
      </c>
      <c r="P231" s="18" t="str">
        <f>IF($K231="","",IFERROR(VLOOKUP(--SUBSTITUTE(SUBSTITUTE(TRIM($K231),"-","")," ",""),마스터시트!$A$2:$H$1946,5,FALSE),""))</f>
        <v/>
      </c>
      <c r="Q231" s="18" t="str">
        <f>IF($K231="","",IFERROR(VLOOKUP(--SUBSTITUTE(SUBSTITUTE(TRIM($K231),"-","")," ",""),마스터시트!$A$2:$H$1946,6,FALSE),""))</f>
        <v/>
      </c>
      <c r="R231" s="18" t="str">
        <f>IF($K231="","",IFERROR(VLOOKUP(--SUBSTITUTE(SUBSTITUTE(TRIM($K231),"-","")," ",""),마스터시트!$A$2:$H$1946,7,FALSE),""))</f>
        <v/>
      </c>
    </row>
    <row r="232" spans="13:18" x14ac:dyDescent="0.3">
      <c r="M232" s="18" t="str">
        <f>IF($K232="","",IFERROR(VLOOKUP(--SUBSTITUTE(SUBSTITUTE(TRIM($K232),"-","")," ",""),마스터시트!$A$2:$H$1946,2,FALSE),"미등록"))</f>
        <v/>
      </c>
      <c r="N232" s="53" t="str">
        <f>IF($K232="","",IFERROR(VLOOKUP(--SUBSTITUTE(SUBSTITUTE(TRIM($K232),"-","")," ",""),마스터시트!$A$2:$H$1946,3,FALSE),"미등록"))</f>
        <v/>
      </c>
      <c r="O232" s="18" t="str">
        <f>IF($K232="","",IFERROR(VLOOKUP(--SUBSTITUTE(SUBSTITUTE(TRIM($K232),"-","")," ",""),마스터시트!$A$2:$H$1946,4,FALSE),""))</f>
        <v/>
      </c>
      <c r="P232" s="18" t="str">
        <f>IF($K232="","",IFERROR(VLOOKUP(--SUBSTITUTE(SUBSTITUTE(TRIM($K232),"-","")," ",""),마스터시트!$A$2:$H$1946,5,FALSE),""))</f>
        <v/>
      </c>
      <c r="Q232" s="18" t="str">
        <f>IF($K232="","",IFERROR(VLOOKUP(--SUBSTITUTE(SUBSTITUTE(TRIM($K232),"-","")," ",""),마스터시트!$A$2:$H$1946,6,FALSE),""))</f>
        <v/>
      </c>
      <c r="R232" s="18" t="str">
        <f>IF($K232="","",IFERROR(VLOOKUP(--SUBSTITUTE(SUBSTITUTE(TRIM($K232),"-","")," ",""),마스터시트!$A$2:$H$1946,7,FALSE),""))</f>
        <v/>
      </c>
    </row>
    <row r="233" spans="13:18" x14ac:dyDescent="0.3">
      <c r="M233" s="18" t="str">
        <f>IF($K233="","",IFERROR(VLOOKUP(--SUBSTITUTE(SUBSTITUTE(TRIM($K233),"-","")," ",""),마스터시트!$A$2:$H$1946,2,FALSE),"미등록"))</f>
        <v/>
      </c>
      <c r="N233" s="53" t="str">
        <f>IF($K233="","",IFERROR(VLOOKUP(--SUBSTITUTE(SUBSTITUTE(TRIM($K233),"-","")," ",""),마스터시트!$A$2:$H$1946,3,FALSE),"미등록"))</f>
        <v/>
      </c>
      <c r="O233" s="18" t="str">
        <f>IF($K233="","",IFERROR(VLOOKUP(--SUBSTITUTE(SUBSTITUTE(TRIM($K233),"-","")," ",""),마스터시트!$A$2:$H$1946,4,FALSE),""))</f>
        <v/>
      </c>
      <c r="P233" s="18" t="str">
        <f>IF($K233="","",IFERROR(VLOOKUP(--SUBSTITUTE(SUBSTITUTE(TRIM($K233),"-","")," ",""),마스터시트!$A$2:$H$1946,5,FALSE),""))</f>
        <v/>
      </c>
      <c r="Q233" s="18" t="str">
        <f>IF($K233="","",IFERROR(VLOOKUP(--SUBSTITUTE(SUBSTITUTE(TRIM($K233),"-","")," ",""),마스터시트!$A$2:$H$1946,6,FALSE),""))</f>
        <v/>
      </c>
      <c r="R233" s="18" t="str">
        <f>IF($K233="","",IFERROR(VLOOKUP(--SUBSTITUTE(SUBSTITUTE(TRIM($K233),"-","")," ",""),마스터시트!$A$2:$H$1946,7,FALSE),""))</f>
        <v/>
      </c>
    </row>
    <row r="234" spans="13:18" x14ac:dyDescent="0.3">
      <c r="M234" s="18" t="str">
        <f>IF($K234="","",IFERROR(VLOOKUP(--SUBSTITUTE(SUBSTITUTE(TRIM($K234),"-","")," ",""),마스터시트!$A$2:$H$1946,2,FALSE),"미등록"))</f>
        <v/>
      </c>
      <c r="N234" s="53" t="str">
        <f>IF($K234="","",IFERROR(VLOOKUP(--SUBSTITUTE(SUBSTITUTE(TRIM($K234),"-","")," ",""),마스터시트!$A$2:$H$1946,3,FALSE),"미등록"))</f>
        <v/>
      </c>
      <c r="O234" s="18" t="str">
        <f>IF($K234="","",IFERROR(VLOOKUP(--SUBSTITUTE(SUBSTITUTE(TRIM($K234),"-","")," ",""),마스터시트!$A$2:$H$1946,4,FALSE),""))</f>
        <v/>
      </c>
      <c r="P234" s="18" t="str">
        <f>IF($K234="","",IFERROR(VLOOKUP(--SUBSTITUTE(SUBSTITUTE(TRIM($K234),"-","")," ",""),마스터시트!$A$2:$H$1946,5,FALSE),""))</f>
        <v/>
      </c>
      <c r="Q234" s="18" t="str">
        <f>IF($K234="","",IFERROR(VLOOKUP(--SUBSTITUTE(SUBSTITUTE(TRIM($K234),"-","")," ",""),마스터시트!$A$2:$H$1946,6,FALSE),""))</f>
        <v/>
      </c>
      <c r="R234" s="18" t="str">
        <f>IF($K234="","",IFERROR(VLOOKUP(--SUBSTITUTE(SUBSTITUTE(TRIM($K234),"-","")," ",""),마스터시트!$A$2:$H$1946,7,FALSE),""))</f>
        <v/>
      </c>
    </row>
    <row r="235" spans="13:18" x14ac:dyDescent="0.3">
      <c r="M235" s="18" t="str">
        <f>IF($K235="","",IFERROR(VLOOKUP(--SUBSTITUTE(SUBSTITUTE(TRIM($K235),"-","")," ",""),마스터시트!$A$2:$H$1946,2,FALSE),"미등록"))</f>
        <v/>
      </c>
      <c r="N235" s="53" t="str">
        <f>IF($K235="","",IFERROR(VLOOKUP(--SUBSTITUTE(SUBSTITUTE(TRIM($K235),"-","")," ",""),마스터시트!$A$2:$H$1946,3,FALSE),"미등록"))</f>
        <v/>
      </c>
      <c r="O235" s="18" t="str">
        <f>IF($K235="","",IFERROR(VLOOKUP(--SUBSTITUTE(SUBSTITUTE(TRIM($K235),"-","")," ",""),마스터시트!$A$2:$H$1946,4,FALSE),""))</f>
        <v/>
      </c>
      <c r="P235" s="18" t="str">
        <f>IF($K235="","",IFERROR(VLOOKUP(--SUBSTITUTE(SUBSTITUTE(TRIM($K235),"-","")," ",""),마스터시트!$A$2:$H$1946,5,FALSE),""))</f>
        <v/>
      </c>
      <c r="Q235" s="18" t="str">
        <f>IF($K235="","",IFERROR(VLOOKUP(--SUBSTITUTE(SUBSTITUTE(TRIM($K235),"-","")," ",""),마스터시트!$A$2:$H$1946,6,FALSE),""))</f>
        <v/>
      </c>
      <c r="R235" s="18" t="str">
        <f>IF($K235="","",IFERROR(VLOOKUP(--SUBSTITUTE(SUBSTITUTE(TRIM($K235),"-","")," ",""),마스터시트!$A$2:$H$1946,7,FALSE),""))</f>
        <v/>
      </c>
    </row>
    <row r="236" spans="13:18" x14ac:dyDescent="0.3">
      <c r="M236" s="18" t="str">
        <f>IF($K236="","",IFERROR(VLOOKUP(--SUBSTITUTE(SUBSTITUTE(TRIM($K236),"-","")," ",""),마스터시트!$A$2:$H$1946,2,FALSE),"미등록"))</f>
        <v/>
      </c>
      <c r="N236" s="53" t="str">
        <f>IF($K236="","",IFERROR(VLOOKUP(--SUBSTITUTE(SUBSTITUTE(TRIM($K236),"-","")," ",""),마스터시트!$A$2:$H$1946,3,FALSE),"미등록"))</f>
        <v/>
      </c>
      <c r="O236" s="18" t="str">
        <f>IF($K236="","",IFERROR(VLOOKUP(--SUBSTITUTE(SUBSTITUTE(TRIM($K236),"-","")," ",""),마스터시트!$A$2:$H$1946,4,FALSE),""))</f>
        <v/>
      </c>
      <c r="P236" s="18" t="str">
        <f>IF($K236="","",IFERROR(VLOOKUP(--SUBSTITUTE(SUBSTITUTE(TRIM($K236),"-","")," ",""),마스터시트!$A$2:$H$1946,5,FALSE),""))</f>
        <v/>
      </c>
      <c r="Q236" s="18" t="str">
        <f>IF($K236="","",IFERROR(VLOOKUP(--SUBSTITUTE(SUBSTITUTE(TRIM($K236),"-","")," ",""),마스터시트!$A$2:$H$1946,6,FALSE),""))</f>
        <v/>
      </c>
      <c r="R236" s="18" t="str">
        <f>IF($K236="","",IFERROR(VLOOKUP(--SUBSTITUTE(SUBSTITUTE(TRIM($K236),"-","")," ",""),마스터시트!$A$2:$H$1946,7,FALSE),""))</f>
        <v/>
      </c>
    </row>
    <row r="237" spans="13:18" x14ac:dyDescent="0.3">
      <c r="M237" s="18" t="str">
        <f>IF($K237="","",IFERROR(VLOOKUP(--SUBSTITUTE(SUBSTITUTE(TRIM($K237),"-","")," ",""),마스터시트!$A$2:$H$1946,2,FALSE),"미등록"))</f>
        <v/>
      </c>
      <c r="N237" s="53" t="str">
        <f>IF($K237="","",IFERROR(VLOOKUP(--SUBSTITUTE(SUBSTITUTE(TRIM($K237),"-","")," ",""),마스터시트!$A$2:$H$1946,3,FALSE),"미등록"))</f>
        <v/>
      </c>
      <c r="O237" s="18" t="str">
        <f>IF($K237="","",IFERROR(VLOOKUP(--SUBSTITUTE(SUBSTITUTE(TRIM($K237),"-","")," ",""),마스터시트!$A$2:$H$1946,4,FALSE),""))</f>
        <v/>
      </c>
      <c r="P237" s="18" t="str">
        <f>IF($K237="","",IFERROR(VLOOKUP(--SUBSTITUTE(SUBSTITUTE(TRIM($K237),"-","")," ",""),마스터시트!$A$2:$H$1946,5,FALSE),""))</f>
        <v/>
      </c>
      <c r="Q237" s="18" t="str">
        <f>IF($K237="","",IFERROR(VLOOKUP(--SUBSTITUTE(SUBSTITUTE(TRIM($K237),"-","")," ",""),마스터시트!$A$2:$H$1946,6,FALSE),""))</f>
        <v/>
      </c>
      <c r="R237" s="18" t="str">
        <f>IF($K237="","",IFERROR(VLOOKUP(--SUBSTITUTE(SUBSTITUTE(TRIM($K237),"-","")," ",""),마스터시트!$A$2:$H$1946,7,FALSE),""))</f>
        <v/>
      </c>
    </row>
    <row r="238" spans="13:18" x14ac:dyDescent="0.3">
      <c r="M238" s="18" t="str">
        <f>IF($K238="","",IFERROR(VLOOKUP(--SUBSTITUTE(SUBSTITUTE(TRIM($K238),"-","")," ",""),마스터시트!$A$2:$H$1946,2,FALSE),"미등록"))</f>
        <v/>
      </c>
      <c r="N238" s="53" t="str">
        <f>IF($K238="","",IFERROR(VLOOKUP(--SUBSTITUTE(SUBSTITUTE(TRIM($K238),"-","")," ",""),마스터시트!$A$2:$H$1946,3,FALSE),"미등록"))</f>
        <v/>
      </c>
      <c r="O238" s="18" t="str">
        <f>IF($K238="","",IFERROR(VLOOKUP(--SUBSTITUTE(SUBSTITUTE(TRIM($K238),"-","")," ",""),마스터시트!$A$2:$H$1946,4,FALSE),""))</f>
        <v/>
      </c>
      <c r="P238" s="18" t="str">
        <f>IF($K238="","",IFERROR(VLOOKUP(--SUBSTITUTE(SUBSTITUTE(TRIM($K238),"-","")," ",""),마스터시트!$A$2:$H$1946,5,FALSE),""))</f>
        <v/>
      </c>
      <c r="Q238" s="18" t="str">
        <f>IF($K238="","",IFERROR(VLOOKUP(--SUBSTITUTE(SUBSTITUTE(TRIM($K238),"-","")," ",""),마스터시트!$A$2:$H$1946,6,FALSE),""))</f>
        <v/>
      </c>
      <c r="R238" s="18" t="str">
        <f>IF($K238="","",IFERROR(VLOOKUP(--SUBSTITUTE(SUBSTITUTE(TRIM($K238),"-","")," ",""),마스터시트!$A$2:$H$1946,7,FALSE),""))</f>
        <v/>
      </c>
    </row>
    <row r="239" spans="13:18" x14ac:dyDescent="0.3">
      <c r="M239" s="18" t="str">
        <f>IF($K239="","",IFERROR(VLOOKUP(--SUBSTITUTE(SUBSTITUTE(TRIM($K239),"-","")," ",""),마스터시트!$A$2:$H$1946,2,FALSE),"미등록"))</f>
        <v/>
      </c>
      <c r="N239" s="53" t="str">
        <f>IF($K239="","",IFERROR(VLOOKUP(--SUBSTITUTE(SUBSTITUTE(TRIM($K239),"-","")," ",""),마스터시트!$A$2:$H$1946,3,FALSE),"미등록"))</f>
        <v/>
      </c>
      <c r="O239" s="18" t="str">
        <f>IF($K239="","",IFERROR(VLOOKUP(--SUBSTITUTE(SUBSTITUTE(TRIM($K239),"-","")," ",""),마스터시트!$A$2:$H$1946,4,FALSE),""))</f>
        <v/>
      </c>
      <c r="P239" s="18" t="str">
        <f>IF($K239="","",IFERROR(VLOOKUP(--SUBSTITUTE(SUBSTITUTE(TRIM($K239),"-","")," ",""),마스터시트!$A$2:$H$1946,5,FALSE),""))</f>
        <v/>
      </c>
      <c r="Q239" s="18" t="str">
        <f>IF($K239="","",IFERROR(VLOOKUP(--SUBSTITUTE(SUBSTITUTE(TRIM($K239),"-","")," ",""),마스터시트!$A$2:$H$1946,6,FALSE),""))</f>
        <v/>
      </c>
      <c r="R239" s="18" t="str">
        <f>IF($K239="","",IFERROR(VLOOKUP(--SUBSTITUTE(SUBSTITUTE(TRIM($K239),"-","")," ",""),마스터시트!$A$2:$H$1946,7,FALSE),""))</f>
        <v/>
      </c>
    </row>
    <row r="240" spans="13:18" x14ac:dyDescent="0.3">
      <c r="M240" s="18" t="str">
        <f>IF($K240="","",IFERROR(VLOOKUP(--SUBSTITUTE(SUBSTITUTE(TRIM($K240),"-","")," ",""),마스터시트!$A$2:$H$1946,2,FALSE),"미등록"))</f>
        <v/>
      </c>
      <c r="N240" s="53" t="str">
        <f>IF($K240="","",IFERROR(VLOOKUP(--SUBSTITUTE(SUBSTITUTE(TRIM($K240),"-","")," ",""),마스터시트!$A$2:$H$1946,3,FALSE),"미등록"))</f>
        <v/>
      </c>
      <c r="O240" s="18" t="str">
        <f>IF($K240="","",IFERROR(VLOOKUP(--SUBSTITUTE(SUBSTITUTE(TRIM($K240),"-","")," ",""),마스터시트!$A$2:$H$1946,4,FALSE),""))</f>
        <v/>
      </c>
      <c r="P240" s="18" t="str">
        <f>IF($K240="","",IFERROR(VLOOKUP(--SUBSTITUTE(SUBSTITUTE(TRIM($K240),"-","")," ",""),마스터시트!$A$2:$H$1946,5,FALSE),""))</f>
        <v/>
      </c>
      <c r="Q240" s="18" t="str">
        <f>IF($K240="","",IFERROR(VLOOKUP(--SUBSTITUTE(SUBSTITUTE(TRIM($K240),"-","")," ",""),마스터시트!$A$2:$H$1946,6,FALSE),""))</f>
        <v/>
      </c>
      <c r="R240" s="18" t="str">
        <f>IF($K240="","",IFERROR(VLOOKUP(--SUBSTITUTE(SUBSTITUTE(TRIM($K240),"-","")," ",""),마스터시트!$A$2:$H$1946,7,FALSE),""))</f>
        <v/>
      </c>
    </row>
    <row r="241" spans="13:18" x14ac:dyDescent="0.3">
      <c r="M241" s="18" t="str">
        <f>IF($K241="","",IFERROR(VLOOKUP(--SUBSTITUTE(SUBSTITUTE(TRIM($K241),"-","")," ",""),마스터시트!$A$2:$H$1946,2,FALSE),"미등록"))</f>
        <v/>
      </c>
      <c r="N241" s="53" t="str">
        <f>IF($K241="","",IFERROR(VLOOKUP(--SUBSTITUTE(SUBSTITUTE(TRIM($K241),"-","")," ",""),마스터시트!$A$2:$H$1946,3,FALSE),"미등록"))</f>
        <v/>
      </c>
      <c r="O241" s="18" t="str">
        <f>IF($K241="","",IFERROR(VLOOKUP(--SUBSTITUTE(SUBSTITUTE(TRIM($K241),"-","")," ",""),마스터시트!$A$2:$H$1946,4,FALSE),""))</f>
        <v/>
      </c>
      <c r="P241" s="18" t="str">
        <f>IF($K241="","",IFERROR(VLOOKUP(--SUBSTITUTE(SUBSTITUTE(TRIM($K241),"-","")," ",""),마스터시트!$A$2:$H$1946,5,FALSE),""))</f>
        <v/>
      </c>
      <c r="Q241" s="18" t="str">
        <f>IF($K241="","",IFERROR(VLOOKUP(--SUBSTITUTE(SUBSTITUTE(TRIM($K241),"-","")," ",""),마스터시트!$A$2:$H$1946,6,FALSE),""))</f>
        <v/>
      </c>
      <c r="R241" s="18" t="str">
        <f>IF($K241="","",IFERROR(VLOOKUP(--SUBSTITUTE(SUBSTITUTE(TRIM($K241),"-","")," ",""),마스터시트!$A$2:$H$1946,7,FALSE),""))</f>
        <v/>
      </c>
    </row>
    <row r="242" spans="13:18" x14ac:dyDescent="0.3">
      <c r="M242" s="18" t="str">
        <f>IF($K242="","",IFERROR(VLOOKUP(--SUBSTITUTE(SUBSTITUTE(TRIM($K242),"-","")," ",""),마스터시트!$A$2:$H$1946,2,FALSE),"미등록"))</f>
        <v/>
      </c>
      <c r="N242" s="53" t="str">
        <f>IF($K242="","",IFERROR(VLOOKUP(--SUBSTITUTE(SUBSTITUTE(TRIM($K242),"-","")," ",""),마스터시트!$A$2:$H$1946,3,FALSE),"미등록"))</f>
        <v/>
      </c>
      <c r="O242" s="18" t="str">
        <f>IF($K242="","",IFERROR(VLOOKUP(--SUBSTITUTE(SUBSTITUTE(TRIM($K242),"-","")," ",""),마스터시트!$A$2:$H$1946,4,FALSE),""))</f>
        <v/>
      </c>
      <c r="P242" s="18" t="str">
        <f>IF($K242="","",IFERROR(VLOOKUP(--SUBSTITUTE(SUBSTITUTE(TRIM($K242),"-","")," ",""),마스터시트!$A$2:$H$1946,5,FALSE),""))</f>
        <v/>
      </c>
      <c r="Q242" s="18" t="str">
        <f>IF($K242="","",IFERROR(VLOOKUP(--SUBSTITUTE(SUBSTITUTE(TRIM($K242),"-","")," ",""),마스터시트!$A$2:$H$1946,6,FALSE),""))</f>
        <v/>
      </c>
      <c r="R242" s="18" t="str">
        <f>IF($K242="","",IFERROR(VLOOKUP(--SUBSTITUTE(SUBSTITUTE(TRIM($K242),"-","")," ",""),마스터시트!$A$2:$H$1946,7,FALSE),""))</f>
        <v/>
      </c>
    </row>
    <row r="243" spans="13:18" x14ac:dyDescent="0.3">
      <c r="M243" s="18" t="str">
        <f>IF($K243="","",IFERROR(VLOOKUP(--SUBSTITUTE(SUBSTITUTE(TRIM($K243),"-","")," ",""),마스터시트!$A$2:$H$1946,2,FALSE),"미등록"))</f>
        <v/>
      </c>
      <c r="N243" s="53" t="str">
        <f>IF($K243="","",IFERROR(VLOOKUP(--SUBSTITUTE(SUBSTITUTE(TRIM($K243),"-","")," ",""),마스터시트!$A$2:$H$1946,3,FALSE),"미등록"))</f>
        <v/>
      </c>
      <c r="O243" s="18" t="str">
        <f>IF($K243="","",IFERROR(VLOOKUP(--SUBSTITUTE(SUBSTITUTE(TRIM($K243),"-","")," ",""),마스터시트!$A$2:$H$1946,4,FALSE),""))</f>
        <v/>
      </c>
      <c r="P243" s="18" t="str">
        <f>IF($K243="","",IFERROR(VLOOKUP(--SUBSTITUTE(SUBSTITUTE(TRIM($K243),"-","")," ",""),마스터시트!$A$2:$H$1946,5,FALSE),""))</f>
        <v/>
      </c>
      <c r="Q243" s="18" t="str">
        <f>IF($K243="","",IFERROR(VLOOKUP(--SUBSTITUTE(SUBSTITUTE(TRIM($K243),"-","")," ",""),마스터시트!$A$2:$H$1946,6,FALSE),""))</f>
        <v/>
      </c>
      <c r="R243" s="18" t="str">
        <f>IF($K243="","",IFERROR(VLOOKUP(--SUBSTITUTE(SUBSTITUTE(TRIM($K243),"-","")," ",""),마스터시트!$A$2:$H$1946,7,FALSE),""))</f>
        <v/>
      </c>
    </row>
    <row r="244" spans="13:18" x14ac:dyDescent="0.3">
      <c r="M244" s="18" t="str">
        <f>IF($K244="","",IFERROR(VLOOKUP(--SUBSTITUTE(SUBSTITUTE(TRIM($K244),"-","")," ",""),마스터시트!$A$2:$H$1946,2,FALSE),"미등록"))</f>
        <v/>
      </c>
      <c r="N244" s="53" t="str">
        <f>IF($K244="","",IFERROR(VLOOKUP(--SUBSTITUTE(SUBSTITUTE(TRIM($K244),"-","")," ",""),마스터시트!$A$2:$H$1946,3,FALSE),"미등록"))</f>
        <v/>
      </c>
      <c r="O244" s="18" t="str">
        <f>IF($K244="","",IFERROR(VLOOKUP(--SUBSTITUTE(SUBSTITUTE(TRIM($K244),"-","")," ",""),마스터시트!$A$2:$H$1946,4,FALSE),""))</f>
        <v/>
      </c>
      <c r="P244" s="18" t="str">
        <f>IF($K244="","",IFERROR(VLOOKUP(--SUBSTITUTE(SUBSTITUTE(TRIM($K244),"-","")," ",""),마스터시트!$A$2:$H$1946,5,FALSE),""))</f>
        <v/>
      </c>
      <c r="Q244" s="18" t="str">
        <f>IF($K244="","",IFERROR(VLOOKUP(--SUBSTITUTE(SUBSTITUTE(TRIM($K244),"-","")," ",""),마스터시트!$A$2:$H$1946,6,FALSE),""))</f>
        <v/>
      </c>
      <c r="R244" s="18" t="str">
        <f>IF($K244="","",IFERROR(VLOOKUP(--SUBSTITUTE(SUBSTITUTE(TRIM($K244),"-","")," ",""),마스터시트!$A$2:$H$1946,7,FALSE),""))</f>
        <v/>
      </c>
    </row>
    <row r="245" spans="13:18" x14ac:dyDescent="0.3">
      <c r="M245" s="18" t="str">
        <f>IF($K245="","",IFERROR(VLOOKUP(--SUBSTITUTE(SUBSTITUTE(TRIM($K245),"-","")," ",""),마스터시트!$A$2:$H$1946,2,FALSE),"미등록"))</f>
        <v/>
      </c>
      <c r="N245" s="53" t="str">
        <f>IF($K245="","",IFERROR(VLOOKUP(--SUBSTITUTE(SUBSTITUTE(TRIM($K245),"-","")," ",""),마스터시트!$A$2:$H$1946,3,FALSE),"미등록"))</f>
        <v/>
      </c>
      <c r="O245" s="18" t="str">
        <f>IF($K245="","",IFERROR(VLOOKUP(--SUBSTITUTE(SUBSTITUTE(TRIM($K245),"-","")," ",""),마스터시트!$A$2:$H$1946,4,FALSE),""))</f>
        <v/>
      </c>
      <c r="P245" s="18" t="str">
        <f>IF($K245="","",IFERROR(VLOOKUP(--SUBSTITUTE(SUBSTITUTE(TRIM($K245),"-","")," ",""),마스터시트!$A$2:$H$1946,5,FALSE),""))</f>
        <v/>
      </c>
      <c r="Q245" s="18" t="str">
        <f>IF($K245="","",IFERROR(VLOOKUP(--SUBSTITUTE(SUBSTITUTE(TRIM($K245),"-","")," ",""),마스터시트!$A$2:$H$1946,6,FALSE),""))</f>
        <v/>
      </c>
      <c r="R245" s="18" t="str">
        <f>IF($K245="","",IFERROR(VLOOKUP(--SUBSTITUTE(SUBSTITUTE(TRIM($K245),"-","")," ",""),마스터시트!$A$2:$H$1946,7,FALSE),""))</f>
        <v/>
      </c>
    </row>
    <row r="246" spans="13:18" x14ac:dyDescent="0.3">
      <c r="M246" s="18" t="str">
        <f>IF($K246="","",IFERROR(VLOOKUP(--SUBSTITUTE(SUBSTITUTE(TRIM($K246),"-","")," ",""),마스터시트!$A$2:$H$1946,2,FALSE),"미등록"))</f>
        <v/>
      </c>
      <c r="N246" s="53" t="str">
        <f>IF($K246="","",IFERROR(VLOOKUP(--SUBSTITUTE(SUBSTITUTE(TRIM($K246),"-","")," ",""),마스터시트!$A$2:$H$1946,3,FALSE),"미등록"))</f>
        <v/>
      </c>
      <c r="O246" s="18" t="str">
        <f>IF($K246="","",IFERROR(VLOOKUP(--SUBSTITUTE(SUBSTITUTE(TRIM($K246),"-","")," ",""),마스터시트!$A$2:$H$1946,4,FALSE),""))</f>
        <v/>
      </c>
      <c r="P246" s="18" t="str">
        <f>IF($K246="","",IFERROR(VLOOKUP(--SUBSTITUTE(SUBSTITUTE(TRIM($K246),"-","")," ",""),마스터시트!$A$2:$H$1946,5,FALSE),""))</f>
        <v/>
      </c>
      <c r="Q246" s="18" t="str">
        <f>IF($K246="","",IFERROR(VLOOKUP(--SUBSTITUTE(SUBSTITUTE(TRIM($K246),"-","")," ",""),마스터시트!$A$2:$H$1946,6,FALSE),""))</f>
        <v/>
      </c>
      <c r="R246" s="18" t="str">
        <f>IF($K246="","",IFERROR(VLOOKUP(--SUBSTITUTE(SUBSTITUTE(TRIM($K246),"-","")," ",""),마스터시트!$A$2:$H$1946,7,FALSE),""))</f>
        <v/>
      </c>
    </row>
    <row r="247" spans="13:18" x14ac:dyDescent="0.3">
      <c r="M247" s="18" t="str">
        <f>IF($K247="","",IFERROR(VLOOKUP(--SUBSTITUTE(SUBSTITUTE(TRIM($K247),"-","")," ",""),마스터시트!$A$2:$H$1946,2,FALSE),"미등록"))</f>
        <v/>
      </c>
      <c r="N247" s="53" t="str">
        <f>IF($K247="","",IFERROR(VLOOKUP(--SUBSTITUTE(SUBSTITUTE(TRIM($K247),"-","")," ",""),마스터시트!$A$2:$H$1946,3,FALSE),"미등록"))</f>
        <v/>
      </c>
      <c r="O247" s="18" t="str">
        <f>IF($K247="","",IFERROR(VLOOKUP(--SUBSTITUTE(SUBSTITUTE(TRIM($K247),"-","")," ",""),마스터시트!$A$2:$H$1946,4,FALSE),""))</f>
        <v/>
      </c>
      <c r="P247" s="18" t="str">
        <f>IF($K247="","",IFERROR(VLOOKUP(--SUBSTITUTE(SUBSTITUTE(TRIM($K247),"-","")," ",""),마스터시트!$A$2:$H$1946,5,FALSE),""))</f>
        <v/>
      </c>
      <c r="Q247" s="18" t="str">
        <f>IF($K247="","",IFERROR(VLOOKUP(--SUBSTITUTE(SUBSTITUTE(TRIM($K247),"-","")," ",""),마스터시트!$A$2:$H$1946,6,FALSE),""))</f>
        <v/>
      </c>
      <c r="R247" s="18" t="str">
        <f>IF($K247="","",IFERROR(VLOOKUP(--SUBSTITUTE(SUBSTITUTE(TRIM($K247),"-","")," ",""),마스터시트!$A$2:$H$1946,7,FALSE),""))</f>
        <v/>
      </c>
    </row>
    <row r="248" spans="13:18" x14ac:dyDescent="0.3">
      <c r="M248" s="18" t="str">
        <f>IF($K248="","",IFERROR(VLOOKUP(--SUBSTITUTE(SUBSTITUTE(TRIM($K248),"-","")," ",""),마스터시트!$A$2:$H$1946,2,FALSE),"미등록"))</f>
        <v/>
      </c>
      <c r="N248" s="53" t="str">
        <f>IF($K248="","",IFERROR(VLOOKUP(--SUBSTITUTE(SUBSTITUTE(TRIM($K248),"-","")," ",""),마스터시트!$A$2:$H$1946,3,FALSE),"미등록"))</f>
        <v/>
      </c>
      <c r="O248" s="18" t="str">
        <f>IF($K248="","",IFERROR(VLOOKUP(--SUBSTITUTE(SUBSTITUTE(TRIM($K248),"-","")," ",""),마스터시트!$A$2:$H$1946,4,FALSE),""))</f>
        <v/>
      </c>
      <c r="P248" s="18" t="str">
        <f>IF($K248="","",IFERROR(VLOOKUP(--SUBSTITUTE(SUBSTITUTE(TRIM($K248),"-","")," ",""),마스터시트!$A$2:$H$1946,5,FALSE),""))</f>
        <v/>
      </c>
      <c r="Q248" s="18" t="str">
        <f>IF($K248="","",IFERROR(VLOOKUP(--SUBSTITUTE(SUBSTITUTE(TRIM($K248),"-","")," ",""),마스터시트!$A$2:$H$1946,6,FALSE),""))</f>
        <v/>
      </c>
      <c r="R248" s="18" t="str">
        <f>IF($K248="","",IFERROR(VLOOKUP(--SUBSTITUTE(SUBSTITUTE(TRIM($K248),"-","")," ",""),마스터시트!$A$2:$H$1946,7,FALSE),""))</f>
        <v/>
      </c>
    </row>
    <row r="249" spans="13:18" x14ac:dyDescent="0.3">
      <c r="M249" s="18" t="str">
        <f>IF($K249="","",IFERROR(VLOOKUP(--SUBSTITUTE(SUBSTITUTE(TRIM($K249),"-","")," ",""),마스터시트!$A$2:$H$1946,2,FALSE),"미등록"))</f>
        <v/>
      </c>
      <c r="N249" s="53" t="str">
        <f>IF($K249="","",IFERROR(VLOOKUP(--SUBSTITUTE(SUBSTITUTE(TRIM($K249),"-","")," ",""),마스터시트!$A$2:$H$1946,3,FALSE),"미등록"))</f>
        <v/>
      </c>
      <c r="O249" s="18" t="str">
        <f>IF($K249="","",IFERROR(VLOOKUP(--SUBSTITUTE(SUBSTITUTE(TRIM($K249),"-","")," ",""),마스터시트!$A$2:$H$1946,4,FALSE),""))</f>
        <v/>
      </c>
      <c r="P249" s="18" t="str">
        <f>IF($K249="","",IFERROR(VLOOKUP(--SUBSTITUTE(SUBSTITUTE(TRIM($K249),"-","")," ",""),마스터시트!$A$2:$H$1946,5,FALSE),""))</f>
        <v/>
      </c>
      <c r="Q249" s="18" t="str">
        <f>IF($K249="","",IFERROR(VLOOKUP(--SUBSTITUTE(SUBSTITUTE(TRIM($K249),"-","")," ",""),마스터시트!$A$2:$H$1946,6,FALSE),""))</f>
        <v/>
      </c>
      <c r="R249" s="18" t="str">
        <f>IF($K249="","",IFERROR(VLOOKUP(--SUBSTITUTE(SUBSTITUTE(TRIM($K249),"-","")," ",""),마스터시트!$A$2:$H$1946,7,FALSE),""))</f>
        <v/>
      </c>
    </row>
    <row r="250" spans="13:18" x14ac:dyDescent="0.3">
      <c r="M250" s="18" t="str">
        <f>IF($K250="","",IFERROR(VLOOKUP(--SUBSTITUTE(SUBSTITUTE(TRIM($K250),"-","")," ",""),마스터시트!$A$2:$H$1946,2,FALSE),"미등록"))</f>
        <v/>
      </c>
      <c r="N250" s="53" t="str">
        <f>IF($K250="","",IFERROR(VLOOKUP(--SUBSTITUTE(SUBSTITUTE(TRIM($K250),"-","")," ",""),마스터시트!$A$2:$H$1946,3,FALSE),"미등록"))</f>
        <v/>
      </c>
      <c r="O250" s="18" t="str">
        <f>IF($K250="","",IFERROR(VLOOKUP(--SUBSTITUTE(SUBSTITUTE(TRIM($K250),"-","")," ",""),마스터시트!$A$2:$H$1946,4,FALSE),""))</f>
        <v/>
      </c>
      <c r="P250" s="18" t="str">
        <f>IF($K250="","",IFERROR(VLOOKUP(--SUBSTITUTE(SUBSTITUTE(TRIM($K250),"-","")," ",""),마스터시트!$A$2:$H$1946,5,FALSE),""))</f>
        <v/>
      </c>
      <c r="Q250" s="18" t="str">
        <f>IF($K250="","",IFERROR(VLOOKUP(--SUBSTITUTE(SUBSTITUTE(TRIM($K250),"-","")," ",""),마스터시트!$A$2:$H$1946,6,FALSE),""))</f>
        <v/>
      </c>
      <c r="R250" s="18" t="str">
        <f>IF($K250="","",IFERROR(VLOOKUP(--SUBSTITUTE(SUBSTITUTE(TRIM($K250),"-","")," ",""),마스터시트!$A$2:$H$1946,7,FALSE),""))</f>
        <v/>
      </c>
    </row>
    <row r="251" spans="13:18" x14ac:dyDescent="0.3">
      <c r="M251" s="18" t="str">
        <f>IF($K251="","",IFERROR(VLOOKUP(--SUBSTITUTE(SUBSTITUTE(TRIM($K251),"-","")," ",""),마스터시트!$A$2:$H$1946,2,FALSE),"미등록"))</f>
        <v/>
      </c>
      <c r="N251" s="53" t="str">
        <f>IF($K251="","",IFERROR(VLOOKUP(--SUBSTITUTE(SUBSTITUTE(TRIM($K251),"-","")," ",""),마스터시트!$A$2:$H$1946,3,FALSE),"미등록"))</f>
        <v/>
      </c>
      <c r="O251" s="18" t="str">
        <f>IF($K251="","",IFERROR(VLOOKUP(--SUBSTITUTE(SUBSTITUTE(TRIM($K251),"-","")," ",""),마스터시트!$A$2:$H$1946,4,FALSE),""))</f>
        <v/>
      </c>
      <c r="P251" s="18" t="str">
        <f>IF($K251="","",IFERROR(VLOOKUP(--SUBSTITUTE(SUBSTITUTE(TRIM($K251),"-","")," ",""),마스터시트!$A$2:$H$1946,5,FALSE),""))</f>
        <v/>
      </c>
      <c r="Q251" s="18" t="str">
        <f>IF($K251="","",IFERROR(VLOOKUP(--SUBSTITUTE(SUBSTITUTE(TRIM($K251),"-","")," ",""),마스터시트!$A$2:$H$1946,6,FALSE),""))</f>
        <v/>
      </c>
      <c r="R251" s="18" t="str">
        <f>IF($K251="","",IFERROR(VLOOKUP(--SUBSTITUTE(SUBSTITUTE(TRIM($K251),"-","")," ",""),마스터시트!$A$2:$H$1946,7,FALSE),""))</f>
        <v/>
      </c>
    </row>
    <row r="252" spans="13:18" x14ac:dyDescent="0.3">
      <c r="M252" s="18" t="str">
        <f>IF($K252="","",IFERROR(VLOOKUP(--SUBSTITUTE(SUBSTITUTE(TRIM($K252),"-","")," ",""),마스터시트!$A$2:$H$1946,2,FALSE),"미등록"))</f>
        <v/>
      </c>
      <c r="N252" s="53" t="str">
        <f>IF($K252="","",IFERROR(VLOOKUP(--SUBSTITUTE(SUBSTITUTE(TRIM($K252),"-","")," ",""),마스터시트!$A$2:$H$1946,3,FALSE),"미등록"))</f>
        <v/>
      </c>
      <c r="O252" s="18" t="str">
        <f>IF($K252="","",IFERROR(VLOOKUP(--SUBSTITUTE(SUBSTITUTE(TRIM($K252),"-","")," ",""),마스터시트!$A$2:$H$1946,4,FALSE),""))</f>
        <v/>
      </c>
      <c r="P252" s="18" t="str">
        <f>IF($K252="","",IFERROR(VLOOKUP(--SUBSTITUTE(SUBSTITUTE(TRIM($K252),"-","")," ",""),마스터시트!$A$2:$H$1946,5,FALSE),""))</f>
        <v/>
      </c>
      <c r="Q252" s="18" t="str">
        <f>IF($K252="","",IFERROR(VLOOKUP(--SUBSTITUTE(SUBSTITUTE(TRIM($K252),"-","")," ",""),마스터시트!$A$2:$H$1946,6,FALSE),""))</f>
        <v/>
      </c>
      <c r="R252" s="18" t="str">
        <f>IF($K252="","",IFERROR(VLOOKUP(--SUBSTITUTE(SUBSTITUTE(TRIM($K252),"-","")," ",""),마스터시트!$A$2:$H$1946,7,FALSE),""))</f>
        <v/>
      </c>
    </row>
    <row r="253" spans="13:18" x14ac:dyDescent="0.3">
      <c r="M253" s="18" t="str">
        <f>IF($K253="","",IFERROR(VLOOKUP(--SUBSTITUTE(SUBSTITUTE(TRIM($K253),"-","")," ",""),마스터시트!$A$2:$H$1946,2,FALSE),"미등록"))</f>
        <v/>
      </c>
      <c r="N253" s="53" t="str">
        <f>IF($K253="","",IFERROR(VLOOKUP(--SUBSTITUTE(SUBSTITUTE(TRIM($K253),"-","")," ",""),마스터시트!$A$2:$H$1946,3,FALSE),"미등록"))</f>
        <v/>
      </c>
      <c r="O253" s="18" t="str">
        <f>IF($K253="","",IFERROR(VLOOKUP(--SUBSTITUTE(SUBSTITUTE(TRIM($K253),"-","")," ",""),마스터시트!$A$2:$H$1946,4,FALSE),""))</f>
        <v/>
      </c>
      <c r="P253" s="18" t="str">
        <f>IF($K253="","",IFERROR(VLOOKUP(--SUBSTITUTE(SUBSTITUTE(TRIM($K253),"-","")," ",""),마스터시트!$A$2:$H$1946,5,FALSE),""))</f>
        <v/>
      </c>
      <c r="Q253" s="18" t="str">
        <f>IF($K253="","",IFERROR(VLOOKUP(--SUBSTITUTE(SUBSTITUTE(TRIM($K253),"-","")," ",""),마스터시트!$A$2:$H$1946,6,FALSE),""))</f>
        <v/>
      </c>
      <c r="R253" s="18" t="str">
        <f>IF($K253="","",IFERROR(VLOOKUP(--SUBSTITUTE(SUBSTITUTE(TRIM($K253),"-","")," ",""),마스터시트!$A$2:$H$1946,7,FALSE),""))</f>
        <v/>
      </c>
    </row>
    <row r="254" spans="13:18" x14ac:dyDescent="0.3">
      <c r="M254" s="18" t="str">
        <f>IF($K254="","",IFERROR(VLOOKUP(--SUBSTITUTE(SUBSTITUTE(TRIM($K254),"-","")," ",""),마스터시트!$A$2:$H$1946,2,FALSE),"미등록"))</f>
        <v/>
      </c>
      <c r="N254" s="53" t="str">
        <f>IF($K254="","",IFERROR(VLOOKUP(--SUBSTITUTE(SUBSTITUTE(TRIM($K254),"-","")," ",""),마스터시트!$A$2:$H$1946,3,FALSE),"미등록"))</f>
        <v/>
      </c>
      <c r="O254" s="18" t="str">
        <f>IF($K254="","",IFERROR(VLOOKUP(--SUBSTITUTE(SUBSTITUTE(TRIM($K254),"-","")," ",""),마스터시트!$A$2:$H$1946,4,FALSE),""))</f>
        <v/>
      </c>
      <c r="P254" s="18" t="str">
        <f>IF($K254="","",IFERROR(VLOOKUP(--SUBSTITUTE(SUBSTITUTE(TRIM($K254),"-","")," ",""),마스터시트!$A$2:$H$1946,5,FALSE),""))</f>
        <v/>
      </c>
      <c r="Q254" s="18" t="str">
        <f>IF($K254="","",IFERROR(VLOOKUP(--SUBSTITUTE(SUBSTITUTE(TRIM($K254),"-","")," ",""),마스터시트!$A$2:$H$1946,6,FALSE),""))</f>
        <v/>
      </c>
      <c r="R254" s="18" t="str">
        <f>IF($K254="","",IFERROR(VLOOKUP(--SUBSTITUTE(SUBSTITUTE(TRIM($K254),"-","")," ",""),마스터시트!$A$2:$H$1946,7,FALSE),""))</f>
        <v/>
      </c>
    </row>
    <row r="255" spans="13:18" x14ac:dyDescent="0.3">
      <c r="M255" s="18" t="str">
        <f>IF($K255="","",IFERROR(VLOOKUP(--SUBSTITUTE(SUBSTITUTE(TRIM($K255),"-","")," ",""),마스터시트!$A$2:$H$1946,2,FALSE),"미등록"))</f>
        <v/>
      </c>
      <c r="N255" s="53" t="str">
        <f>IF($K255="","",IFERROR(VLOOKUP(--SUBSTITUTE(SUBSTITUTE(TRIM($K255),"-","")," ",""),마스터시트!$A$2:$H$1946,3,FALSE),"미등록"))</f>
        <v/>
      </c>
      <c r="O255" s="18" t="str">
        <f>IF($K255="","",IFERROR(VLOOKUP(--SUBSTITUTE(SUBSTITUTE(TRIM($K255),"-","")," ",""),마스터시트!$A$2:$H$1946,4,FALSE),""))</f>
        <v/>
      </c>
      <c r="P255" s="18" t="str">
        <f>IF($K255="","",IFERROR(VLOOKUP(--SUBSTITUTE(SUBSTITUTE(TRIM($K255),"-","")," ",""),마스터시트!$A$2:$H$1946,5,FALSE),""))</f>
        <v/>
      </c>
      <c r="Q255" s="18" t="str">
        <f>IF($K255="","",IFERROR(VLOOKUP(--SUBSTITUTE(SUBSTITUTE(TRIM($K255),"-","")," ",""),마스터시트!$A$2:$H$1946,6,FALSE),""))</f>
        <v/>
      </c>
      <c r="R255" s="18" t="str">
        <f>IF($K255="","",IFERROR(VLOOKUP(--SUBSTITUTE(SUBSTITUTE(TRIM($K255),"-","")," ",""),마스터시트!$A$2:$H$1946,7,FALSE),""))</f>
        <v/>
      </c>
    </row>
    <row r="256" spans="13:18" x14ac:dyDescent="0.3">
      <c r="M256" s="18" t="str">
        <f>IF($K256="","",IFERROR(VLOOKUP(--SUBSTITUTE(SUBSTITUTE(TRIM($K256),"-","")," ",""),마스터시트!$A$2:$H$1946,2,FALSE),"미등록"))</f>
        <v/>
      </c>
      <c r="N256" s="53" t="str">
        <f>IF($K256="","",IFERROR(VLOOKUP(--SUBSTITUTE(SUBSTITUTE(TRIM($K256),"-","")," ",""),마스터시트!$A$2:$H$1946,3,FALSE),"미등록"))</f>
        <v/>
      </c>
      <c r="O256" s="18" t="str">
        <f>IF($K256="","",IFERROR(VLOOKUP(--SUBSTITUTE(SUBSTITUTE(TRIM($K256),"-","")," ",""),마스터시트!$A$2:$H$1946,4,FALSE),""))</f>
        <v/>
      </c>
      <c r="P256" s="18" t="str">
        <f>IF($K256="","",IFERROR(VLOOKUP(--SUBSTITUTE(SUBSTITUTE(TRIM($K256),"-","")," ",""),마스터시트!$A$2:$H$1946,5,FALSE),""))</f>
        <v/>
      </c>
      <c r="Q256" s="18" t="str">
        <f>IF($K256="","",IFERROR(VLOOKUP(--SUBSTITUTE(SUBSTITUTE(TRIM($K256),"-","")," ",""),마스터시트!$A$2:$H$1946,6,FALSE),""))</f>
        <v/>
      </c>
      <c r="R256" s="18" t="str">
        <f>IF($K256="","",IFERROR(VLOOKUP(--SUBSTITUTE(SUBSTITUTE(TRIM($K256),"-","")," ",""),마스터시트!$A$2:$H$1946,7,FALSE),""))</f>
        <v/>
      </c>
    </row>
    <row r="257" spans="13:18" x14ac:dyDescent="0.3">
      <c r="M257" s="18" t="str">
        <f>IF($K257="","",IFERROR(VLOOKUP(--SUBSTITUTE(SUBSTITUTE(TRIM($K257),"-","")," ",""),마스터시트!$A$2:$H$1946,2,FALSE),"미등록"))</f>
        <v/>
      </c>
      <c r="N257" s="53" t="str">
        <f>IF($K257="","",IFERROR(VLOOKUP(--SUBSTITUTE(SUBSTITUTE(TRIM($K257),"-","")," ",""),마스터시트!$A$2:$H$1946,3,FALSE),"미등록"))</f>
        <v/>
      </c>
      <c r="O257" s="18" t="str">
        <f>IF($K257="","",IFERROR(VLOOKUP(--SUBSTITUTE(SUBSTITUTE(TRIM($K257),"-","")," ",""),마스터시트!$A$2:$H$1946,4,FALSE),""))</f>
        <v/>
      </c>
      <c r="P257" s="18" t="str">
        <f>IF($K257="","",IFERROR(VLOOKUP(--SUBSTITUTE(SUBSTITUTE(TRIM($K257),"-","")," ",""),마스터시트!$A$2:$H$1946,5,FALSE),""))</f>
        <v/>
      </c>
      <c r="Q257" s="18" t="str">
        <f>IF($K257="","",IFERROR(VLOOKUP(--SUBSTITUTE(SUBSTITUTE(TRIM($K257),"-","")," ",""),마스터시트!$A$2:$H$1946,6,FALSE),""))</f>
        <v/>
      </c>
      <c r="R257" s="18" t="str">
        <f>IF($K257="","",IFERROR(VLOOKUP(--SUBSTITUTE(SUBSTITUTE(TRIM($K257),"-","")," ",""),마스터시트!$A$2:$H$1946,7,FALSE),""))</f>
        <v/>
      </c>
    </row>
    <row r="258" spans="13:18" x14ac:dyDescent="0.3">
      <c r="M258" s="18" t="str">
        <f>IF($K258="","",IFERROR(VLOOKUP(--SUBSTITUTE(SUBSTITUTE(TRIM($K258),"-","")," ",""),마스터시트!$A$2:$H$1946,2,FALSE),"미등록"))</f>
        <v/>
      </c>
      <c r="N258" s="53" t="str">
        <f>IF($K258="","",IFERROR(VLOOKUP(--SUBSTITUTE(SUBSTITUTE(TRIM($K258),"-","")," ",""),마스터시트!$A$2:$H$1946,3,FALSE),"미등록"))</f>
        <v/>
      </c>
      <c r="O258" s="18" t="str">
        <f>IF($K258="","",IFERROR(VLOOKUP(--SUBSTITUTE(SUBSTITUTE(TRIM($K258),"-","")," ",""),마스터시트!$A$2:$H$1946,4,FALSE),""))</f>
        <v/>
      </c>
      <c r="P258" s="18" t="str">
        <f>IF($K258="","",IFERROR(VLOOKUP(--SUBSTITUTE(SUBSTITUTE(TRIM($K258),"-","")," ",""),마스터시트!$A$2:$H$1946,5,FALSE),""))</f>
        <v/>
      </c>
      <c r="Q258" s="18" t="str">
        <f>IF($K258="","",IFERROR(VLOOKUP(--SUBSTITUTE(SUBSTITUTE(TRIM($K258),"-","")," ",""),마스터시트!$A$2:$H$1946,6,FALSE),""))</f>
        <v/>
      </c>
      <c r="R258" s="18" t="str">
        <f>IF($K258="","",IFERROR(VLOOKUP(--SUBSTITUTE(SUBSTITUTE(TRIM($K258),"-","")," ",""),마스터시트!$A$2:$H$1946,7,FALSE),""))</f>
        <v/>
      </c>
    </row>
    <row r="259" spans="13:18" x14ac:dyDescent="0.3">
      <c r="M259" s="18" t="str">
        <f>IF($K259="","",IFERROR(VLOOKUP(--SUBSTITUTE(SUBSTITUTE(TRIM($K259),"-","")," ",""),마스터시트!$A$2:$H$1946,2,FALSE),"미등록"))</f>
        <v/>
      </c>
      <c r="N259" s="53" t="str">
        <f>IF($K259="","",IFERROR(VLOOKUP(--SUBSTITUTE(SUBSTITUTE(TRIM($K259),"-","")," ",""),마스터시트!$A$2:$H$1946,3,FALSE),"미등록"))</f>
        <v/>
      </c>
      <c r="O259" s="18" t="str">
        <f>IF($K259="","",IFERROR(VLOOKUP(--SUBSTITUTE(SUBSTITUTE(TRIM($K259),"-","")," ",""),마스터시트!$A$2:$H$1946,4,FALSE),""))</f>
        <v/>
      </c>
      <c r="P259" s="18" t="str">
        <f>IF($K259="","",IFERROR(VLOOKUP(--SUBSTITUTE(SUBSTITUTE(TRIM($K259),"-","")," ",""),마스터시트!$A$2:$H$1946,5,FALSE),""))</f>
        <v/>
      </c>
      <c r="Q259" s="18" t="str">
        <f>IF($K259="","",IFERROR(VLOOKUP(--SUBSTITUTE(SUBSTITUTE(TRIM($K259),"-","")," ",""),마스터시트!$A$2:$H$1946,6,FALSE),""))</f>
        <v/>
      </c>
      <c r="R259" s="18" t="str">
        <f>IF($K259="","",IFERROR(VLOOKUP(--SUBSTITUTE(SUBSTITUTE(TRIM($K259),"-","")," ",""),마스터시트!$A$2:$H$1946,7,FALSE),""))</f>
        <v/>
      </c>
    </row>
    <row r="260" spans="13:18" x14ac:dyDescent="0.3">
      <c r="M260" s="18" t="str">
        <f>IF($K260="","",IFERROR(VLOOKUP(--SUBSTITUTE(SUBSTITUTE(TRIM($K260),"-","")," ",""),마스터시트!$A$2:$H$1946,2,FALSE),"미등록"))</f>
        <v/>
      </c>
      <c r="N260" s="53" t="str">
        <f>IF($K260="","",IFERROR(VLOOKUP(--SUBSTITUTE(SUBSTITUTE(TRIM($K260),"-","")," ",""),마스터시트!$A$2:$H$1946,3,FALSE),"미등록"))</f>
        <v/>
      </c>
      <c r="O260" s="18" t="str">
        <f>IF($K260="","",IFERROR(VLOOKUP(--SUBSTITUTE(SUBSTITUTE(TRIM($K260),"-","")," ",""),마스터시트!$A$2:$H$1946,4,FALSE),""))</f>
        <v/>
      </c>
      <c r="P260" s="18" t="str">
        <f>IF($K260="","",IFERROR(VLOOKUP(--SUBSTITUTE(SUBSTITUTE(TRIM($K260),"-","")," ",""),마스터시트!$A$2:$H$1946,5,FALSE),""))</f>
        <v/>
      </c>
      <c r="Q260" s="18" t="str">
        <f>IF($K260="","",IFERROR(VLOOKUP(--SUBSTITUTE(SUBSTITUTE(TRIM($K260),"-","")," ",""),마스터시트!$A$2:$H$1946,6,FALSE),""))</f>
        <v/>
      </c>
      <c r="R260" s="18" t="str">
        <f>IF($K260="","",IFERROR(VLOOKUP(--SUBSTITUTE(SUBSTITUTE(TRIM($K260),"-","")," ",""),마스터시트!$A$2:$H$1946,7,FALSE),""))</f>
        <v/>
      </c>
    </row>
    <row r="261" spans="13:18" x14ac:dyDescent="0.3">
      <c r="M261" s="18" t="str">
        <f>IF($K261="","",IFERROR(VLOOKUP(--SUBSTITUTE(SUBSTITUTE(TRIM($K261),"-","")," ",""),마스터시트!$A$2:$H$1946,2,FALSE),"미등록"))</f>
        <v/>
      </c>
      <c r="N261" s="53" t="str">
        <f>IF($K261="","",IFERROR(VLOOKUP(--SUBSTITUTE(SUBSTITUTE(TRIM($K261),"-","")," ",""),마스터시트!$A$2:$H$1946,3,FALSE),"미등록"))</f>
        <v/>
      </c>
      <c r="O261" s="18" t="str">
        <f>IF($K261="","",IFERROR(VLOOKUP(--SUBSTITUTE(SUBSTITUTE(TRIM($K261),"-","")," ",""),마스터시트!$A$2:$H$1946,4,FALSE),""))</f>
        <v/>
      </c>
      <c r="P261" s="18" t="str">
        <f>IF($K261="","",IFERROR(VLOOKUP(--SUBSTITUTE(SUBSTITUTE(TRIM($K261),"-","")," ",""),마스터시트!$A$2:$H$1946,5,FALSE),""))</f>
        <v/>
      </c>
      <c r="Q261" s="18" t="str">
        <f>IF($K261="","",IFERROR(VLOOKUP(--SUBSTITUTE(SUBSTITUTE(TRIM($K261),"-","")," ",""),마스터시트!$A$2:$H$1946,6,FALSE),""))</f>
        <v/>
      </c>
      <c r="R261" s="18" t="str">
        <f>IF($K261="","",IFERROR(VLOOKUP(--SUBSTITUTE(SUBSTITUTE(TRIM($K261),"-","")," ",""),마스터시트!$A$2:$H$1946,7,FALSE),""))</f>
        <v/>
      </c>
    </row>
    <row r="262" spans="13:18" x14ac:dyDescent="0.3">
      <c r="M262" s="18" t="str">
        <f>IF($K262="","",IFERROR(VLOOKUP(--SUBSTITUTE(SUBSTITUTE(TRIM($K262),"-","")," ",""),마스터시트!$A$2:$H$1946,2,FALSE),"미등록"))</f>
        <v/>
      </c>
      <c r="N262" s="53" t="str">
        <f>IF($K262="","",IFERROR(VLOOKUP(--SUBSTITUTE(SUBSTITUTE(TRIM($K262),"-","")," ",""),마스터시트!$A$2:$H$1946,3,FALSE),"미등록"))</f>
        <v/>
      </c>
      <c r="O262" s="18" t="str">
        <f>IF($K262="","",IFERROR(VLOOKUP(--SUBSTITUTE(SUBSTITUTE(TRIM($K262),"-","")," ",""),마스터시트!$A$2:$H$1946,4,FALSE),""))</f>
        <v/>
      </c>
      <c r="P262" s="18" t="str">
        <f>IF($K262="","",IFERROR(VLOOKUP(--SUBSTITUTE(SUBSTITUTE(TRIM($K262),"-","")," ",""),마스터시트!$A$2:$H$1946,5,FALSE),""))</f>
        <v/>
      </c>
      <c r="Q262" s="18" t="str">
        <f>IF($K262="","",IFERROR(VLOOKUP(--SUBSTITUTE(SUBSTITUTE(TRIM($K262),"-","")," ",""),마스터시트!$A$2:$H$1946,6,FALSE),""))</f>
        <v/>
      </c>
      <c r="R262" s="18" t="str">
        <f>IF($K262="","",IFERROR(VLOOKUP(--SUBSTITUTE(SUBSTITUTE(TRIM($K262),"-","")," ",""),마스터시트!$A$2:$H$1946,7,FALSE),""))</f>
        <v/>
      </c>
    </row>
    <row r="263" spans="13:18" x14ac:dyDescent="0.3">
      <c r="M263" s="18" t="str">
        <f>IF($K263="","",IFERROR(VLOOKUP(--SUBSTITUTE(SUBSTITUTE(TRIM($K263),"-","")," ",""),마스터시트!$A$2:$H$1946,2,FALSE),"미등록"))</f>
        <v/>
      </c>
      <c r="N263" s="53" t="str">
        <f>IF($K263="","",IFERROR(VLOOKUP(--SUBSTITUTE(SUBSTITUTE(TRIM($K263),"-","")," ",""),마스터시트!$A$2:$H$1946,3,FALSE),"미등록"))</f>
        <v/>
      </c>
      <c r="O263" s="18" t="str">
        <f>IF($K263="","",IFERROR(VLOOKUP(--SUBSTITUTE(SUBSTITUTE(TRIM($K263),"-","")," ",""),마스터시트!$A$2:$H$1946,4,FALSE),""))</f>
        <v/>
      </c>
      <c r="P263" s="18" t="str">
        <f>IF($K263="","",IFERROR(VLOOKUP(--SUBSTITUTE(SUBSTITUTE(TRIM($K263),"-","")," ",""),마스터시트!$A$2:$H$1946,5,FALSE),""))</f>
        <v/>
      </c>
      <c r="Q263" s="18" t="str">
        <f>IF($K263="","",IFERROR(VLOOKUP(--SUBSTITUTE(SUBSTITUTE(TRIM($K263),"-","")," ",""),마스터시트!$A$2:$H$1946,6,FALSE),""))</f>
        <v/>
      </c>
      <c r="R263" s="18" t="str">
        <f>IF($K263="","",IFERROR(VLOOKUP(--SUBSTITUTE(SUBSTITUTE(TRIM($K263),"-","")," ",""),마스터시트!$A$2:$H$1946,7,FALSE),""))</f>
        <v/>
      </c>
    </row>
    <row r="264" spans="13:18" x14ac:dyDescent="0.3">
      <c r="M264" s="18" t="str">
        <f>IF($K264="","",IFERROR(VLOOKUP(--SUBSTITUTE(SUBSTITUTE(TRIM($K264),"-","")," ",""),마스터시트!$A$2:$H$1946,2,FALSE),"미등록"))</f>
        <v/>
      </c>
      <c r="N264" s="53" t="str">
        <f>IF($K264="","",IFERROR(VLOOKUP(--SUBSTITUTE(SUBSTITUTE(TRIM($K264),"-","")," ",""),마스터시트!$A$2:$H$1946,3,FALSE),"미등록"))</f>
        <v/>
      </c>
      <c r="O264" s="18" t="str">
        <f>IF($K264="","",IFERROR(VLOOKUP(--SUBSTITUTE(SUBSTITUTE(TRIM($K264),"-","")," ",""),마스터시트!$A$2:$H$1946,4,FALSE),""))</f>
        <v/>
      </c>
      <c r="P264" s="18" t="str">
        <f>IF($K264="","",IFERROR(VLOOKUP(--SUBSTITUTE(SUBSTITUTE(TRIM($K264),"-","")," ",""),마스터시트!$A$2:$H$1946,5,FALSE),""))</f>
        <v/>
      </c>
      <c r="Q264" s="18" t="str">
        <f>IF($K264="","",IFERROR(VLOOKUP(--SUBSTITUTE(SUBSTITUTE(TRIM($K264),"-","")," ",""),마스터시트!$A$2:$H$1946,6,FALSE),""))</f>
        <v/>
      </c>
      <c r="R264" s="18" t="str">
        <f>IF($K264="","",IFERROR(VLOOKUP(--SUBSTITUTE(SUBSTITUTE(TRIM($K264),"-","")," ",""),마스터시트!$A$2:$H$1946,7,FALSE),""))</f>
        <v/>
      </c>
    </row>
    <row r="265" spans="13:18" x14ac:dyDescent="0.3">
      <c r="M265" s="18" t="str">
        <f>IF($K265="","",IFERROR(VLOOKUP(--SUBSTITUTE(SUBSTITUTE(TRIM($K265),"-","")," ",""),마스터시트!$A$2:$H$1946,2,FALSE),"미등록"))</f>
        <v/>
      </c>
      <c r="N265" s="53" t="str">
        <f>IF($K265="","",IFERROR(VLOOKUP(--SUBSTITUTE(SUBSTITUTE(TRIM($K265),"-","")," ",""),마스터시트!$A$2:$H$1946,3,FALSE),"미등록"))</f>
        <v/>
      </c>
      <c r="O265" s="18" t="str">
        <f>IF($K265="","",IFERROR(VLOOKUP(--SUBSTITUTE(SUBSTITUTE(TRIM($K265),"-","")," ",""),마스터시트!$A$2:$H$1946,4,FALSE),""))</f>
        <v/>
      </c>
      <c r="P265" s="18" t="str">
        <f>IF($K265="","",IFERROR(VLOOKUP(--SUBSTITUTE(SUBSTITUTE(TRIM($K265),"-","")," ",""),마스터시트!$A$2:$H$1946,5,FALSE),""))</f>
        <v/>
      </c>
      <c r="Q265" s="18" t="str">
        <f>IF($K265="","",IFERROR(VLOOKUP(--SUBSTITUTE(SUBSTITUTE(TRIM($K265),"-","")," ",""),마스터시트!$A$2:$H$1946,6,FALSE),""))</f>
        <v/>
      </c>
      <c r="R265" s="18" t="str">
        <f>IF($K265="","",IFERROR(VLOOKUP(--SUBSTITUTE(SUBSTITUTE(TRIM($K265),"-","")," ",""),마스터시트!$A$2:$H$1946,7,FALSE),""))</f>
        <v/>
      </c>
    </row>
    <row r="266" spans="13:18" x14ac:dyDescent="0.3">
      <c r="M266" s="18" t="str">
        <f>IF($K266="","",IFERROR(VLOOKUP(--SUBSTITUTE(SUBSTITUTE(TRIM($K266),"-","")," ",""),마스터시트!$A$2:$H$1946,2,FALSE),"미등록"))</f>
        <v/>
      </c>
      <c r="N266" s="53" t="str">
        <f>IF($K266="","",IFERROR(VLOOKUP(--SUBSTITUTE(SUBSTITUTE(TRIM($K266),"-","")," ",""),마스터시트!$A$2:$H$1946,3,FALSE),"미등록"))</f>
        <v/>
      </c>
      <c r="O266" s="18" t="str">
        <f>IF($K266="","",IFERROR(VLOOKUP(--SUBSTITUTE(SUBSTITUTE(TRIM($K266),"-","")," ",""),마스터시트!$A$2:$H$1946,4,FALSE),""))</f>
        <v/>
      </c>
      <c r="P266" s="18" t="str">
        <f>IF($K266="","",IFERROR(VLOOKUP(--SUBSTITUTE(SUBSTITUTE(TRIM($K266),"-","")," ",""),마스터시트!$A$2:$H$1946,5,FALSE),""))</f>
        <v/>
      </c>
      <c r="Q266" s="18" t="str">
        <f>IF($K266="","",IFERROR(VLOOKUP(--SUBSTITUTE(SUBSTITUTE(TRIM($K266),"-","")," ",""),마스터시트!$A$2:$H$1946,6,FALSE),""))</f>
        <v/>
      </c>
      <c r="R266" s="18" t="str">
        <f>IF($K266="","",IFERROR(VLOOKUP(--SUBSTITUTE(SUBSTITUTE(TRIM($K266),"-","")," ",""),마스터시트!$A$2:$H$1946,7,FALSE),""))</f>
        <v/>
      </c>
    </row>
    <row r="267" spans="13:18" x14ac:dyDescent="0.3">
      <c r="M267" s="18" t="str">
        <f>IF($K267="","",IFERROR(VLOOKUP(--SUBSTITUTE(SUBSTITUTE(TRIM($K267),"-","")," ",""),마스터시트!$A$2:$H$1946,2,FALSE),"미등록"))</f>
        <v/>
      </c>
      <c r="N267" s="53" t="str">
        <f>IF($K267="","",IFERROR(VLOOKUP(--SUBSTITUTE(SUBSTITUTE(TRIM($K267),"-","")," ",""),마스터시트!$A$2:$H$1946,3,FALSE),"미등록"))</f>
        <v/>
      </c>
      <c r="O267" s="18" t="str">
        <f>IF($K267="","",IFERROR(VLOOKUP(--SUBSTITUTE(SUBSTITUTE(TRIM($K267),"-","")," ",""),마스터시트!$A$2:$H$1946,4,FALSE),""))</f>
        <v/>
      </c>
      <c r="P267" s="18" t="str">
        <f>IF($K267="","",IFERROR(VLOOKUP(--SUBSTITUTE(SUBSTITUTE(TRIM($K267),"-","")," ",""),마스터시트!$A$2:$H$1946,5,FALSE),""))</f>
        <v/>
      </c>
      <c r="Q267" s="18" t="str">
        <f>IF($K267="","",IFERROR(VLOOKUP(--SUBSTITUTE(SUBSTITUTE(TRIM($K267),"-","")," ",""),마스터시트!$A$2:$H$1946,6,FALSE),""))</f>
        <v/>
      </c>
      <c r="R267" s="18" t="str">
        <f>IF($K267="","",IFERROR(VLOOKUP(--SUBSTITUTE(SUBSTITUTE(TRIM($K267),"-","")," ",""),마스터시트!$A$2:$H$1946,7,FALSE),""))</f>
        <v/>
      </c>
    </row>
    <row r="268" spans="13:18" x14ac:dyDescent="0.3">
      <c r="M268" s="18" t="str">
        <f>IF($K268="","",IFERROR(VLOOKUP(--SUBSTITUTE(SUBSTITUTE(TRIM($K268),"-","")," ",""),마스터시트!$A$2:$H$1946,2,FALSE),"미등록"))</f>
        <v/>
      </c>
      <c r="N268" s="53" t="str">
        <f>IF($K268="","",IFERROR(VLOOKUP(--SUBSTITUTE(SUBSTITUTE(TRIM($K268),"-","")," ",""),마스터시트!$A$2:$H$1946,3,FALSE),"미등록"))</f>
        <v/>
      </c>
      <c r="O268" s="18" t="str">
        <f>IF($K268="","",IFERROR(VLOOKUP(--SUBSTITUTE(SUBSTITUTE(TRIM($K268),"-","")," ",""),마스터시트!$A$2:$H$1946,4,FALSE),""))</f>
        <v/>
      </c>
      <c r="P268" s="18" t="str">
        <f>IF($K268="","",IFERROR(VLOOKUP(--SUBSTITUTE(SUBSTITUTE(TRIM($K268),"-","")," ",""),마스터시트!$A$2:$H$1946,5,FALSE),""))</f>
        <v/>
      </c>
      <c r="Q268" s="18" t="str">
        <f>IF($K268="","",IFERROR(VLOOKUP(--SUBSTITUTE(SUBSTITUTE(TRIM($K268),"-","")," ",""),마스터시트!$A$2:$H$1946,6,FALSE),""))</f>
        <v/>
      </c>
      <c r="R268" s="18" t="str">
        <f>IF($K268="","",IFERROR(VLOOKUP(--SUBSTITUTE(SUBSTITUTE(TRIM($K268),"-","")," ",""),마스터시트!$A$2:$H$1946,7,FALSE),""))</f>
        <v/>
      </c>
    </row>
    <row r="269" spans="13:18" x14ac:dyDescent="0.3">
      <c r="M269" s="18" t="str">
        <f>IF($K269="","",IFERROR(VLOOKUP(--SUBSTITUTE(SUBSTITUTE(TRIM($K269),"-","")," ",""),마스터시트!$A$2:$H$1946,2,FALSE),"미등록"))</f>
        <v/>
      </c>
      <c r="N269" s="53" t="str">
        <f>IF($K269="","",IFERROR(VLOOKUP(--SUBSTITUTE(SUBSTITUTE(TRIM($K269),"-","")," ",""),마스터시트!$A$2:$H$1946,3,FALSE),"미등록"))</f>
        <v/>
      </c>
      <c r="O269" s="18" t="str">
        <f>IF($K269="","",IFERROR(VLOOKUP(--SUBSTITUTE(SUBSTITUTE(TRIM($K269),"-","")," ",""),마스터시트!$A$2:$H$1946,4,FALSE),""))</f>
        <v/>
      </c>
      <c r="P269" s="18" t="str">
        <f>IF($K269="","",IFERROR(VLOOKUP(--SUBSTITUTE(SUBSTITUTE(TRIM($K269),"-","")," ",""),마스터시트!$A$2:$H$1946,5,FALSE),""))</f>
        <v/>
      </c>
      <c r="Q269" s="18" t="str">
        <f>IF($K269="","",IFERROR(VLOOKUP(--SUBSTITUTE(SUBSTITUTE(TRIM($K269),"-","")," ",""),마스터시트!$A$2:$H$1946,6,FALSE),""))</f>
        <v/>
      </c>
      <c r="R269" s="18" t="str">
        <f>IF($K269="","",IFERROR(VLOOKUP(--SUBSTITUTE(SUBSTITUTE(TRIM($K269),"-","")," ",""),마스터시트!$A$2:$H$1946,7,FALSE),""))</f>
        <v/>
      </c>
    </row>
    <row r="270" spans="13:18" x14ac:dyDescent="0.3">
      <c r="M270" s="18" t="str">
        <f>IF($K270="","",IFERROR(VLOOKUP(--SUBSTITUTE(SUBSTITUTE(TRIM($K270),"-","")," ",""),마스터시트!$A$2:$H$1946,2,FALSE),"미등록"))</f>
        <v/>
      </c>
      <c r="N270" s="53" t="str">
        <f>IF($K270="","",IFERROR(VLOOKUP(--SUBSTITUTE(SUBSTITUTE(TRIM($K270),"-","")," ",""),마스터시트!$A$2:$H$1946,3,FALSE),"미등록"))</f>
        <v/>
      </c>
      <c r="O270" s="18" t="str">
        <f>IF($K270="","",IFERROR(VLOOKUP(--SUBSTITUTE(SUBSTITUTE(TRIM($K270),"-","")," ",""),마스터시트!$A$2:$H$1946,4,FALSE),""))</f>
        <v/>
      </c>
      <c r="P270" s="18" t="str">
        <f>IF($K270="","",IFERROR(VLOOKUP(--SUBSTITUTE(SUBSTITUTE(TRIM($K270),"-","")," ",""),마스터시트!$A$2:$H$1946,5,FALSE),""))</f>
        <v/>
      </c>
      <c r="Q270" s="18" t="str">
        <f>IF($K270="","",IFERROR(VLOOKUP(--SUBSTITUTE(SUBSTITUTE(TRIM($K270),"-","")," ",""),마스터시트!$A$2:$H$1946,6,FALSE),""))</f>
        <v/>
      </c>
      <c r="R270" s="18" t="str">
        <f>IF($K270="","",IFERROR(VLOOKUP(--SUBSTITUTE(SUBSTITUTE(TRIM($K270),"-","")," ",""),마스터시트!$A$2:$H$1946,7,FALSE),""))</f>
        <v/>
      </c>
    </row>
    <row r="271" spans="13:18" x14ac:dyDescent="0.3">
      <c r="M271" s="18" t="str">
        <f>IF($K271="","",IFERROR(VLOOKUP(--SUBSTITUTE(SUBSTITUTE(TRIM($K271),"-","")," ",""),마스터시트!$A$2:$H$1946,2,FALSE),"미등록"))</f>
        <v/>
      </c>
      <c r="N271" s="53" t="str">
        <f>IF($K271="","",IFERROR(VLOOKUP(--SUBSTITUTE(SUBSTITUTE(TRIM($K271),"-","")," ",""),마스터시트!$A$2:$H$1946,3,FALSE),"미등록"))</f>
        <v/>
      </c>
      <c r="O271" s="18" t="str">
        <f>IF($K271="","",IFERROR(VLOOKUP(--SUBSTITUTE(SUBSTITUTE(TRIM($K271),"-","")," ",""),마스터시트!$A$2:$H$1946,4,FALSE),""))</f>
        <v/>
      </c>
      <c r="P271" s="18" t="str">
        <f>IF($K271="","",IFERROR(VLOOKUP(--SUBSTITUTE(SUBSTITUTE(TRIM($K271),"-","")," ",""),마스터시트!$A$2:$H$1946,5,FALSE),""))</f>
        <v/>
      </c>
      <c r="Q271" s="18" t="str">
        <f>IF($K271="","",IFERROR(VLOOKUP(--SUBSTITUTE(SUBSTITUTE(TRIM($K271),"-","")," ",""),마스터시트!$A$2:$H$1946,6,FALSE),""))</f>
        <v/>
      </c>
      <c r="R271" s="18" t="str">
        <f>IF($K271="","",IFERROR(VLOOKUP(--SUBSTITUTE(SUBSTITUTE(TRIM($K271),"-","")," ",""),마스터시트!$A$2:$H$1946,7,FALSE),""))</f>
        <v/>
      </c>
    </row>
    <row r="272" spans="13:18" x14ac:dyDescent="0.3">
      <c r="M272" s="18" t="str">
        <f>IF($K272="","",IFERROR(VLOOKUP(--SUBSTITUTE(SUBSTITUTE(TRIM($K272),"-","")," ",""),마스터시트!$A$2:$H$1946,2,FALSE),"미등록"))</f>
        <v/>
      </c>
      <c r="N272" s="53" t="str">
        <f>IF($K272="","",IFERROR(VLOOKUP(--SUBSTITUTE(SUBSTITUTE(TRIM($K272),"-","")," ",""),마스터시트!$A$2:$H$1946,3,FALSE),"미등록"))</f>
        <v/>
      </c>
      <c r="O272" s="18" t="str">
        <f>IF($K272="","",IFERROR(VLOOKUP(--SUBSTITUTE(SUBSTITUTE(TRIM($K272),"-","")," ",""),마스터시트!$A$2:$H$1946,4,FALSE),""))</f>
        <v/>
      </c>
      <c r="P272" s="18" t="str">
        <f>IF($K272="","",IFERROR(VLOOKUP(--SUBSTITUTE(SUBSTITUTE(TRIM($K272),"-","")," ",""),마스터시트!$A$2:$H$1946,5,FALSE),""))</f>
        <v/>
      </c>
      <c r="Q272" s="18" t="str">
        <f>IF($K272="","",IFERROR(VLOOKUP(--SUBSTITUTE(SUBSTITUTE(TRIM($K272),"-","")," ",""),마스터시트!$A$2:$H$1946,6,FALSE),""))</f>
        <v/>
      </c>
      <c r="R272" s="18" t="str">
        <f>IF($K272="","",IFERROR(VLOOKUP(--SUBSTITUTE(SUBSTITUTE(TRIM($K272),"-","")," ",""),마스터시트!$A$2:$H$1946,7,FALSE),""))</f>
        <v/>
      </c>
    </row>
    <row r="273" spans="13:18" x14ac:dyDescent="0.3">
      <c r="M273" s="18" t="str">
        <f>IF($K273="","",IFERROR(VLOOKUP(--SUBSTITUTE(SUBSTITUTE(TRIM($K273),"-","")," ",""),마스터시트!$A$2:$H$1946,2,FALSE),"미등록"))</f>
        <v/>
      </c>
      <c r="N273" s="53" t="str">
        <f>IF($K273="","",IFERROR(VLOOKUP(--SUBSTITUTE(SUBSTITUTE(TRIM($K273),"-","")," ",""),마스터시트!$A$2:$H$1946,3,FALSE),"미등록"))</f>
        <v/>
      </c>
      <c r="O273" s="18" t="str">
        <f>IF($K273="","",IFERROR(VLOOKUP(--SUBSTITUTE(SUBSTITUTE(TRIM($K273),"-","")," ",""),마스터시트!$A$2:$H$1946,4,FALSE),""))</f>
        <v/>
      </c>
      <c r="P273" s="18" t="str">
        <f>IF($K273="","",IFERROR(VLOOKUP(--SUBSTITUTE(SUBSTITUTE(TRIM($K273),"-","")," ",""),마스터시트!$A$2:$H$1946,5,FALSE),""))</f>
        <v/>
      </c>
      <c r="Q273" s="18" t="str">
        <f>IF($K273="","",IFERROR(VLOOKUP(--SUBSTITUTE(SUBSTITUTE(TRIM($K273),"-","")," ",""),마스터시트!$A$2:$H$1946,6,FALSE),""))</f>
        <v/>
      </c>
      <c r="R273" s="18" t="str">
        <f>IF($K273="","",IFERROR(VLOOKUP(--SUBSTITUTE(SUBSTITUTE(TRIM($K273),"-","")," ",""),마스터시트!$A$2:$H$1946,7,FALSE),""))</f>
        <v/>
      </c>
    </row>
    <row r="274" spans="13:18" x14ac:dyDescent="0.3">
      <c r="M274" s="18" t="str">
        <f>IF($K274="","",IFERROR(VLOOKUP(--SUBSTITUTE(SUBSTITUTE(TRIM($K274),"-","")," ",""),마스터시트!$A$2:$H$1946,2,FALSE),"미등록"))</f>
        <v/>
      </c>
      <c r="N274" s="53" t="str">
        <f>IF($K274="","",IFERROR(VLOOKUP(--SUBSTITUTE(SUBSTITUTE(TRIM($K274),"-","")," ",""),마스터시트!$A$2:$H$1946,3,FALSE),"미등록"))</f>
        <v/>
      </c>
      <c r="O274" s="18" t="str">
        <f>IF($K274="","",IFERROR(VLOOKUP(--SUBSTITUTE(SUBSTITUTE(TRIM($K274),"-","")," ",""),마스터시트!$A$2:$H$1946,4,FALSE),""))</f>
        <v/>
      </c>
      <c r="P274" s="18" t="str">
        <f>IF($K274="","",IFERROR(VLOOKUP(--SUBSTITUTE(SUBSTITUTE(TRIM($K274),"-","")," ",""),마스터시트!$A$2:$H$1946,5,FALSE),""))</f>
        <v/>
      </c>
      <c r="Q274" s="18" t="str">
        <f>IF($K274="","",IFERROR(VLOOKUP(--SUBSTITUTE(SUBSTITUTE(TRIM($K274),"-","")," ",""),마스터시트!$A$2:$H$1946,6,FALSE),""))</f>
        <v/>
      </c>
      <c r="R274" s="18" t="str">
        <f>IF($K274="","",IFERROR(VLOOKUP(--SUBSTITUTE(SUBSTITUTE(TRIM($K274),"-","")," ",""),마스터시트!$A$2:$H$1946,7,FALSE),""))</f>
        <v/>
      </c>
    </row>
    <row r="275" spans="13:18" x14ac:dyDescent="0.3">
      <c r="M275" s="18" t="str">
        <f>IF($K275="","",IFERROR(VLOOKUP(--SUBSTITUTE(SUBSTITUTE(TRIM($K275),"-","")," ",""),마스터시트!$A$2:$H$1946,2,FALSE),"미등록"))</f>
        <v/>
      </c>
      <c r="N275" s="53" t="str">
        <f>IF($K275="","",IFERROR(VLOOKUP(--SUBSTITUTE(SUBSTITUTE(TRIM($K275),"-","")," ",""),마스터시트!$A$2:$H$1946,3,FALSE),"미등록"))</f>
        <v/>
      </c>
      <c r="O275" s="18" t="str">
        <f>IF($K275="","",IFERROR(VLOOKUP(--SUBSTITUTE(SUBSTITUTE(TRIM($K275),"-","")," ",""),마스터시트!$A$2:$H$1946,4,FALSE),""))</f>
        <v/>
      </c>
      <c r="P275" s="18" t="str">
        <f>IF($K275="","",IFERROR(VLOOKUP(--SUBSTITUTE(SUBSTITUTE(TRIM($K275),"-","")," ",""),마스터시트!$A$2:$H$1946,5,FALSE),""))</f>
        <v/>
      </c>
      <c r="Q275" s="18" t="str">
        <f>IF($K275="","",IFERROR(VLOOKUP(--SUBSTITUTE(SUBSTITUTE(TRIM($K275),"-","")," ",""),마스터시트!$A$2:$H$1946,6,FALSE),""))</f>
        <v/>
      </c>
      <c r="R275" s="18" t="str">
        <f>IF($K275="","",IFERROR(VLOOKUP(--SUBSTITUTE(SUBSTITUTE(TRIM($K275),"-","")," ",""),마스터시트!$A$2:$H$1946,7,FALSE),""))</f>
        <v/>
      </c>
    </row>
    <row r="276" spans="13:18" x14ac:dyDescent="0.3">
      <c r="M276" s="18" t="str">
        <f>IF($K276="","",IFERROR(VLOOKUP(--SUBSTITUTE(SUBSTITUTE(TRIM($K276),"-","")," ",""),마스터시트!$A$2:$H$1946,2,FALSE),"미등록"))</f>
        <v/>
      </c>
      <c r="N276" s="53" t="str">
        <f>IF($K276="","",IFERROR(VLOOKUP(--SUBSTITUTE(SUBSTITUTE(TRIM($K276),"-","")," ",""),마스터시트!$A$2:$H$1946,3,FALSE),"미등록"))</f>
        <v/>
      </c>
      <c r="O276" s="18" t="str">
        <f>IF($K276="","",IFERROR(VLOOKUP(--SUBSTITUTE(SUBSTITUTE(TRIM($K276),"-","")," ",""),마스터시트!$A$2:$H$1946,4,FALSE),""))</f>
        <v/>
      </c>
      <c r="P276" s="18" t="str">
        <f>IF($K276="","",IFERROR(VLOOKUP(--SUBSTITUTE(SUBSTITUTE(TRIM($K276),"-","")," ",""),마스터시트!$A$2:$H$1946,5,FALSE),""))</f>
        <v/>
      </c>
      <c r="Q276" s="18" t="str">
        <f>IF($K276="","",IFERROR(VLOOKUP(--SUBSTITUTE(SUBSTITUTE(TRIM($K276),"-","")," ",""),마스터시트!$A$2:$H$1946,6,FALSE),""))</f>
        <v/>
      </c>
      <c r="R276" s="18" t="str">
        <f>IF($K276="","",IFERROR(VLOOKUP(--SUBSTITUTE(SUBSTITUTE(TRIM($K276),"-","")," ",""),마스터시트!$A$2:$H$1946,7,FALSE),""))</f>
        <v/>
      </c>
    </row>
    <row r="277" spans="13:18" x14ac:dyDescent="0.3">
      <c r="M277" s="18" t="str">
        <f>IF($K277="","",IFERROR(VLOOKUP(--SUBSTITUTE(SUBSTITUTE(TRIM($K277),"-","")," ",""),마스터시트!$A$2:$H$1946,2,FALSE),"미등록"))</f>
        <v/>
      </c>
      <c r="N277" s="53" t="str">
        <f>IF($K277="","",IFERROR(VLOOKUP(--SUBSTITUTE(SUBSTITUTE(TRIM($K277),"-","")," ",""),마스터시트!$A$2:$H$1946,3,FALSE),"미등록"))</f>
        <v/>
      </c>
      <c r="O277" s="18" t="str">
        <f>IF($K277="","",IFERROR(VLOOKUP(--SUBSTITUTE(SUBSTITUTE(TRIM($K277),"-","")," ",""),마스터시트!$A$2:$H$1946,4,FALSE),""))</f>
        <v/>
      </c>
      <c r="P277" s="18" t="str">
        <f>IF($K277="","",IFERROR(VLOOKUP(--SUBSTITUTE(SUBSTITUTE(TRIM($K277),"-","")," ",""),마스터시트!$A$2:$H$1946,5,FALSE),""))</f>
        <v/>
      </c>
      <c r="Q277" s="18" t="str">
        <f>IF($K277="","",IFERROR(VLOOKUP(--SUBSTITUTE(SUBSTITUTE(TRIM($K277),"-","")," ",""),마스터시트!$A$2:$H$1946,6,FALSE),""))</f>
        <v/>
      </c>
      <c r="R277" s="18" t="str">
        <f>IF($K277="","",IFERROR(VLOOKUP(--SUBSTITUTE(SUBSTITUTE(TRIM($K277),"-","")," ",""),마스터시트!$A$2:$H$1946,7,FALSE),""))</f>
        <v/>
      </c>
    </row>
    <row r="278" spans="13:18" x14ac:dyDescent="0.3">
      <c r="M278" s="18" t="str">
        <f>IF($K278="","",IFERROR(VLOOKUP(--SUBSTITUTE(SUBSTITUTE(TRIM($K278),"-","")," ",""),마스터시트!$A$2:$H$1946,2,FALSE),"미등록"))</f>
        <v/>
      </c>
      <c r="N278" s="53" t="str">
        <f>IF($K278="","",IFERROR(VLOOKUP(--SUBSTITUTE(SUBSTITUTE(TRIM($K278),"-","")," ",""),마스터시트!$A$2:$H$1946,3,FALSE),"미등록"))</f>
        <v/>
      </c>
      <c r="O278" s="18" t="str">
        <f>IF($K278="","",IFERROR(VLOOKUP(--SUBSTITUTE(SUBSTITUTE(TRIM($K278),"-","")," ",""),마스터시트!$A$2:$H$1946,4,FALSE),""))</f>
        <v/>
      </c>
      <c r="P278" s="18" t="str">
        <f>IF($K278="","",IFERROR(VLOOKUP(--SUBSTITUTE(SUBSTITUTE(TRIM($K278),"-","")," ",""),마스터시트!$A$2:$H$1946,5,FALSE),""))</f>
        <v/>
      </c>
      <c r="Q278" s="18" t="str">
        <f>IF($K278="","",IFERROR(VLOOKUP(--SUBSTITUTE(SUBSTITUTE(TRIM($K278),"-","")," ",""),마스터시트!$A$2:$H$1946,6,FALSE),""))</f>
        <v/>
      </c>
      <c r="R278" s="18" t="str">
        <f>IF($K278="","",IFERROR(VLOOKUP(--SUBSTITUTE(SUBSTITUTE(TRIM($K278),"-","")," ",""),마스터시트!$A$2:$H$1946,7,FALSE),""))</f>
        <v/>
      </c>
    </row>
    <row r="279" spans="13:18" x14ac:dyDescent="0.3">
      <c r="M279" s="18" t="str">
        <f>IF($K279="","",IFERROR(VLOOKUP(--SUBSTITUTE(SUBSTITUTE(TRIM($K279),"-","")," ",""),마스터시트!$A$2:$H$1946,2,FALSE),"미등록"))</f>
        <v/>
      </c>
      <c r="N279" s="53" t="str">
        <f>IF($K279="","",IFERROR(VLOOKUP(--SUBSTITUTE(SUBSTITUTE(TRIM($K279),"-","")," ",""),마스터시트!$A$2:$H$1946,3,FALSE),"미등록"))</f>
        <v/>
      </c>
      <c r="O279" s="18" t="str">
        <f>IF($K279="","",IFERROR(VLOOKUP(--SUBSTITUTE(SUBSTITUTE(TRIM($K279),"-","")," ",""),마스터시트!$A$2:$H$1946,4,FALSE),""))</f>
        <v/>
      </c>
      <c r="P279" s="18" t="str">
        <f>IF($K279="","",IFERROR(VLOOKUP(--SUBSTITUTE(SUBSTITUTE(TRIM($K279),"-","")," ",""),마스터시트!$A$2:$H$1946,5,FALSE),""))</f>
        <v/>
      </c>
      <c r="Q279" s="18" t="str">
        <f>IF($K279="","",IFERROR(VLOOKUP(--SUBSTITUTE(SUBSTITUTE(TRIM($K279),"-","")," ",""),마스터시트!$A$2:$H$1946,6,FALSE),""))</f>
        <v/>
      </c>
      <c r="R279" s="18" t="str">
        <f>IF($K279="","",IFERROR(VLOOKUP(--SUBSTITUTE(SUBSTITUTE(TRIM($K279),"-","")," ",""),마스터시트!$A$2:$H$1946,7,FALSE),""))</f>
        <v/>
      </c>
    </row>
    <row r="280" spans="13:18" x14ac:dyDescent="0.3">
      <c r="M280" s="18" t="str">
        <f>IF($K280="","",IFERROR(VLOOKUP(--SUBSTITUTE(SUBSTITUTE(TRIM($K280),"-","")," ",""),마스터시트!$A$2:$H$1946,2,FALSE),"미등록"))</f>
        <v/>
      </c>
      <c r="N280" s="53" t="str">
        <f>IF($K280="","",IFERROR(VLOOKUP(--SUBSTITUTE(SUBSTITUTE(TRIM($K280),"-","")," ",""),마스터시트!$A$2:$H$1946,3,FALSE),"미등록"))</f>
        <v/>
      </c>
      <c r="O280" s="18" t="str">
        <f>IF($K280="","",IFERROR(VLOOKUP(--SUBSTITUTE(SUBSTITUTE(TRIM($K280),"-","")," ",""),마스터시트!$A$2:$H$1946,4,FALSE),""))</f>
        <v/>
      </c>
      <c r="P280" s="18" t="str">
        <f>IF($K280="","",IFERROR(VLOOKUP(--SUBSTITUTE(SUBSTITUTE(TRIM($K280),"-","")," ",""),마스터시트!$A$2:$H$1946,5,FALSE),""))</f>
        <v/>
      </c>
      <c r="Q280" s="18" t="str">
        <f>IF($K280="","",IFERROR(VLOOKUP(--SUBSTITUTE(SUBSTITUTE(TRIM($K280),"-","")," ",""),마스터시트!$A$2:$H$1946,6,FALSE),""))</f>
        <v/>
      </c>
      <c r="R280" s="18" t="str">
        <f>IF($K280="","",IFERROR(VLOOKUP(--SUBSTITUTE(SUBSTITUTE(TRIM($K280),"-","")," ",""),마스터시트!$A$2:$H$1946,7,FALSE),""))</f>
        <v/>
      </c>
    </row>
    <row r="281" spans="13:18" x14ac:dyDescent="0.3">
      <c r="M281" s="18" t="str">
        <f>IF($K281="","",IFERROR(VLOOKUP(--SUBSTITUTE(SUBSTITUTE(TRIM($K281),"-","")," ",""),마스터시트!$A$2:$H$1946,2,FALSE),"미등록"))</f>
        <v/>
      </c>
      <c r="N281" s="53" t="str">
        <f>IF($K281="","",IFERROR(VLOOKUP(--SUBSTITUTE(SUBSTITUTE(TRIM($K281),"-","")," ",""),마스터시트!$A$2:$H$1946,3,FALSE),"미등록"))</f>
        <v/>
      </c>
      <c r="O281" s="18" t="str">
        <f>IF($K281="","",IFERROR(VLOOKUP(--SUBSTITUTE(SUBSTITUTE(TRIM($K281),"-","")," ",""),마스터시트!$A$2:$H$1946,4,FALSE),""))</f>
        <v/>
      </c>
      <c r="P281" s="18" t="str">
        <f>IF($K281="","",IFERROR(VLOOKUP(--SUBSTITUTE(SUBSTITUTE(TRIM($K281),"-","")," ",""),마스터시트!$A$2:$H$1946,5,FALSE),""))</f>
        <v/>
      </c>
      <c r="Q281" s="18" t="str">
        <f>IF($K281="","",IFERROR(VLOOKUP(--SUBSTITUTE(SUBSTITUTE(TRIM($K281),"-","")," ",""),마스터시트!$A$2:$H$1946,6,FALSE),""))</f>
        <v/>
      </c>
      <c r="R281" s="18" t="str">
        <f>IF($K281="","",IFERROR(VLOOKUP(--SUBSTITUTE(SUBSTITUTE(TRIM($K281),"-","")," ",""),마스터시트!$A$2:$H$1946,7,FALSE),""))</f>
        <v/>
      </c>
    </row>
    <row r="282" spans="13:18" x14ac:dyDescent="0.3">
      <c r="M282" s="18" t="str">
        <f>IF($K282="","",IFERROR(VLOOKUP(--SUBSTITUTE(SUBSTITUTE(TRIM($K282),"-","")," ",""),마스터시트!$A$2:$H$1946,2,FALSE),"미등록"))</f>
        <v/>
      </c>
      <c r="N282" s="53" t="str">
        <f>IF($K282="","",IFERROR(VLOOKUP(--SUBSTITUTE(SUBSTITUTE(TRIM($K282),"-","")," ",""),마스터시트!$A$2:$H$1946,3,FALSE),"미등록"))</f>
        <v/>
      </c>
      <c r="O282" s="18" t="str">
        <f>IF($K282="","",IFERROR(VLOOKUP(--SUBSTITUTE(SUBSTITUTE(TRIM($K282),"-","")," ",""),마스터시트!$A$2:$H$1946,4,FALSE),""))</f>
        <v/>
      </c>
      <c r="P282" s="18" t="str">
        <f>IF($K282="","",IFERROR(VLOOKUP(--SUBSTITUTE(SUBSTITUTE(TRIM($K282),"-","")," ",""),마스터시트!$A$2:$H$1946,5,FALSE),""))</f>
        <v/>
      </c>
      <c r="Q282" s="18" t="str">
        <f>IF($K282="","",IFERROR(VLOOKUP(--SUBSTITUTE(SUBSTITUTE(TRIM($K282),"-","")," ",""),마스터시트!$A$2:$H$1946,6,FALSE),""))</f>
        <v/>
      </c>
      <c r="R282" s="18" t="str">
        <f>IF($K282="","",IFERROR(VLOOKUP(--SUBSTITUTE(SUBSTITUTE(TRIM($K282),"-","")," ",""),마스터시트!$A$2:$H$1946,7,FALSE),""))</f>
        <v/>
      </c>
    </row>
    <row r="283" spans="13:18" x14ac:dyDescent="0.3">
      <c r="M283" s="18" t="str">
        <f>IF($K283="","",IFERROR(VLOOKUP(--SUBSTITUTE(SUBSTITUTE(TRIM($K283),"-","")," ",""),마스터시트!$A$2:$H$1946,2,FALSE),"미등록"))</f>
        <v/>
      </c>
      <c r="N283" s="53" t="str">
        <f>IF($K283="","",IFERROR(VLOOKUP(--SUBSTITUTE(SUBSTITUTE(TRIM($K283),"-","")," ",""),마스터시트!$A$2:$H$1946,3,FALSE),"미등록"))</f>
        <v/>
      </c>
      <c r="O283" s="18" t="str">
        <f>IF($K283="","",IFERROR(VLOOKUP(--SUBSTITUTE(SUBSTITUTE(TRIM($K283),"-","")," ",""),마스터시트!$A$2:$H$1946,4,FALSE),""))</f>
        <v/>
      </c>
      <c r="P283" s="18" t="str">
        <f>IF($K283="","",IFERROR(VLOOKUP(--SUBSTITUTE(SUBSTITUTE(TRIM($K283),"-","")," ",""),마스터시트!$A$2:$H$1946,5,FALSE),""))</f>
        <v/>
      </c>
      <c r="Q283" s="18" t="str">
        <f>IF($K283="","",IFERROR(VLOOKUP(--SUBSTITUTE(SUBSTITUTE(TRIM($K283),"-","")," ",""),마스터시트!$A$2:$H$1946,6,FALSE),""))</f>
        <v/>
      </c>
      <c r="R283" s="18" t="str">
        <f>IF($K283="","",IFERROR(VLOOKUP(--SUBSTITUTE(SUBSTITUTE(TRIM($K283),"-","")," ",""),마스터시트!$A$2:$H$1946,7,FALSE),""))</f>
        <v/>
      </c>
    </row>
    <row r="284" spans="13:18" x14ac:dyDescent="0.3">
      <c r="M284" s="18" t="str">
        <f>IF($K284="","",IFERROR(VLOOKUP(--SUBSTITUTE(SUBSTITUTE(TRIM($K284),"-","")," ",""),마스터시트!$A$2:$H$1946,2,FALSE),"미등록"))</f>
        <v/>
      </c>
      <c r="N284" s="53" t="str">
        <f>IF($K284="","",IFERROR(VLOOKUP(--SUBSTITUTE(SUBSTITUTE(TRIM($K284),"-","")," ",""),마스터시트!$A$2:$H$1946,3,FALSE),"미등록"))</f>
        <v/>
      </c>
      <c r="O284" s="18" t="str">
        <f>IF($K284="","",IFERROR(VLOOKUP(--SUBSTITUTE(SUBSTITUTE(TRIM($K284),"-","")," ",""),마스터시트!$A$2:$H$1946,4,FALSE),""))</f>
        <v/>
      </c>
      <c r="P284" s="18" t="str">
        <f>IF($K284="","",IFERROR(VLOOKUP(--SUBSTITUTE(SUBSTITUTE(TRIM($K284),"-","")," ",""),마스터시트!$A$2:$H$1946,5,FALSE),""))</f>
        <v/>
      </c>
      <c r="Q284" s="18" t="str">
        <f>IF($K284="","",IFERROR(VLOOKUP(--SUBSTITUTE(SUBSTITUTE(TRIM($K284),"-","")," ",""),마스터시트!$A$2:$H$1946,6,FALSE),""))</f>
        <v/>
      </c>
      <c r="R284" s="18" t="str">
        <f>IF($K284="","",IFERROR(VLOOKUP(--SUBSTITUTE(SUBSTITUTE(TRIM($K284),"-","")," ",""),마스터시트!$A$2:$H$1946,7,FALSE),""))</f>
        <v/>
      </c>
    </row>
    <row r="285" spans="13:18" x14ac:dyDescent="0.3">
      <c r="M285" s="18" t="str">
        <f>IF($K285="","",IFERROR(VLOOKUP(--SUBSTITUTE(SUBSTITUTE(TRIM($K285),"-","")," ",""),마스터시트!$A$2:$H$1946,2,FALSE),"미등록"))</f>
        <v/>
      </c>
      <c r="N285" s="53" t="str">
        <f>IF($K285="","",IFERROR(VLOOKUP(--SUBSTITUTE(SUBSTITUTE(TRIM($K285),"-","")," ",""),마스터시트!$A$2:$H$1946,3,FALSE),"미등록"))</f>
        <v/>
      </c>
      <c r="O285" s="18" t="str">
        <f>IF($K285="","",IFERROR(VLOOKUP(--SUBSTITUTE(SUBSTITUTE(TRIM($K285),"-","")," ",""),마스터시트!$A$2:$H$1946,4,FALSE),""))</f>
        <v/>
      </c>
      <c r="P285" s="18" t="str">
        <f>IF($K285="","",IFERROR(VLOOKUP(--SUBSTITUTE(SUBSTITUTE(TRIM($K285),"-","")," ",""),마스터시트!$A$2:$H$1946,5,FALSE),""))</f>
        <v/>
      </c>
      <c r="Q285" s="18" t="str">
        <f>IF($K285="","",IFERROR(VLOOKUP(--SUBSTITUTE(SUBSTITUTE(TRIM($K285),"-","")," ",""),마스터시트!$A$2:$H$1946,6,FALSE),""))</f>
        <v/>
      </c>
      <c r="R285" s="18" t="str">
        <f>IF($K285="","",IFERROR(VLOOKUP(--SUBSTITUTE(SUBSTITUTE(TRIM($K285),"-","")," ",""),마스터시트!$A$2:$H$1946,7,FALSE),""))</f>
        <v/>
      </c>
    </row>
    <row r="286" spans="13:18" x14ac:dyDescent="0.3">
      <c r="M286" s="18" t="str">
        <f>IF($K286="","",IFERROR(VLOOKUP(--SUBSTITUTE(SUBSTITUTE(TRIM($K286),"-","")," ",""),마스터시트!$A$2:$H$1946,2,FALSE),"미등록"))</f>
        <v/>
      </c>
      <c r="N286" s="53" t="str">
        <f>IF($K286="","",IFERROR(VLOOKUP(--SUBSTITUTE(SUBSTITUTE(TRIM($K286),"-","")," ",""),마스터시트!$A$2:$H$1946,3,FALSE),"미등록"))</f>
        <v/>
      </c>
      <c r="O286" s="18" t="str">
        <f>IF($K286="","",IFERROR(VLOOKUP(--SUBSTITUTE(SUBSTITUTE(TRIM($K286),"-","")," ",""),마스터시트!$A$2:$H$1946,4,FALSE),""))</f>
        <v/>
      </c>
      <c r="P286" s="18" t="str">
        <f>IF($K286="","",IFERROR(VLOOKUP(--SUBSTITUTE(SUBSTITUTE(TRIM($K286),"-","")," ",""),마스터시트!$A$2:$H$1946,5,FALSE),""))</f>
        <v/>
      </c>
      <c r="Q286" s="18" t="str">
        <f>IF($K286="","",IFERROR(VLOOKUP(--SUBSTITUTE(SUBSTITUTE(TRIM($K286),"-","")," ",""),마스터시트!$A$2:$H$1946,6,FALSE),""))</f>
        <v/>
      </c>
      <c r="R286" s="18" t="str">
        <f>IF($K286="","",IFERROR(VLOOKUP(--SUBSTITUTE(SUBSTITUTE(TRIM($K286),"-","")," ",""),마스터시트!$A$2:$H$1946,7,FALSE),""))</f>
        <v/>
      </c>
    </row>
    <row r="287" spans="13:18" x14ac:dyDescent="0.3">
      <c r="M287" s="18" t="str">
        <f>IF($K287="","",IFERROR(VLOOKUP(--SUBSTITUTE(SUBSTITUTE(TRIM($K287),"-","")," ",""),마스터시트!$A$2:$H$1946,2,FALSE),"미등록"))</f>
        <v/>
      </c>
      <c r="N287" s="53" t="str">
        <f>IF($K287="","",IFERROR(VLOOKUP(--SUBSTITUTE(SUBSTITUTE(TRIM($K287),"-","")," ",""),마스터시트!$A$2:$H$1946,3,FALSE),"미등록"))</f>
        <v/>
      </c>
      <c r="O287" s="18" t="str">
        <f>IF($K287="","",IFERROR(VLOOKUP(--SUBSTITUTE(SUBSTITUTE(TRIM($K287),"-","")," ",""),마스터시트!$A$2:$H$1946,4,FALSE),""))</f>
        <v/>
      </c>
      <c r="P287" s="18" t="str">
        <f>IF($K287="","",IFERROR(VLOOKUP(--SUBSTITUTE(SUBSTITUTE(TRIM($K287),"-","")," ",""),마스터시트!$A$2:$H$1946,5,FALSE),""))</f>
        <v/>
      </c>
      <c r="Q287" s="18" t="str">
        <f>IF($K287="","",IFERROR(VLOOKUP(--SUBSTITUTE(SUBSTITUTE(TRIM($K287),"-","")," ",""),마스터시트!$A$2:$H$1946,6,FALSE),""))</f>
        <v/>
      </c>
      <c r="R287" s="18" t="str">
        <f>IF($K287="","",IFERROR(VLOOKUP(--SUBSTITUTE(SUBSTITUTE(TRIM($K287),"-","")," ",""),마스터시트!$A$2:$H$1946,7,FALSE),""))</f>
        <v/>
      </c>
    </row>
    <row r="288" spans="13:18" x14ac:dyDescent="0.3">
      <c r="M288" s="18" t="str">
        <f>IF($K288="","",IFERROR(VLOOKUP(--SUBSTITUTE(SUBSTITUTE(TRIM($K288),"-","")," ",""),마스터시트!$A$2:$H$1946,2,FALSE),"미등록"))</f>
        <v/>
      </c>
      <c r="N288" s="53" t="str">
        <f>IF($K288="","",IFERROR(VLOOKUP(--SUBSTITUTE(SUBSTITUTE(TRIM($K288),"-","")," ",""),마스터시트!$A$2:$H$1946,3,FALSE),"미등록"))</f>
        <v/>
      </c>
      <c r="O288" s="18" t="str">
        <f>IF($K288="","",IFERROR(VLOOKUP(--SUBSTITUTE(SUBSTITUTE(TRIM($K288),"-","")," ",""),마스터시트!$A$2:$H$1946,4,FALSE),""))</f>
        <v/>
      </c>
      <c r="P288" s="18" t="str">
        <f>IF($K288="","",IFERROR(VLOOKUP(--SUBSTITUTE(SUBSTITUTE(TRIM($K288),"-","")," ",""),마스터시트!$A$2:$H$1946,5,FALSE),""))</f>
        <v/>
      </c>
      <c r="Q288" s="18" t="str">
        <f>IF($K288="","",IFERROR(VLOOKUP(--SUBSTITUTE(SUBSTITUTE(TRIM($K288),"-","")," ",""),마스터시트!$A$2:$H$1946,6,FALSE),""))</f>
        <v/>
      </c>
      <c r="R288" s="18" t="str">
        <f>IF($K288="","",IFERROR(VLOOKUP(--SUBSTITUTE(SUBSTITUTE(TRIM($K288),"-","")," ",""),마스터시트!$A$2:$H$1946,7,FALSE),""))</f>
        <v/>
      </c>
    </row>
    <row r="289" spans="13:18" x14ac:dyDescent="0.3">
      <c r="M289" s="18" t="str">
        <f>IF($K289="","",IFERROR(VLOOKUP(--SUBSTITUTE(SUBSTITUTE(TRIM($K289),"-","")," ",""),마스터시트!$A$2:$H$1946,2,FALSE),"미등록"))</f>
        <v/>
      </c>
      <c r="N289" s="53" t="str">
        <f>IF($K289="","",IFERROR(VLOOKUP(--SUBSTITUTE(SUBSTITUTE(TRIM($K289),"-","")," ",""),마스터시트!$A$2:$H$1946,3,FALSE),"미등록"))</f>
        <v/>
      </c>
      <c r="O289" s="18" t="str">
        <f>IF($K289="","",IFERROR(VLOOKUP(--SUBSTITUTE(SUBSTITUTE(TRIM($K289),"-","")," ",""),마스터시트!$A$2:$H$1946,4,FALSE),""))</f>
        <v/>
      </c>
      <c r="P289" s="18" t="str">
        <f>IF($K289="","",IFERROR(VLOOKUP(--SUBSTITUTE(SUBSTITUTE(TRIM($K289),"-","")," ",""),마스터시트!$A$2:$H$1946,5,FALSE),""))</f>
        <v/>
      </c>
      <c r="Q289" s="18" t="str">
        <f>IF($K289="","",IFERROR(VLOOKUP(--SUBSTITUTE(SUBSTITUTE(TRIM($K289),"-","")," ",""),마스터시트!$A$2:$H$1946,6,FALSE),""))</f>
        <v/>
      </c>
      <c r="R289" s="18" t="str">
        <f>IF($K289="","",IFERROR(VLOOKUP(--SUBSTITUTE(SUBSTITUTE(TRIM($K289),"-","")," ",""),마스터시트!$A$2:$H$1946,7,FALSE),""))</f>
        <v/>
      </c>
    </row>
    <row r="290" spans="13:18" x14ac:dyDescent="0.3">
      <c r="M290" s="18" t="str">
        <f>IF($K290="","",IFERROR(VLOOKUP(--SUBSTITUTE(SUBSTITUTE(TRIM($K290),"-","")," ",""),마스터시트!$A$2:$H$1946,2,FALSE),"미등록"))</f>
        <v/>
      </c>
      <c r="N290" s="53" t="str">
        <f>IF($K290="","",IFERROR(VLOOKUP(--SUBSTITUTE(SUBSTITUTE(TRIM($K290),"-","")," ",""),마스터시트!$A$2:$H$1946,3,FALSE),"미등록"))</f>
        <v/>
      </c>
      <c r="O290" s="18" t="str">
        <f>IF($K290="","",IFERROR(VLOOKUP(--SUBSTITUTE(SUBSTITUTE(TRIM($K290),"-","")," ",""),마스터시트!$A$2:$H$1946,4,FALSE),""))</f>
        <v/>
      </c>
      <c r="P290" s="18" t="str">
        <f>IF($K290="","",IFERROR(VLOOKUP(--SUBSTITUTE(SUBSTITUTE(TRIM($K290),"-","")," ",""),마스터시트!$A$2:$H$1946,5,FALSE),""))</f>
        <v/>
      </c>
      <c r="Q290" s="18" t="str">
        <f>IF($K290="","",IFERROR(VLOOKUP(--SUBSTITUTE(SUBSTITUTE(TRIM($K290),"-","")," ",""),마스터시트!$A$2:$H$1946,6,FALSE),""))</f>
        <v/>
      </c>
      <c r="R290" s="18" t="str">
        <f>IF($K290="","",IFERROR(VLOOKUP(--SUBSTITUTE(SUBSTITUTE(TRIM($K290),"-","")," ",""),마스터시트!$A$2:$H$1946,7,FALSE),""))</f>
        <v/>
      </c>
    </row>
    <row r="291" spans="13:18" x14ac:dyDescent="0.3">
      <c r="M291" s="18" t="str">
        <f>IF($K291="","",IFERROR(VLOOKUP(--SUBSTITUTE(SUBSTITUTE(TRIM($K291),"-","")," ",""),마스터시트!$A$2:$H$1946,2,FALSE),"미등록"))</f>
        <v/>
      </c>
      <c r="N291" s="53" t="str">
        <f>IF($K291="","",IFERROR(VLOOKUP(--SUBSTITUTE(SUBSTITUTE(TRIM($K291),"-","")," ",""),마스터시트!$A$2:$H$1946,3,FALSE),"미등록"))</f>
        <v/>
      </c>
      <c r="O291" s="18" t="str">
        <f>IF($K291="","",IFERROR(VLOOKUP(--SUBSTITUTE(SUBSTITUTE(TRIM($K291),"-","")," ",""),마스터시트!$A$2:$H$1946,4,FALSE),""))</f>
        <v/>
      </c>
      <c r="P291" s="18" t="str">
        <f>IF($K291="","",IFERROR(VLOOKUP(--SUBSTITUTE(SUBSTITUTE(TRIM($K291),"-","")," ",""),마스터시트!$A$2:$H$1946,5,FALSE),""))</f>
        <v/>
      </c>
      <c r="Q291" s="18" t="str">
        <f>IF($K291="","",IFERROR(VLOOKUP(--SUBSTITUTE(SUBSTITUTE(TRIM($K291),"-","")," ",""),마스터시트!$A$2:$H$1946,6,FALSE),""))</f>
        <v/>
      </c>
      <c r="R291" s="18" t="str">
        <f>IF($K291="","",IFERROR(VLOOKUP(--SUBSTITUTE(SUBSTITUTE(TRIM($K291),"-","")," ",""),마스터시트!$A$2:$H$1946,7,FALSE),""))</f>
        <v/>
      </c>
    </row>
    <row r="292" spans="13:18" x14ac:dyDescent="0.3">
      <c r="M292" s="18" t="str">
        <f>IF($K292="","",IFERROR(VLOOKUP(--SUBSTITUTE(SUBSTITUTE(TRIM($K292),"-","")," ",""),마스터시트!$A$2:$H$1946,2,FALSE),"미등록"))</f>
        <v/>
      </c>
      <c r="N292" s="53" t="str">
        <f>IF($K292="","",IFERROR(VLOOKUP(--SUBSTITUTE(SUBSTITUTE(TRIM($K292),"-","")," ",""),마스터시트!$A$2:$H$1946,3,FALSE),"미등록"))</f>
        <v/>
      </c>
      <c r="O292" s="18" t="str">
        <f>IF($K292="","",IFERROR(VLOOKUP(--SUBSTITUTE(SUBSTITUTE(TRIM($K292),"-","")," ",""),마스터시트!$A$2:$H$1946,4,FALSE),""))</f>
        <v/>
      </c>
      <c r="P292" s="18" t="str">
        <f>IF($K292="","",IFERROR(VLOOKUP(--SUBSTITUTE(SUBSTITUTE(TRIM($K292),"-","")," ",""),마스터시트!$A$2:$H$1946,5,FALSE),""))</f>
        <v/>
      </c>
      <c r="Q292" s="18" t="str">
        <f>IF($K292="","",IFERROR(VLOOKUP(--SUBSTITUTE(SUBSTITUTE(TRIM($K292),"-","")," ",""),마스터시트!$A$2:$H$1946,6,FALSE),""))</f>
        <v/>
      </c>
      <c r="R292" s="18" t="str">
        <f>IF($K292="","",IFERROR(VLOOKUP(--SUBSTITUTE(SUBSTITUTE(TRIM($K292),"-","")," ",""),마스터시트!$A$2:$H$1946,7,FALSE),""))</f>
        <v/>
      </c>
    </row>
    <row r="293" spans="13:18" x14ac:dyDescent="0.3">
      <c r="M293" s="18" t="str">
        <f>IF($K293="","",IFERROR(VLOOKUP(--SUBSTITUTE(SUBSTITUTE(TRIM($K293),"-","")," ",""),마스터시트!$A$2:$H$1946,2,FALSE),"미등록"))</f>
        <v/>
      </c>
      <c r="N293" s="53" t="str">
        <f>IF($K293="","",IFERROR(VLOOKUP(--SUBSTITUTE(SUBSTITUTE(TRIM($K293),"-","")," ",""),마스터시트!$A$2:$H$1946,3,FALSE),"미등록"))</f>
        <v/>
      </c>
      <c r="O293" s="18" t="str">
        <f>IF($K293="","",IFERROR(VLOOKUP(--SUBSTITUTE(SUBSTITUTE(TRIM($K293),"-","")," ",""),마스터시트!$A$2:$H$1946,4,FALSE),""))</f>
        <v/>
      </c>
      <c r="P293" s="18" t="str">
        <f>IF($K293="","",IFERROR(VLOOKUP(--SUBSTITUTE(SUBSTITUTE(TRIM($K293),"-","")," ",""),마스터시트!$A$2:$H$1946,5,FALSE),""))</f>
        <v/>
      </c>
      <c r="Q293" s="18" t="str">
        <f>IF($K293="","",IFERROR(VLOOKUP(--SUBSTITUTE(SUBSTITUTE(TRIM($K293),"-","")," ",""),마스터시트!$A$2:$H$1946,6,FALSE),""))</f>
        <v/>
      </c>
      <c r="R293" s="18" t="str">
        <f>IF($K293="","",IFERROR(VLOOKUP(--SUBSTITUTE(SUBSTITUTE(TRIM($K293),"-","")," ",""),마스터시트!$A$2:$H$1946,7,FALSE),""))</f>
        <v/>
      </c>
    </row>
    <row r="294" spans="13:18" x14ac:dyDescent="0.3">
      <c r="M294" s="18" t="str">
        <f>IF($K294="","",IFERROR(VLOOKUP(--SUBSTITUTE(SUBSTITUTE(TRIM($K294),"-","")," ",""),마스터시트!$A$2:$H$1946,2,FALSE),"미등록"))</f>
        <v/>
      </c>
      <c r="N294" s="53" t="str">
        <f>IF($K294="","",IFERROR(VLOOKUP(--SUBSTITUTE(SUBSTITUTE(TRIM($K294),"-","")," ",""),마스터시트!$A$2:$H$1946,3,FALSE),"미등록"))</f>
        <v/>
      </c>
      <c r="O294" s="18" t="str">
        <f>IF($K294="","",IFERROR(VLOOKUP(--SUBSTITUTE(SUBSTITUTE(TRIM($K294),"-","")," ",""),마스터시트!$A$2:$H$1946,4,FALSE),""))</f>
        <v/>
      </c>
      <c r="P294" s="18" t="str">
        <f>IF($K294="","",IFERROR(VLOOKUP(--SUBSTITUTE(SUBSTITUTE(TRIM($K294),"-","")," ",""),마스터시트!$A$2:$H$1946,5,FALSE),""))</f>
        <v/>
      </c>
      <c r="Q294" s="18" t="str">
        <f>IF($K294="","",IFERROR(VLOOKUP(--SUBSTITUTE(SUBSTITUTE(TRIM($K294),"-","")," ",""),마스터시트!$A$2:$H$1946,6,FALSE),""))</f>
        <v/>
      </c>
      <c r="R294" s="18" t="str">
        <f>IF($K294="","",IFERROR(VLOOKUP(--SUBSTITUTE(SUBSTITUTE(TRIM($K294),"-","")," ",""),마스터시트!$A$2:$H$1946,7,FALSE),""))</f>
        <v/>
      </c>
    </row>
    <row r="295" spans="13:18" x14ac:dyDescent="0.3">
      <c r="M295" s="18" t="str">
        <f>IF($K295="","",IFERROR(VLOOKUP(--SUBSTITUTE(SUBSTITUTE(TRIM($K295),"-","")," ",""),마스터시트!$A$2:$H$1946,2,FALSE),"미등록"))</f>
        <v/>
      </c>
      <c r="N295" s="53" t="str">
        <f>IF($K295="","",IFERROR(VLOOKUP(--SUBSTITUTE(SUBSTITUTE(TRIM($K295),"-","")," ",""),마스터시트!$A$2:$H$1946,3,FALSE),"미등록"))</f>
        <v/>
      </c>
      <c r="O295" s="18" t="str">
        <f>IF($K295="","",IFERROR(VLOOKUP(--SUBSTITUTE(SUBSTITUTE(TRIM($K295),"-","")," ",""),마스터시트!$A$2:$H$1946,4,FALSE),""))</f>
        <v/>
      </c>
      <c r="P295" s="18" t="str">
        <f>IF($K295="","",IFERROR(VLOOKUP(--SUBSTITUTE(SUBSTITUTE(TRIM($K295),"-","")," ",""),마스터시트!$A$2:$H$1946,5,FALSE),""))</f>
        <v/>
      </c>
      <c r="Q295" s="18" t="str">
        <f>IF($K295="","",IFERROR(VLOOKUP(--SUBSTITUTE(SUBSTITUTE(TRIM($K295),"-","")," ",""),마스터시트!$A$2:$H$1946,6,FALSE),""))</f>
        <v/>
      </c>
      <c r="R295" s="18" t="str">
        <f>IF($K295="","",IFERROR(VLOOKUP(--SUBSTITUTE(SUBSTITUTE(TRIM($K295),"-","")," ",""),마스터시트!$A$2:$H$1946,7,FALSE),""))</f>
        <v/>
      </c>
    </row>
    <row r="296" spans="13:18" x14ac:dyDescent="0.3">
      <c r="M296" s="18" t="str">
        <f>IF($K296="","",IFERROR(VLOOKUP(--SUBSTITUTE(SUBSTITUTE(TRIM($K296),"-","")," ",""),마스터시트!$A$2:$H$1946,2,FALSE),"미등록"))</f>
        <v/>
      </c>
      <c r="N296" s="53" t="str">
        <f>IF($K296="","",IFERROR(VLOOKUP(--SUBSTITUTE(SUBSTITUTE(TRIM($K296),"-","")," ",""),마스터시트!$A$2:$H$1946,3,FALSE),"미등록"))</f>
        <v/>
      </c>
      <c r="O296" s="18" t="str">
        <f>IF($K296="","",IFERROR(VLOOKUP(--SUBSTITUTE(SUBSTITUTE(TRIM($K296),"-","")," ",""),마스터시트!$A$2:$H$1946,4,FALSE),""))</f>
        <v/>
      </c>
      <c r="P296" s="18" t="str">
        <f>IF($K296="","",IFERROR(VLOOKUP(--SUBSTITUTE(SUBSTITUTE(TRIM($K296),"-","")," ",""),마스터시트!$A$2:$H$1946,5,FALSE),""))</f>
        <v/>
      </c>
      <c r="Q296" s="18" t="str">
        <f>IF($K296="","",IFERROR(VLOOKUP(--SUBSTITUTE(SUBSTITUTE(TRIM($K296),"-","")," ",""),마스터시트!$A$2:$H$1946,6,FALSE),""))</f>
        <v/>
      </c>
      <c r="R296" s="18" t="str">
        <f>IF($K296="","",IFERROR(VLOOKUP(--SUBSTITUTE(SUBSTITUTE(TRIM($K296),"-","")," ",""),마스터시트!$A$2:$H$1946,7,FALSE),""))</f>
        <v/>
      </c>
    </row>
    <row r="297" spans="13:18" x14ac:dyDescent="0.3">
      <c r="M297" s="18" t="str">
        <f>IF($K297="","",IFERROR(VLOOKUP(--SUBSTITUTE(SUBSTITUTE(TRIM($K297),"-","")," ",""),마스터시트!$A$2:$H$1946,2,FALSE),"미등록"))</f>
        <v/>
      </c>
      <c r="N297" s="53" t="str">
        <f>IF($K297="","",IFERROR(VLOOKUP(--SUBSTITUTE(SUBSTITUTE(TRIM($K297),"-","")," ",""),마스터시트!$A$2:$H$1946,3,FALSE),"미등록"))</f>
        <v/>
      </c>
      <c r="O297" s="18" t="str">
        <f>IF($K297="","",IFERROR(VLOOKUP(--SUBSTITUTE(SUBSTITUTE(TRIM($K297),"-","")," ",""),마스터시트!$A$2:$H$1946,4,FALSE),""))</f>
        <v/>
      </c>
      <c r="P297" s="18" t="str">
        <f>IF($K297="","",IFERROR(VLOOKUP(--SUBSTITUTE(SUBSTITUTE(TRIM($K297),"-","")," ",""),마스터시트!$A$2:$H$1946,5,FALSE),""))</f>
        <v/>
      </c>
      <c r="Q297" s="18" t="str">
        <f>IF($K297="","",IFERROR(VLOOKUP(--SUBSTITUTE(SUBSTITUTE(TRIM($K297),"-","")," ",""),마스터시트!$A$2:$H$1946,6,FALSE),""))</f>
        <v/>
      </c>
      <c r="R297" s="18" t="str">
        <f>IF($K297="","",IFERROR(VLOOKUP(--SUBSTITUTE(SUBSTITUTE(TRIM($K297),"-","")," ",""),마스터시트!$A$2:$H$1946,7,FALSE),""))</f>
        <v/>
      </c>
    </row>
    <row r="298" spans="13:18" x14ac:dyDescent="0.3">
      <c r="M298" s="18" t="str">
        <f>IF($K298="","",IFERROR(VLOOKUP(--SUBSTITUTE(SUBSTITUTE(TRIM($K298),"-","")," ",""),마스터시트!$A$2:$H$1946,2,FALSE),"미등록"))</f>
        <v/>
      </c>
      <c r="N298" s="53" t="str">
        <f>IF($K298="","",IFERROR(VLOOKUP(--SUBSTITUTE(SUBSTITUTE(TRIM($K298),"-","")," ",""),마스터시트!$A$2:$H$1946,3,FALSE),"미등록"))</f>
        <v/>
      </c>
      <c r="O298" s="18" t="str">
        <f>IF($K298="","",IFERROR(VLOOKUP(--SUBSTITUTE(SUBSTITUTE(TRIM($K298),"-","")," ",""),마스터시트!$A$2:$H$1946,4,FALSE),""))</f>
        <v/>
      </c>
      <c r="P298" s="18" t="str">
        <f>IF($K298="","",IFERROR(VLOOKUP(--SUBSTITUTE(SUBSTITUTE(TRIM($K298),"-","")," ",""),마스터시트!$A$2:$H$1946,5,FALSE),""))</f>
        <v/>
      </c>
      <c r="Q298" s="18" t="str">
        <f>IF($K298="","",IFERROR(VLOOKUP(--SUBSTITUTE(SUBSTITUTE(TRIM($K298),"-","")," ",""),마스터시트!$A$2:$H$1946,6,FALSE),""))</f>
        <v/>
      </c>
      <c r="R298" s="18" t="str">
        <f>IF($K298="","",IFERROR(VLOOKUP(--SUBSTITUTE(SUBSTITUTE(TRIM($K298),"-","")," ",""),마스터시트!$A$2:$H$1946,7,FALSE),""))</f>
        <v/>
      </c>
    </row>
    <row r="299" spans="13:18" x14ac:dyDescent="0.3">
      <c r="M299" s="18" t="str">
        <f>IF($K299="","",IFERROR(VLOOKUP(--SUBSTITUTE(SUBSTITUTE(TRIM($K299),"-","")," ",""),마스터시트!$A$2:$H$1946,2,FALSE),"미등록"))</f>
        <v/>
      </c>
      <c r="N299" s="53" t="str">
        <f>IF($K299="","",IFERROR(VLOOKUP(--SUBSTITUTE(SUBSTITUTE(TRIM($K299),"-","")," ",""),마스터시트!$A$2:$H$1946,3,FALSE),"미등록"))</f>
        <v/>
      </c>
      <c r="O299" s="18" t="str">
        <f>IF($K299="","",IFERROR(VLOOKUP(--SUBSTITUTE(SUBSTITUTE(TRIM($K299),"-","")," ",""),마스터시트!$A$2:$H$1946,4,FALSE),""))</f>
        <v/>
      </c>
      <c r="P299" s="18" t="str">
        <f>IF($K299="","",IFERROR(VLOOKUP(--SUBSTITUTE(SUBSTITUTE(TRIM($K299),"-","")," ",""),마스터시트!$A$2:$H$1946,5,FALSE),""))</f>
        <v/>
      </c>
      <c r="Q299" s="18" t="str">
        <f>IF($K299="","",IFERROR(VLOOKUP(--SUBSTITUTE(SUBSTITUTE(TRIM($K299),"-","")," ",""),마스터시트!$A$2:$H$1946,6,FALSE),""))</f>
        <v/>
      </c>
      <c r="R299" s="18" t="str">
        <f>IF($K299="","",IFERROR(VLOOKUP(--SUBSTITUTE(SUBSTITUTE(TRIM($K299),"-","")," ",""),마스터시트!$A$2:$H$1946,7,FALSE),""))</f>
        <v/>
      </c>
    </row>
    <row r="300" spans="13:18" x14ac:dyDescent="0.3">
      <c r="M300" s="18" t="str">
        <f>IF($K300="","",IFERROR(VLOOKUP(--SUBSTITUTE(SUBSTITUTE(TRIM($K300),"-","")," ",""),마스터시트!$A$2:$H$1946,2,FALSE),"미등록"))</f>
        <v/>
      </c>
      <c r="N300" s="53" t="str">
        <f>IF($K300="","",IFERROR(VLOOKUP(--SUBSTITUTE(SUBSTITUTE(TRIM($K300),"-","")," ",""),마스터시트!$A$2:$H$1946,3,FALSE),"미등록"))</f>
        <v/>
      </c>
      <c r="O300" s="18" t="str">
        <f>IF($K300="","",IFERROR(VLOOKUP(--SUBSTITUTE(SUBSTITUTE(TRIM($K300),"-","")," ",""),마스터시트!$A$2:$H$1946,4,FALSE),""))</f>
        <v/>
      </c>
      <c r="P300" s="18" t="str">
        <f>IF($K300="","",IFERROR(VLOOKUP(--SUBSTITUTE(SUBSTITUTE(TRIM($K300),"-","")," ",""),마스터시트!$A$2:$H$1946,5,FALSE),""))</f>
        <v/>
      </c>
      <c r="Q300" s="18" t="str">
        <f>IF($K300="","",IFERROR(VLOOKUP(--SUBSTITUTE(SUBSTITUTE(TRIM($K300),"-","")," ",""),마스터시트!$A$2:$H$1946,6,FALSE),""))</f>
        <v/>
      </c>
      <c r="R300" s="18" t="str">
        <f>IF($K300="","",IFERROR(VLOOKUP(--SUBSTITUTE(SUBSTITUTE(TRIM($K300),"-","")," ",""),마스터시트!$A$2:$H$1946,7,FALSE),""))</f>
        <v/>
      </c>
    </row>
    <row r="301" spans="13:18" x14ac:dyDescent="0.3">
      <c r="M301" s="18" t="str">
        <f>IF($K301="","",IFERROR(VLOOKUP(--SUBSTITUTE(SUBSTITUTE(TRIM($K301),"-","")," ",""),마스터시트!$A$2:$H$1946,2,FALSE),"미등록"))</f>
        <v/>
      </c>
      <c r="N301" s="53" t="str">
        <f>IF($K301="","",IFERROR(VLOOKUP(--SUBSTITUTE(SUBSTITUTE(TRIM($K301),"-","")," ",""),마스터시트!$A$2:$H$1946,3,FALSE),"미등록"))</f>
        <v/>
      </c>
      <c r="O301" s="18" t="str">
        <f>IF($K301="","",IFERROR(VLOOKUP(--SUBSTITUTE(SUBSTITUTE(TRIM($K301),"-","")," ",""),마스터시트!$A$2:$H$1946,4,FALSE),""))</f>
        <v/>
      </c>
      <c r="P301" s="18" t="str">
        <f>IF($K301="","",IFERROR(VLOOKUP(--SUBSTITUTE(SUBSTITUTE(TRIM($K301),"-","")," ",""),마스터시트!$A$2:$H$1946,5,FALSE),""))</f>
        <v/>
      </c>
      <c r="Q301" s="18" t="str">
        <f>IF($K301="","",IFERROR(VLOOKUP(--SUBSTITUTE(SUBSTITUTE(TRIM($K301),"-","")," ",""),마스터시트!$A$2:$H$1946,6,FALSE),""))</f>
        <v/>
      </c>
      <c r="R301" s="18" t="str">
        <f>IF($K301="","",IFERROR(VLOOKUP(--SUBSTITUTE(SUBSTITUTE(TRIM($K301),"-","")," ",""),마스터시트!$A$2:$H$1946,7,FALSE),""))</f>
        <v/>
      </c>
    </row>
    <row r="302" spans="13:18" x14ac:dyDescent="0.3">
      <c r="M302" s="18" t="str">
        <f>IF($K302="","",IFERROR(VLOOKUP(--SUBSTITUTE(SUBSTITUTE(TRIM($K302),"-","")," ",""),마스터시트!$A$2:$H$1946,2,FALSE),"미등록"))</f>
        <v/>
      </c>
      <c r="N302" s="53" t="str">
        <f>IF($K302="","",IFERROR(VLOOKUP(--SUBSTITUTE(SUBSTITUTE(TRIM($K302),"-","")," ",""),마스터시트!$A$2:$H$1946,3,FALSE),"미등록"))</f>
        <v/>
      </c>
      <c r="O302" s="18" t="str">
        <f>IF($K302="","",IFERROR(VLOOKUP(--SUBSTITUTE(SUBSTITUTE(TRIM($K302),"-","")," ",""),마스터시트!$A$2:$H$1946,4,FALSE),""))</f>
        <v/>
      </c>
      <c r="P302" s="18" t="str">
        <f>IF($K302="","",IFERROR(VLOOKUP(--SUBSTITUTE(SUBSTITUTE(TRIM($K302),"-","")," ",""),마스터시트!$A$2:$H$1946,5,FALSE),""))</f>
        <v/>
      </c>
      <c r="Q302" s="18" t="str">
        <f>IF($K302="","",IFERROR(VLOOKUP(--SUBSTITUTE(SUBSTITUTE(TRIM($K302),"-","")," ",""),마스터시트!$A$2:$H$1946,6,FALSE),""))</f>
        <v/>
      </c>
      <c r="R302" s="18" t="str">
        <f>IF($K302="","",IFERROR(VLOOKUP(--SUBSTITUTE(SUBSTITUTE(TRIM($K302),"-","")," ",""),마스터시트!$A$2:$H$1946,7,FALSE),""))</f>
        <v/>
      </c>
    </row>
    <row r="303" spans="13:18" x14ac:dyDescent="0.3">
      <c r="M303" s="18" t="str">
        <f>IF($K303="","",IFERROR(VLOOKUP(--SUBSTITUTE(SUBSTITUTE(TRIM($K303),"-","")," ",""),마스터시트!$A$2:$H$1946,2,FALSE),"미등록"))</f>
        <v/>
      </c>
      <c r="N303" s="53" t="str">
        <f>IF($K303="","",IFERROR(VLOOKUP(--SUBSTITUTE(SUBSTITUTE(TRIM($K303),"-","")," ",""),마스터시트!$A$2:$H$1946,3,FALSE),"미등록"))</f>
        <v/>
      </c>
      <c r="O303" s="18" t="str">
        <f>IF($K303="","",IFERROR(VLOOKUP(--SUBSTITUTE(SUBSTITUTE(TRIM($K303),"-","")," ",""),마스터시트!$A$2:$H$1946,4,FALSE),""))</f>
        <v/>
      </c>
      <c r="P303" s="18" t="str">
        <f>IF($K303="","",IFERROR(VLOOKUP(--SUBSTITUTE(SUBSTITUTE(TRIM($K303),"-","")," ",""),마스터시트!$A$2:$H$1946,5,FALSE),""))</f>
        <v/>
      </c>
      <c r="Q303" s="18" t="str">
        <f>IF($K303="","",IFERROR(VLOOKUP(--SUBSTITUTE(SUBSTITUTE(TRIM($K303),"-","")," ",""),마스터시트!$A$2:$H$1946,6,FALSE),""))</f>
        <v/>
      </c>
      <c r="R303" s="18" t="str">
        <f>IF($K303="","",IFERROR(VLOOKUP(--SUBSTITUTE(SUBSTITUTE(TRIM($K303),"-","")," ",""),마스터시트!$A$2:$H$1946,7,FALSE),""))</f>
        <v/>
      </c>
    </row>
    <row r="304" spans="13:18" x14ac:dyDescent="0.3">
      <c r="M304" s="18" t="str">
        <f>IF($K304="","",IFERROR(VLOOKUP(--SUBSTITUTE(SUBSTITUTE(TRIM($K304),"-","")," ",""),마스터시트!$A$2:$H$1946,2,FALSE),"미등록"))</f>
        <v/>
      </c>
      <c r="N304" s="53" t="str">
        <f>IF($K304="","",IFERROR(VLOOKUP(--SUBSTITUTE(SUBSTITUTE(TRIM($K304),"-","")," ",""),마스터시트!$A$2:$H$1946,3,FALSE),"미등록"))</f>
        <v/>
      </c>
      <c r="O304" s="18" t="str">
        <f>IF($K304="","",IFERROR(VLOOKUP(--SUBSTITUTE(SUBSTITUTE(TRIM($K304),"-","")," ",""),마스터시트!$A$2:$H$1946,4,FALSE),""))</f>
        <v/>
      </c>
      <c r="P304" s="18" t="str">
        <f>IF($K304="","",IFERROR(VLOOKUP(--SUBSTITUTE(SUBSTITUTE(TRIM($K304),"-","")," ",""),마스터시트!$A$2:$H$1946,5,FALSE),""))</f>
        <v/>
      </c>
      <c r="Q304" s="18" t="str">
        <f>IF($K304="","",IFERROR(VLOOKUP(--SUBSTITUTE(SUBSTITUTE(TRIM($K304),"-","")," ",""),마스터시트!$A$2:$H$1946,6,FALSE),""))</f>
        <v/>
      </c>
      <c r="R304" s="18" t="str">
        <f>IF($K304="","",IFERROR(VLOOKUP(--SUBSTITUTE(SUBSTITUTE(TRIM($K304),"-","")," ",""),마스터시트!$A$2:$H$1946,7,FALSE),""))</f>
        <v/>
      </c>
    </row>
    <row r="305" spans="13:18" x14ac:dyDescent="0.3">
      <c r="M305" s="18" t="str">
        <f>IF($K305="","",IFERROR(VLOOKUP(--SUBSTITUTE(SUBSTITUTE(TRIM($K305),"-","")," ",""),마스터시트!$A$2:$H$1946,2,FALSE),"미등록"))</f>
        <v/>
      </c>
      <c r="N305" s="53" t="str">
        <f>IF($K305="","",IFERROR(VLOOKUP(--SUBSTITUTE(SUBSTITUTE(TRIM($K305),"-","")," ",""),마스터시트!$A$2:$H$1946,3,FALSE),"미등록"))</f>
        <v/>
      </c>
      <c r="O305" s="18" t="str">
        <f>IF($K305="","",IFERROR(VLOOKUP(--SUBSTITUTE(SUBSTITUTE(TRIM($K305),"-","")," ",""),마스터시트!$A$2:$H$1946,4,FALSE),""))</f>
        <v/>
      </c>
      <c r="P305" s="18" t="str">
        <f>IF($K305="","",IFERROR(VLOOKUP(--SUBSTITUTE(SUBSTITUTE(TRIM($K305),"-","")," ",""),마스터시트!$A$2:$H$1946,5,FALSE),""))</f>
        <v/>
      </c>
      <c r="Q305" s="18" t="str">
        <f>IF($K305="","",IFERROR(VLOOKUP(--SUBSTITUTE(SUBSTITUTE(TRIM($K305),"-","")," ",""),마스터시트!$A$2:$H$1946,6,FALSE),""))</f>
        <v/>
      </c>
      <c r="R305" s="18" t="str">
        <f>IF($K305="","",IFERROR(VLOOKUP(--SUBSTITUTE(SUBSTITUTE(TRIM($K305),"-","")," ",""),마스터시트!$A$2:$H$1946,7,FALSE),""))</f>
        <v/>
      </c>
    </row>
    <row r="306" spans="13:18" x14ac:dyDescent="0.3">
      <c r="M306" s="18" t="str">
        <f>IF($K306="","",IFERROR(VLOOKUP(--SUBSTITUTE(SUBSTITUTE(TRIM($K306),"-","")," ",""),마스터시트!$A$2:$H$1946,2,FALSE),"미등록"))</f>
        <v/>
      </c>
      <c r="N306" s="53" t="str">
        <f>IF($K306="","",IFERROR(VLOOKUP(--SUBSTITUTE(SUBSTITUTE(TRIM($K306),"-","")," ",""),마스터시트!$A$2:$H$1946,3,FALSE),"미등록"))</f>
        <v/>
      </c>
      <c r="O306" s="18" t="str">
        <f>IF($K306="","",IFERROR(VLOOKUP(--SUBSTITUTE(SUBSTITUTE(TRIM($K306),"-","")," ",""),마스터시트!$A$2:$H$1946,4,FALSE),""))</f>
        <v/>
      </c>
      <c r="P306" s="18" t="str">
        <f>IF($K306="","",IFERROR(VLOOKUP(--SUBSTITUTE(SUBSTITUTE(TRIM($K306),"-","")," ",""),마스터시트!$A$2:$H$1946,5,FALSE),""))</f>
        <v/>
      </c>
      <c r="Q306" s="18" t="str">
        <f>IF($K306="","",IFERROR(VLOOKUP(--SUBSTITUTE(SUBSTITUTE(TRIM($K306),"-","")," ",""),마스터시트!$A$2:$H$1946,6,FALSE),""))</f>
        <v/>
      </c>
      <c r="R306" s="18" t="str">
        <f>IF($K306="","",IFERROR(VLOOKUP(--SUBSTITUTE(SUBSTITUTE(TRIM($K306),"-","")," ",""),마스터시트!$A$2:$H$1946,7,FALSE),""))</f>
        <v/>
      </c>
    </row>
    <row r="307" spans="13:18" x14ac:dyDescent="0.3">
      <c r="M307" s="18" t="str">
        <f>IF($K307="","",IFERROR(VLOOKUP(--SUBSTITUTE(SUBSTITUTE(TRIM($K307),"-","")," ",""),마스터시트!$A$2:$H$1946,2,FALSE),"미등록"))</f>
        <v/>
      </c>
      <c r="N307" s="53" t="str">
        <f>IF($K307="","",IFERROR(VLOOKUP(--SUBSTITUTE(SUBSTITUTE(TRIM($K307),"-","")," ",""),마스터시트!$A$2:$H$1946,3,FALSE),"미등록"))</f>
        <v/>
      </c>
      <c r="O307" s="18" t="str">
        <f>IF($K307="","",IFERROR(VLOOKUP(--SUBSTITUTE(SUBSTITUTE(TRIM($K307),"-","")," ",""),마스터시트!$A$2:$H$1946,4,FALSE),""))</f>
        <v/>
      </c>
      <c r="P307" s="18" t="str">
        <f>IF($K307="","",IFERROR(VLOOKUP(--SUBSTITUTE(SUBSTITUTE(TRIM($K307),"-","")," ",""),마스터시트!$A$2:$H$1946,5,FALSE),""))</f>
        <v/>
      </c>
      <c r="Q307" s="18" t="str">
        <f>IF($K307="","",IFERROR(VLOOKUP(--SUBSTITUTE(SUBSTITUTE(TRIM($K307),"-","")," ",""),마스터시트!$A$2:$H$1946,6,FALSE),""))</f>
        <v/>
      </c>
      <c r="R307" s="18" t="str">
        <f>IF($K307="","",IFERROR(VLOOKUP(--SUBSTITUTE(SUBSTITUTE(TRIM($K307),"-","")," ",""),마스터시트!$A$2:$H$1946,7,FALSE),""))</f>
        <v/>
      </c>
    </row>
    <row r="308" spans="13:18" x14ac:dyDescent="0.3">
      <c r="M308" s="18" t="str">
        <f>IF($K308="","",IFERROR(VLOOKUP(--SUBSTITUTE(SUBSTITUTE(TRIM($K308),"-","")," ",""),마스터시트!$A$2:$H$1946,2,FALSE),"미등록"))</f>
        <v/>
      </c>
      <c r="N308" s="53" t="str">
        <f>IF($K308="","",IFERROR(VLOOKUP(--SUBSTITUTE(SUBSTITUTE(TRIM($K308),"-","")," ",""),마스터시트!$A$2:$H$1946,3,FALSE),"미등록"))</f>
        <v/>
      </c>
      <c r="O308" s="18" t="str">
        <f>IF($K308="","",IFERROR(VLOOKUP(--SUBSTITUTE(SUBSTITUTE(TRIM($K308),"-","")," ",""),마스터시트!$A$2:$H$1946,4,FALSE),""))</f>
        <v/>
      </c>
      <c r="P308" s="18" t="str">
        <f>IF($K308="","",IFERROR(VLOOKUP(--SUBSTITUTE(SUBSTITUTE(TRIM($K308),"-","")," ",""),마스터시트!$A$2:$H$1946,5,FALSE),""))</f>
        <v/>
      </c>
      <c r="Q308" s="18" t="str">
        <f>IF($K308="","",IFERROR(VLOOKUP(--SUBSTITUTE(SUBSTITUTE(TRIM($K308),"-","")," ",""),마스터시트!$A$2:$H$1946,6,FALSE),""))</f>
        <v/>
      </c>
      <c r="R308" s="18" t="str">
        <f>IF($K308="","",IFERROR(VLOOKUP(--SUBSTITUTE(SUBSTITUTE(TRIM($K308),"-","")," ",""),마스터시트!$A$2:$H$1946,7,FALSE),""))</f>
        <v/>
      </c>
    </row>
    <row r="309" spans="13:18" x14ac:dyDescent="0.3">
      <c r="M309" s="18" t="str">
        <f>IF($K309="","",IFERROR(VLOOKUP(--SUBSTITUTE(SUBSTITUTE(TRIM($K309),"-","")," ",""),마스터시트!$A$2:$H$1946,2,FALSE),"미등록"))</f>
        <v/>
      </c>
      <c r="N309" s="53" t="str">
        <f>IF($K309="","",IFERROR(VLOOKUP(--SUBSTITUTE(SUBSTITUTE(TRIM($K309),"-","")," ",""),마스터시트!$A$2:$H$1946,3,FALSE),"미등록"))</f>
        <v/>
      </c>
      <c r="O309" s="18" t="str">
        <f>IF($K309="","",IFERROR(VLOOKUP(--SUBSTITUTE(SUBSTITUTE(TRIM($K309),"-","")," ",""),마스터시트!$A$2:$H$1946,4,FALSE),""))</f>
        <v/>
      </c>
      <c r="P309" s="18" t="str">
        <f>IF($K309="","",IFERROR(VLOOKUP(--SUBSTITUTE(SUBSTITUTE(TRIM($K309),"-","")," ",""),마스터시트!$A$2:$H$1946,5,FALSE),""))</f>
        <v/>
      </c>
      <c r="Q309" s="18" t="str">
        <f>IF($K309="","",IFERROR(VLOOKUP(--SUBSTITUTE(SUBSTITUTE(TRIM($K309),"-","")," ",""),마스터시트!$A$2:$H$1946,6,FALSE),""))</f>
        <v/>
      </c>
      <c r="R309" s="18" t="str">
        <f>IF($K309="","",IFERROR(VLOOKUP(--SUBSTITUTE(SUBSTITUTE(TRIM($K309),"-","")," ",""),마스터시트!$A$2:$H$1946,7,FALSE),""))</f>
        <v/>
      </c>
    </row>
    <row r="310" spans="13:18" x14ac:dyDescent="0.3">
      <c r="M310" s="18" t="str">
        <f>IF($K310="","",IFERROR(VLOOKUP(--SUBSTITUTE(SUBSTITUTE(TRIM($K310),"-","")," ",""),마스터시트!$A$2:$H$1946,2,FALSE),"미등록"))</f>
        <v/>
      </c>
      <c r="N310" s="53" t="str">
        <f>IF($K310="","",IFERROR(VLOOKUP(--SUBSTITUTE(SUBSTITUTE(TRIM($K310),"-","")," ",""),마스터시트!$A$2:$H$1946,3,FALSE),"미등록"))</f>
        <v/>
      </c>
      <c r="O310" s="18" t="str">
        <f>IF($K310="","",IFERROR(VLOOKUP(--SUBSTITUTE(SUBSTITUTE(TRIM($K310),"-","")," ",""),마스터시트!$A$2:$H$1946,4,FALSE),""))</f>
        <v/>
      </c>
      <c r="P310" s="18" t="str">
        <f>IF($K310="","",IFERROR(VLOOKUP(--SUBSTITUTE(SUBSTITUTE(TRIM($K310),"-","")," ",""),마스터시트!$A$2:$H$1946,5,FALSE),""))</f>
        <v/>
      </c>
      <c r="Q310" s="18" t="str">
        <f>IF($K310="","",IFERROR(VLOOKUP(--SUBSTITUTE(SUBSTITUTE(TRIM($K310),"-","")," ",""),마스터시트!$A$2:$H$1946,6,FALSE),""))</f>
        <v/>
      </c>
      <c r="R310" s="18" t="str">
        <f>IF($K310="","",IFERROR(VLOOKUP(--SUBSTITUTE(SUBSTITUTE(TRIM($K310),"-","")," ",""),마스터시트!$A$2:$H$1946,7,FALSE),""))</f>
        <v/>
      </c>
    </row>
    <row r="311" spans="13:18" x14ac:dyDescent="0.3">
      <c r="M311" s="18" t="str">
        <f>IF($K311="","",IFERROR(VLOOKUP(--SUBSTITUTE(SUBSTITUTE(TRIM($K311),"-","")," ",""),마스터시트!$A$2:$H$1946,2,FALSE),"미등록"))</f>
        <v/>
      </c>
      <c r="N311" s="53" t="str">
        <f>IF($K311="","",IFERROR(VLOOKUP(--SUBSTITUTE(SUBSTITUTE(TRIM($K311),"-","")," ",""),마스터시트!$A$2:$H$1946,3,FALSE),"미등록"))</f>
        <v/>
      </c>
      <c r="O311" s="18" t="str">
        <f>IF($K311="","",IFERROR(VLOOKUP(--SUBSTITUTE(SUBSTITUTE(TRIM($K311),"-","")," ",""),마스터시트!$A$2:$H$1946,4,FALSE),""))</f>
        <v/>
      </c>
      <c r="P311" s="18" t="str">
        <f>IF($K311="","",IFERROR(VLOOKUP(--SUBSTITUTE(SUBSTITUTE(TRIM($K311),"-","")," ",""),마스터시트!$A$2:$H$1946,5,FALSE),""))</f>
        <v/>
      </c>
      <c r="Q311" s="18" t="str">
        <f>IF($K311="","",IFERROR(VLOOKUP(--SUBSTITUTE(SUBSTITUTE(TRIM($K311),"-","")," ",""),마스터시트!$A$2:$H$1946,6,FALSE),""))</f>
        <v/>
      </c>
      <c r="R311" s="18" t="str">
        <f>IF($K311="","",IFERROR(VLOOKUP(--SUBSTITUTE(SUBSTITUTE(TRIM($K311),"-","")," ",""),마스터시트!$A$2:$H$1946,7,FALSE),""))</f>
        <v/>
      </c>
    </row>
    <row r="312" spans="13:18" x14ac:dyDescent="0.3">
      <c r="M312" s="18" t="str">
        <f>IF($K312="","",IFERROR(VLOOKUP(--SUBSTITUTE(SUBSTITUTE(TRIM($K312),"-","")," ",""),마스터시트!$A$2:$H$1946,2,FALSE),"미등록"))</f>
        <v/>
      </c>
      <c r="N312" s="53" t="str">
        <f>IF($K312="","",IFERROR(VLOOKUP(--SUBSTITUTE(SUBSTITUTE(TRIM($K312),"-","")," ",""),마스터시트!$A$2:$H$1946,3,FALSE),"미등록"))</f>
        <v/>
      </c>
      <c r="O312" s="18" t="str">
        <f>IF($K312="","",IFERROR(VLOOKUP(--SUBSTITUTE(SUBSTITUTE(TRIM($K312),"-","")," ",""),마스터시트!$A$2:$H$1946,4,FALSE),""))</f>
        <v/>
      </c>
      <c r="P312" s="18" t="str">
        <f>IF($K312="","",IFERROR(VLOOKUP(--SUBSTITUTE(SUBSTITUTE(TRIM($K312),"-","")," ",""),마스터시트!$A$2:$H$1946,5,FALSE),""))</f>
        <v/>
      </c>
      <c r="Q312" s="18" t="str">
        <f>IF($K312="","",IFERROR(VLOOKUP(--SUBSTITUTE(SUBSTITUTE(TRIM($K312),"-","")," ",""),마스터시트!$A$2:$H$1946,6,FALSE),""))</f>
        <v/>
      </c>
      <c r="R312" s="18" t="str">
        <f>IF($K312="","",IFERROR(VLOOKUP(--SUBSTITUTE(SUBSTITUTE(TRIM($K312),"-","")," ",""),마스터시트!$A$2:$H$1946,7,FALSE),""))</f>
        <v/>
      </c>
    </row>
    <row r="313" spans="13:18" x14ac:dyDescent="0.3">
      <c r="M313" s="18" t="str">
        <f>IF($K313="","",IFERROR(VLOOKUP(--SUBSTITUTE(SUBSTITUTE(TRIM($K313),"-","")," ",""),마스터시트!$A$2:$H$1946,2,FALSE),"미등록"))</f>
        <v/>
      </c>
      <c r="N313" s="53" t="str">
        <f>IF($K313="","",IFERROR(VLOOKUP(--SUBSTITUTE(SUBSTITUTE(TRIM($K313),"-","")," ",""),마스터시트!$A$2:$H$1946,3,FALSE),"미등록"))</f>
        <v/>
      </c>
      <c r="O313" s="18" t="str">
        <f>IF($K313="","",IFERROR(VLOOKUP(--SUBSTITUTE(SUBSTITUTE(TRIM($K313),"-","")," ",""),마스터시트!$A$2:$H$1946,4,FALSE),""))</f>
        <v/>
      </c>
      <c r="P313" s="18" t="str">
        <f>IF($K313="","",IFERROR(VLOOKUP(--SUBSTITUTE(SUBSTITUTE(TRIM($K313),"-","")," ",""),마스터시트!$A$2:$H$1946,5,FALSE),""))</f>
        <v/>
      </c>
      <c r="Q313" s="18" t="str">
        <f>IF($K313="","",IFERROR(VLOOKUP(--SUBSTITUTE(SUBSTITUTE(TRIM($K313),"-","")," ",""),마스터시트!$A$2:$H$1946,6,FALSE),""))</f>
        <v/>
      </c>
      <c r="R313" s="18" t="str">
        <f>IF($K313="","",IFERROR(VLOOKUP(--SUBSTITUTE(SUBSTITUTE(TRIM($K313),"-","")," ",""),마스터시트!$A$2:$H$1946,7,FALSE),""))</f>
        <v/>
      </c>
    </row>
    <row r="314" spans="13:18" x14ac:dyDescent="0.3">
      <c r="M314" s="18" t="str">
        <f>IF($K314="","",IFERROR(VLOOKUP(--SUBSTITUTE(SUBSTITUTE(TRIM($K314),"-","")," ",""),마스터시트!$A$2:$H$1946,2,FALSE),"미등록"))</f>
        <v/>
      </c>
      <c r="N314" s="53" t="str">
        <f>IF($K314="","",IFERROR(VLOOKUP(--SUBSTITUTE(SUBSTITUTE(TRIM($K314),"-","")," ",""),마스터시트!$A$2:$H$1946,3,FALSE),"미등록"))</f>
        <v/>
      </c>
      <c r="O314" s="18" t="str">
        <f>IF($K314="","",IFERROR(VLOOKUP(--SUBSTITUTE(SUBSTITUTE(TRIM($K314),"-","")," ",""),마스터시트!$A$2:$H$1946,4,FALSE),""))</f>
        <v/>
      </c>
      <c r="P314" s="18" t="str">
        <f>IF($K314="","",IFERROR(VLOOKUP(--SUBSTITUTE(SUBSTITUTE(TRIM($K314),"-","")," ",""),마스터시트!$A$2:$H$1946,5,FALSE),""))</f>
        <v/>
      </c>
      <c r="Q314" s="18" t="str">
        <f>IF($K314="","",IFERROR(VLOOKUP(--SUBSTITUTE(SUBSTITUTE(TRIM($K314),"-","")," ",""),마스터시트!$A$2:$H$1946,6,FALSE),""))</f>
        <v/>
      </c>
      <c r="R314" s="18" t="str">
        <f>IF($K314="","",IFERROR(VLOOKUP(--SUBSTITUTE(SUBSTITUTE(TRIM($K314),"-","")," ",""),마스터시트!$A$2:$H$1946,7,FALSE),""))</f>
        <v/>
      </c>
    </row>
    <row r="315" spans="13:18" x14ac:dyDescent="0.3">
      <c r="M315" s="18" t="str">
        <f>IF($K315="","",IFERROR(VLOOKUP(--SUBSTITUTE(SUBSTITUTE(TRIM($K315),"-","")," ",""),마스터시트!$A$2:$H$1946,2,FALSE),"미등록"))</f>
        <v/>
      </c>
      <c r="N315" s="53" t="str">
        <f>IF($K315="","",IFERROR(VLOOKUP(--SUBSTITUTE(SUBSTITUTE(TRIM($K315),"-","")," ",""),마스터시트!$A$2:$H$1946,3,FALSE),"미등록"))</f>
        <v/>
      </c>
      <c r="O315" s="18" t="str">
        <f>IF($K315="","",IFERROR(VLOOKUP(--SUBSTITUTE(SUBSTITUTE(TRIM($K315),"-","")," ",""),마스터시트!$A$2:$H$1946,4,FALSE),""))</f>
        <v/>
      </c>
      <c r="P315" s="18" t="str">
        <f>IF($K315="","",IFERROR(VLOOKUP(--SUBSTITUTE(SUBSTITUTE(TRIM($K315),"-","")," ",""),마스터시트!$A$2:$H$1946,5,FALSE),""))</f>
        <v/>
      </c>
      <c r="Q315" s="18" t="str">
        <f>IF($K315="","",IFERROR(VLOOKUP(--SUBSTITUTE(SUBSTITUTE(TRIM($K315),"-","")," ",""),마스터시트!$A$2:$H$1946,6,FALSE),""))</f>
        <v/>
      </c>
      <c r="R315" s="18" t="str">
        <f>IF($K315="","",IFERROR(VLOOKUP(--SUBSTITUTE(SUBSTITUTE(TRIM($K315),"-","")," ",""),마스터시트!$A$2:$H$1946,7,FALSE),""))</f>
        <v/>
      </c>
    </row>
    <row r="316" spans="13:18" x14ac:dyDescent="0.3">
      <c r="M316" s="18" t="str">
        <f>IF($K316="","",IFERROR(VLOOKUP(--SUBSTITUTE(SUBSTITUTE(TRIM($K316),"-","")," ",""),마스터시트!$A$2:$H$1946,2,FALSE),"미등록"))</f>
        <v/>
      </c>
      <c r="N316" s="53" t="str">
        <f>IF($K316="","",IFERROR(VLOOKUP(--SUBSTITUTE(SUBSTITUTE(TRIM($K316),"-","")," ",""),마스터시트!$A$2:$H$1946,3,FALSE),"미등록"))</f>
        <v/>
      </c>
      <c r="O316" s="18" t="str">
        <f>IF($K316="","",IFERROR(VLOOKUP(--SUBSTITUTE(SUBSTITUTE(TRIM($K316),"-","")," ",""),마스터시트!$A$2:$H$1946,4,FALSE),""))</f>
        <v/>
      </c>
      <c r="P316" s="18" t="str">
        <f>IF($K316="","",IFERROR(VLOOKUP(--SUBSTITUTE(SUBSTITUTE(TRIM($K316),"-","")," ",""),마스터시트!$A$2:$H$1946,5,FALSE),""))</f>
        <v/>
      </c>
      <c r="Q316" s="18" t="str">
        <f>IF($K316="","",IFERROR(VLOOKUP(--SUBSTITUTE(SUBSTITUTE(TRIM($K316),"-","")," ",""),마스터시트!$A$2:$H$1946,6,FALSE),""))</f>
        <v/>
      </c>
      <c r="R316" s="18" t="str">
        <f>IF($K316="","",IFERROR(VLOOKUP(--SUBSTITUTE(SUBSTITUTE(TRIM($K316),"-","")," ",""),마스터시트!$A$2:$H$1946,7,FALSE),""))</f>
        <v/>
      </c>
    </row>
    <row r="317" spans="13:18" x14ac:dyDescent="0.3">
      <c r="M317" s="18" t="str">
        <f>IF($K317="","",IFERROR(VLOOKUP(--SUBSTITUTE(SUBSTITUTE(TRIM($K317),"-","")," ",""),마스터시트!$A$2:$H$1946,2,FALSE),"미등록"))</f>
        <v/>
      </c>
      <c r="N317" s="53" t="str">
        <f>IF($K317="","",IFERROR(VLOOKUP(--SUBSTITUTE(SUBSTITUTE(TRIM($K317),"-","")," ",""),마스터시트!$A$2:$H$1946,3,FALSE),"미등록"))</f>
        <v/>
      </c>
      <c r="O317" s="18" t="str">
        <f>IF($K317="","",IFERROR(VLOOKUP(--SUBSTITUTE(SUBSTITUTE(TRIM($K317),"-","")," ",""),마스터시트!$A$2:$H$1946,4,FALSE),""))</f>
        <v/>
      </c>
      <c r="P317" s="18" t="str">
        <f>IF($K317="","",IFERROR(VLOOKUP(--SUBSTITUTE(SUBSTITUTE(TRIM($K317),"-","")," ",""),마스터시트!$A$2:$H$1946,5,FALSE),""))</f>
        <v/>
      </c>
      <c r="Q317" s="18" t="str">
        <f>IF($K317="","",IFERROR(VLOOKUP(--SUBSTITUTE(SUBSTITUTE(TRIM($K317),"-","")," ",""),마스터시트!$A$2:$H$1946,6,FALSE),""))</f>
        <v/>
      </c>
      <c r="R317" s="18" t="str">
        <f>IF($K317="","",IFERROR(VLOOKUP(--SUBSTITUTE(SUBSTITUTE(TRIM($K317),"-","")," ",""),마스터시트!$A$2:$H$1946,7,FALSE),""))</f>
        <v/>
      </c>
    </row>
    <row r="318" spans="13:18" x14ac:dyDescent="0.3">
      <c r="M318" s="18" t="str">
        <f>IF($K318="","",IFERROR(VLOOKUP(--SUBSTITUTE(SUBSTITUTE(TRIM($K318),"-","")," ",""),마스터시트!$A$2:$H$1946,2,FALSE),"미등록"))</f>
        <v/>
      </c>
      <c r="N318" s="53" t="str">
        <f>IF($K318="","",IFERROR(VLOOKUP(--SUBSTITUTE(SUBSTITUTE(TRIM($K318),"-","")," ",""),마스터시트!$A$2:$H$1946,3,FALSE),"미등록"))</f>
        <v/>
      </c>
      <c r="O318" s="18" t="str">
        <f>IF($K318="","",IFERROR(VLOOKUP(--SUBSTITUTE(SUBSTITUTE(TRIM($K318),"-","")," ",""),마스터시트!$A$2:$H$1946,4,FALSE),""))</f>
        <v/>
      </c>
      <c r="P318" s="18" t="str">
        <f>IF($K318="","",IFERROR(VLOOKUP(--SUBSTITUTE(SUBSTITUTE(TRIM($K318),"-","")," ",""),마스터시트!$A$2:$H$1946,5,FALSE),""))</f>
        <v/>
      </c>
      <c r="Q318" s="18" t="str">
        <f>IF($K318="","",IFERROR(VLOOKUP(--SUBSTITUTE(SUBSTITUTE(TRIM($K318),"-","")," ",""),마스터시트!$A$2:$H$1946,6,FALSE),""))</f>
        <v/>
      </c>
      <c r="R318" s="18" t="str">
        <f>IF($K318="","",IFERROR(VLOOKUP(--SUBSTITUTE(SUBSTITUTE(TRIM($K318),"-","")," ",""),마스터시트!$A$2:$H$1946,7,FALSE),""))</f>
        <v/>
      </c>
    </row>
    <row r="319" spans="13:18" x14ac:dyDescent="0.3">
      <c r="M319" s="18" t="str">
        <f>IF($K319="","",IFERROR(VLOOKUP(--SUBSTITUTE(SUBSTITUTE(TRIM($K319),"-","")," ",""),마스터시트!$A$2:$H$1946,2,FALSE),"미등록"))</f>
        <v/>
      </c>
      <c r="N319" s="53" t="str">
        <f>IF($K319="","",IFERROR(VLOOKUP(--SUBSTITUTE(SUBSTITUTE(TRIM($K319),"-","")," ",""),마스터시트!$A$2:$H$1946,3,FALSE),"미등록"))</f>
        <v/>
      </c>
      <c r="O319" s="18" t="str">
        <f>IF($K319="","",IFERROR(VLOOKUP(--SUBSTITUTE(SUBSTITUTE(TRIM($K319),"-","")," ",""),마스터시트!$A$2:$H$1946,4,FALSE),""))</f>
        <v/>
      </c>
      <c r="P319" s="18" t="str">
        <f>IF($K319="","",IFERROR(VLOOKUP(--SUBSTITUTE(SUBSTITUTE(TRIM($K319),"-","")," ",""),마스터시트!$A$2:$H$1946,5,FALSE),""))</f>
        <v/>
      </c>
      <c r="Q319" s="18" t="str">
        <f>IF($K319="","",IFERROR(VLOOKUP(--SUBSTITUTE(SUBSTITUTE(TRIM($K319),"-","")," ",""),마스터시트!$A$2:$H$1946,6,FALSE),""))</f>
        <v/>
      </c>
      <c r="R319" s="18" t="str">
        <f>IF($K319="","",IFERROR(VLOOKUP(--SUBSTITUTE(SUBSTITUTE(TRIM($K319),"-","")," ",""),마스터시트!$A$2:$H$1946,7,FALSE),""))</f>
        <v/>
      </c>
    </row>
    <row r="320" spans="13:18" x14ac:dyDescent="0.3">
      <c r="M320" s="18" t="str">
        <f>IF($K320="","",IFERROR(VLOOKUP(--SUBSTITUTE(SUBSTITUTE(TRIM($K320),"-","")," ",""),마스터시트!$A$2:$H$1946,2,FALSE),"미등록"))</f>
        <v/>
      </c>
      <c r="N320" s="53" t="str">
        <f>IF($K320="","",IFERROR(VLOOKUP(--SUBSTITUTE(SUBSTITUTE(TRIM($K320),"-","")," ",""),마스터시트!$A$2:$H$1946,3,FALSE),"미등록"))</f>
        <v/>
      </c>
      <c r="O320" s="18" t="str">
        <f>IF($K320="","",IFERROR(VLOOKUP(--SUBSTITUTE(SUBSTITUTE(TRIM($K320),"-","")," ",""),마스터시트!$A$2:$H$1946,4,FALSE),""))</f>
        <v/>
      </c>
      <c r="P320" s="18" t="str">
        <f>IF($K320="","",IFERROR(VLOOKUP(--SUBSTITUTE(SUBSTITUTE(TRIM($K320),"-","")," ",""),마스터시트!$A$2:$H$1946,5,FALSE),""))</f>
        <v/>
      </c>
      <c r="Q320" s="18" t="str">
        <f>IF($K320="","",IFERROR(VLOOKUP(--SUBSTITUTE(SUBSTITUTE(TRIM($K320),"-","")," ",""),마스터시트!$A$2:$H$1946,6,FALSE),""))</f>
        <v/>
      </c>
      <c r="R320" s="18" t="str">
        <f>IF($K320="","",IFERROR(VLOOKUP(--SUBSTITUTE(SUBSTITUTE(TRIM($K320),"-","")," ",""),마스터시트!$A$2:$H$1946,7,FALSE),""))</f>
        <v/>
      </c>
    </row>
    <row r="321" spans="13:18" x14ac:dyDescent="0.3">
      <c r="M321" s="18" t="str">
        <f>IF($K321="","",IFERROR(VLOOKUP(--SUBSTITUTE(SUBSTITUTE(TRIM($K321),"-","")," ",""),마스터시트!$A$2:$H$1946,2,FALSE),"미등록"))</f>
        <v/>
      </c>
      <c r="N321" s="53" t="str">
        <f>IF($K321="","",IFERROR(VLOOKUP(--SUBSTITUTE(SUBSTITUTE(TRIM($K321),"-","")," ",""),마스터시트!$A$2:$H$1946,3,FALSE),"미등록"))</f>
        <v/>
      </c>
      <c r="O321" s="18" t="str">
        <f>IF($K321="","",IFERROR(VLOOKUP(--SUBSTITUTE(SUBSTITUTE(TRIM($K321),"-","")," ",""),마스터시트!$A$2:$H$1946,4,FALSE),""))</f>
        <v/>
      </c>
      <c r="P321" s="18" t="str">
        <f>IF($K321="","",IFERROR(VLOOKUP(--SUBSTITUTE(SUBSTITUTE(TRIM($K321),"-","")," ",""),마스터시트!$A$2:$H$1946,5,FALSE),""))</f>
        <v/>
      </c>
      <c r="Q321" s="18" t="str">
        <f>IF($K321="","",IFERROR(VLOOKUP(--SUBSTITUTE(SUBSTITUTE(TRIM($K321),"-","")," ",""),마스터시트!$A$2:$H$1946,6,FALSE),""))</f>
        <v/>
      </c>
      <c r="R321" s="18" t="str">
        <f>IF($K321="","",IFERROR(VLOOKUP(--SUBSTITUTE(SUBSTITUTE(TRIM($K321),"-","")," ",""),마스터시트!$A$2:$H$1946,7,FALSE),""))</f>
        <v/>
      </c>
    </row>
    <row r="322" spans="13:18" x14ac:dyDescent="0.3">
      <c r="M322" s="18" t="str">
        <f>IF($K322="","",IFERROR(VLOOKUP(--SUBSTITUTE(SUBSTITUTE(TRIM($K322),"-","")," ",""),마스터시트!$A$2:$H$1946,2,FALSE),"미등록"))</f>
        <v/>
      </c>
      <c r="N322" s="53" t="str">
        <f>IF($K322="","",IFERROR(VLOOKUP(--SUBSTITUTE(SUBSTITUTE(TRIM($K322),"-","")," ",""),마스터시트!$A$2:$H$1946,3,FALSE),"미등록"))</f>
        <v/>
      </c>
      <c r="O322" s="18" t="str">
        <f>IF($K322="","",IFERROR(VLOOKUP(--SUBSTITUTE(SUBSTITUTE(TRIM($K322),"-","")," ",""),마스터시트!$A$2:$H$1946,4,FALSE),""))</f>
        <v/>
      </c>
      <c r="P322" s="18" t="str">
        <f>IF($K322="","",IFERROR(VLOOKUP(--SUBSTITUTE(SUBSTITUTE(TRIM($K322),"-","")," ",""),마스터시트!$A$2:$H$1946,5,FALSE),""))</f>
        <v/>
      </c>
      <c r="Q322" s="18" t="str">
        <f>IF($K322="","",IFERROR(VLOOKUP(--SUBSTITUTE(SUBSTITUTE(TRIM($K322),"-","")," ",""),마스터시트!$A$2:$H$1946,6,FALSE),""))</f>
        <v/>
      </c>
      <c r="R322" s="18" t="str">
        <f>IF($K322="","",IFERROR(VLOOKUP(--SUBSTITUTE(SUBSTITUTE(TRIM($K322),"-","")," ",""),마스터시트!$A$2:$H$1946,7,FALSE),""))</f>
        <v/>
      </c>
    </row>
    <row r="323" spans="13:18" x14ac:dyDescent="0.3">
      <c r="M323" s="18" t="str">
        <f>IF($K323="","",IFERROR(VLOOKUP(--SUBSTITUTE(SUBSTITUTE(TRIM($K323),"-","")," ",""),마스터시트!$A$2:$H$1946,2,FALSE),"미등록"))</f>
        <v/>
      </c>
      <c r="N323" s="53" t="str">
        <f>IF($K323="","",IFERROR(VLOOKUP(--SUBSTITUTE(SUBSTITUTE(TRIM($K323),"-","")," ",""),마스터시트!$A$2:$H$1946,3,FALSE),"미등록"))</f>
        <v/>
      </c>
      <c r="O323" s="18" t="str">
        <f>IF($K323="","",IFERROR(VLOOKUP(--SUBSTITUTE(SUBSTITUTE(TRIM($K323),"-","")," ",""),마스터시트!$A$2:$H$1946,4,FALSE),""))</f>
        <v/>
      </c>
      <c r="P323" s="18" t="str">
        <f>IF($K323="","",IFERROR(VLOOKUP(--SUBSTITUTE(SUBSTITUTE(TRIM($K323),"-","")," ",""),마스터시트!$A$2:$H$1946,5,FALSE),""))</f>
        <v/>
      </c>
      <c r="Q323" s="18" t="str">
        <f>IF($K323="","",IFERROR(VLOOKUP(--SUBSTITUTE(SUBSTITUTE(TRIM($K323),"-","")," ",""),마스터시트!$A$2:$H$1946,6,FALSE),""))</f>
        <v/>
      </c>
      <c r="R323" s="18" t="str">
        <f>IF($K323="","",IFERROR(VLOOKUP(--SUBSTITUTE(SUBSTITUTE(TRIM($K323),"-","")," ",""),마스터시트!$A$2:$H$1946,7,FALSE),""))</f>
        <v/>
      </c>
    </row>
    <row r="324" spans="13:18" x14ac:dyDescent="0.3">
      <c r="M324" s="18" t="str">
        <f>IF($K324="","",IFERROR(VLOOKUP(--SUBSTITUTE(SUBSTITUTE(TRIM($K324),"-","")," ",""),마스터시트!$A$2:$H$1946,2,FALSE),"미등록"))</f>
        <v/>
      </c>
      <c r="N324" s="53" t="str">
        <f>IF($K324="","",IFERROR(VLOOKUP(--SUBSTITUTE(SUBSTITUTE(TRIM($K324),"-","")," ",""),마스터시트!$A$2:$H$1946,3,FALSE),"미등록"))</f>
        <v/>
      </c>
      <c r="O324" s="18" t="str">
        <f>IF($K324="","",IFERROR(VLOOKUP(--SUBSTITUTE(SUBSTITUTE(TRIM($K324),"-","")," ",""),마스터시트!$A$2:$H$1946,4,FALSE),""))</f>
        <v/>
      </c>
      <c r="P324" s="18" t="str">
        <f>IF($K324="","",IFERROR(VLOOKUP(--SUBSTITUTE(SUBSTITUTE(TRIM($K324),"-","")," ",""),마스터시트!$A$2:$H$1946,5,FALSE),""))</f>
        <v/>
      </c>
      <c r="Q324" s="18" t="str">
        <f>IF($K324="","",IFERROR(VLOOKUP(--SUBSTITUTE(SUBSTITUTE(TRIM($K324),"-","")," ",""),마스터시트!$A$2:$H$1946,6,FALSE),""))</f>
        <v/>
      </c>
      <c r="R324" s="18" t="str">
        <f>IF($K324="","",IFERROR(VLOOKUP(--SUBSTITUTE(SUBSTITUTE(TRIM($K324),"-","")," ",""),마스터시트!$A$2:$H$1946,7,FALSE),""))</f>
        <v/>
      </c>
    </row>
    <row r="325" spans="13:18" x14ac:dyDescent="0.3">
      <c r="M325" s="18" t="str">
        <f>IF($K325="","",IFERROR(VLOOKUP(--SUBSTITUTE(SUBSTITUTE(TRIM($K325),"-","")," ",""),마스터시트!$A$2:$H$1946,2,FALSE),"미등록"))</f>
        <v/>
      </c>
      <c r="N325" s="53" t="str">
        <f>IF($K325="","",IFERROR(VLOOKUP(--SUBSTITUTE(SUBSTITUTE(TRIM($K325),"-","")," ",""),마스터시트!$A$2:$H$1946,3,FALSE),"미등록"))</f>
        <v/>
      </c>
      <c r="O325" s="18" t="str">
        <f>IF($K325="","",IFERROR(VLOOKUP(--SUBSTITUTE(SUBSTITUTE(TRIM($K325),"-","")," ",""),마스터시트!$A$2:$H$1946,4,FALSE),""))</f>
        <v/>
      </c>
      <c r="P325" s="18" t="str">
        <f>IF($K325="","",IFERROR(VLOOKUP(--SUBSTITUTE(SUBSTITUTE(TRIM($K325),"-","")," ",""),마스터시트!$A$2:$H$1946,5,FALSE),""))</f>
        <v/>
      </c>
      <c r="Q325" s="18" t="str">
        <f>IF($K325="","",IFERROR(VLOOKUP(--SUBSTITUTE(SUBSTITUTE(TRIM($K325),"-","")," ",""),마스터시트!$A$2:$H$1946,6,FALSE),""))</f>
        <v/>
      </c>
      <c r="R325" s="18" t="str">
        <f>IF($K325="","",IFERROR(VLOOKUP(--SUBSTITUTE(SUBSTITUTE(TRIM($K325),"-","")," ",""),마스터시트!$A$2:$H$1946,7,FALSE),""))</f>
        <v/>
      </c>
    </row>
    <row r="326" spans="13:18" x14ac:dyDescent="0.3">
      <c r="M326" s="18" t="str">
        <f>IF($K326="","",IFERROR(VLOOKUP(--SUBSTITUTE(SUBSTITUTE(TRIM($K326),"-","")," ",""),마스터시트!$A$2:$H$1946,2,FALSE),"미등록"))</f>
        <v/>
      </c>
      <c r="N326" s="53" t="str">
        <f>IF($K326="","",IFERROR(VLOOKUP(--SUBSTITUTE(SUBSTITUTE(TRIM($K326),"-","")," ",""),마스터시트!$A$2:$H$1946,3,FALSE),"미등록"))</f>
        <v/>
      </c>
      <c r="O326" s="18" t="str">
        <f>IF($K326="","",IFERROR(VLOOKUP(--SUBSTITUTE(SUBSTITUTE(TRIM($K326),"-","")," ",""),마스터시트!$A$2:$H$1946,4,FALSE),""))</f>
        <v/>
      </c>
      <c r="P326" s="18" t="str">
        <f>IF($K326="","",IFERROR(VLOOKUP(--SUBSTITUTE(SUBSTITUTE(TRIM($K326),"-","")," ",""),마스터시트!$A$2:$H$1946,5,FALSE),""))</f>
        <v/>
      </c>
      <c r="Q326" s="18" t="str">
        <f>IF($K326="","",IFERROR(VLOOKUP(--SUBSTITUTE(SUBSTITUTE(TRIM($K326),"-","")," ",""),마스터시트!$A$2:$H$1946,6,FALSE),""))</f>
        <v/>
      </c>
      <c r="R326" s="18" t="str">
        <f>IF($K326="","",IFERROR(VLOOKUP(--SUBSTITUTE(SUBSTITUTE(TRIM($K326),"-","")," ",""),마스터시트!$A$2:$H$1946,7,FALSE),""))</f>
        <v/>
      </c>
    </row>
    <row r="327" spans="13:18" x14ac:dyDescent="0.3">
      <c r="M327" s="18" t="str">
        <f>IF($K327="","",IFERROR(VLOOKUP(--SUBSTITUTE(SUBSTITUTE(TRIM($K327),"-","")," ",""),마스터시트!$A$2:$H$1946,2,FALSE),"미등록"))</f>
        <v/>
      </c>
      <c r="N327" s="53" t="str">
        <f>IF($K327="","",IFERROR(VLOOKUP(--SUBSTITUTE(SUBSTITUTE(TRIM($K327),"-","")," ",""),마스터시트!$A$2:$H$1946,3,FALSE),"미등록"))</f>
        <v/>
      </c>
      <c r="O327" s="18" t="str">
        <f>IF($K327="","",IFERROR(VLOOKUP(--SUBSTITUTE(SUBSTITUTE(TRIM($K327),"-","")," ",""),마스터시트!$A$2:$H$1946,4,FALSE),""))</f>
        <v/>
      </c>
      <c r="P327" s="18" t="str">
        <f>IF($K327="","",IFERROR(VLOOKUP(--SUBSTITUTE(SUBSTITUTE(TRIM($K327),"-","")," ",""),마스터시트!$A$2:$H$1946,5,FALSE),""))</f>
        <v/>
      </c>
      <c r="Q327" s="18" t="str">
        <f>IF($K327="","",IFERROR(VLOOKUP(--SUBSTITUTE(SUBSTITUTE(TRIM($K327),"-","")," ",""),마스터시트!$A$2:$H$1946,6,FALSE),""))</f>
        <v/>
      </c>
      <c r="R327" s="18" t="str">
        <f>IF($K327="","",IFERROR(VLOOKUP(--SUBSTITUTE(SUBSTITUTE(TRIM($K327),"-","")," ",""),마스터시트!$A$2:$H$1946,7,FALSE),""))</f>
        <v/>
      </c>
    </row>
    <row r="328" spans="13:18" x14ac:dyDescent="0.3">
      <c r="M328" s="18" t="str">
        <f>IF($K328="","",IFERROR(VLOOKUP(--SUBSTITUTE(SUBSTITUTE(TRIM($K328),"-","")," ",""),마스터시트!$A$2:$H$1946,2,FALSE),"미등록"))</f>
        <v/>
      </c>
      <c r="N328" s="53" t="str">
        <f>IF($K328="","",IFERROR(VLOOKUP(--SUBSTITUTE(SUBSTITUTE(TRIM($K328),"-","")," ",""),마스터시트!$A$2:$H$1946,3,FALSE),"미등록"))</f>
        <v/>
      </c>
      <c r="O328" s="18" t="str">
        <f>IF($K328="","",IFERROR(VLOOKUP(--SUBSTITUTE(SUBSTITUTE(TRIM($K328),"-","")," ",""),마스터시트!$A$2:$H$1946,4,FALSE),""))</f>
        <v/>
      </c>
      <c r="P328" s="18" t="str">
        <f>IF($K328="","",IFERROR(VLOOKUP(--SUBSTITUTE(SUBSTITUTE(TRIM($K328),"-","")," ",""),마스터시트!$A$2:$H$1946,5,FALSE),""))</f>
        <v/>
      </c>
      <c r="Q328" s="18" t="str">
        <f>IF($K328="","",IFERROR(VLOOKUP(--SUBSTITUTE(SUBSTITUTE(TRIM($K328),"-","")," ",""),마스터시트!$A$2:$H$1946,6,FALSE),""))</f>
        <v/>
      </c>
      <c r="R328" s="18" t="str">
        <f>IF($K328="","",IFERROR(VLOOKUP(--SUBSTITUTE(SUBSTITUTE(TRIM($K328),"-","")," ",""),마스터시트!$A$2:$H$1946,7,FALSE),""))</f>
        <v/>
      </c>
    </row>
    <row r="329" spans="13:18" x14ac:dyDescent="0.3">
      <c r="M329" s="18" t="str">
        <f>IF($K329="","",IFERROR(VLOOKUP(--SUBSTITUTE(SUBSTITUTE(TRIM($K329),"-","")," ",""),마스터시트!$A$2:$H$1946,2,FALSE),"미등록"))</f>
        <v/>
      </c>
      <c r="N329" s="53" t="str">
        <f>IF($K329="","",IFERROR(VLOOKUP(--SUBSTITUTE(SUBSTITUTE(TRIM($K329),"-","")," ",""),마스터시트!$A$2:$H$1946,3,FALSE),"미등록"))</f>
        <v/>
      </c>
      <c r="O329" s="18" t="str">
        <f>IF($K329="","",IFERROR(VLOOKUP(--SUBSTITUTE(SUBSTITUTE(TRIM($K329),"-","")," ",""),마스터시트!$A$2:$H$1946,4,FALSE),""))</f>
        <v/>
      </c>
      <c r="P329" s="18" t="str">
        <f>IF($K329="","",IFERROR(VLOOKUP(--SUBSTITUTE(SUBSTITUTE(TRIM($K329),"-","")," ",""),마스터시트!$A$2:$H$1946,5,FALSE),""))</f>
        <v/>
      </c>
      <c r="Q329" s="18" t="str">
        <f>IF($K329="","",IFERROR(VLOOKUP(--SUBSTITUTE(SUBSTITUTE(TRIM($K329),"-","")," ",""),마스터시트!$A$2:$H$1946,6,FALSE),""))</f>
        <v/>
      </c>
      <c r="R329" s="18" t="str">
        <f>IF($K329="","",IFERROR(VLOOKUP(--SUBSTITUTE(SUBSTITUTE(TRIM($K329),"-","")," ",""),마스터시트!$A$2:$H$1946,7,FALSE),""))</f>
        <v/>
      </c>
    </row>
    <row r="330" spans="13:18" x14ac:dyDescent="0.3">
      <c r="M330" s="18" t="str">
        <f>IF($K330="","",IFERROR(VLOOKUP(--SUBSTITUTE(SUBSTITUTE(TRIM($K330),"-","")," ",""),마스터시트!$A$2:$H$1946,2,FALSE),"미등록"))</f>
        <v/>
      </c>
      <c r="N330" s="53" t="str">
        <f>IF($K330="","",IFERROR(VLOOKUP(--SUBSTITUTE(SUBSTITUTE(TRIM($K330),"-","")," ",""),마스터시트!$A$2:$H$1946,3,FALSE),"미등록"))</f>
        <v/>
      </c>
      <c r="O330" s="18" t="str">
        <f>IF($K330="","",IFERROR(VLOOKUP(--SUBSTITUTE(SUBSTITUTE(TRIM($K330),"-","")," ",""),마스터시트!$A$2:$H$1946,4,FALSE),""))</f>
        <v/>
      </c>
      <c r="P330" s="18" t="str">
        <f>IF($K330="","",IFERROR(VLOOKUP(--SUBSTITUTE(SUBSTITUTE(TRIM($K330),"-","")," ",""),마스터시트!$A$2:$H$1946,5,FALSE),""))</f>
        <v/>
      </c>
      <c r="Q330" s="18" t="str">
        <f>IF($K330="","",IFERROR(VLOOKUP(--SUBSTITUTE(SUBSTITUTE(TRIM($K330),"-","")," ",""),마스터시트!$A$2:$H$1946,6,FALSE),""))</f>
        <v/>
      </c>
      <c r="R330" s="18" t="str">
        <f>IF($K330="","",IFERROR(VLOOKUP(--SUBSTITUTE(SUBSTITUTE(TRIM($K330),"-","")," ",""),마스터시트!$A$2:$H$1946,7,FALSE),""))</f>
        <v/>
      </c>
    </row>
    <row r="331" spans="13:18" x14ac:dyDescent="0.3">
      <c r="M331" s="18" t="str">
        <f>IF($K331="","",IFERROR(VLOOKUP(--SUBSTITUTE(SUBSTITUTE(TRIM($K331),"-","")," ",""),마스터시트!$A$2:$H$1946,2,FALSE),"미등록"))</f>
        <v/>
      </c>
      <c r="N331" s="53" t="str">
        <f>IF($K331="","",IFERROR(VLOOKUP(--SUBSTITUTE(SUBSTITUTE(TRIM($K331),"-","")," ",""),마스터시트!$A$2:$H$1946,3,FALSE),"미등록"))</f>
        <v/>
      </c>
      <c r="O331" s="18" t="str">
        <f>IF($K331="","",IFERROR(VLOOKUP(--SUBSTITUTE(SUBSTITUTE(TRIM($K331),"-","")," ",""),마스터시트!$A$2:$H$1946,4,FALSE),""))</f>
        <v/>
      </c>
      <c r="P331" s="18" t="str">
        <f>IF($K331="","",IFERROR(VLOOKUP(--SUBSTITUTE(SUBSTITUTE(TRIM($K331),"-","")," ",""),마스터시트!$A$2:$H$1946,5,FALSE),""))</f>
        <v/>
      </c>
      <c r="Q331" s="18" t="str">
        <f>IF($K331="","",IFERROR(VLOOKUP(--SUBSTITUTE(SUBSTITUTE(TRIM($K331),"-","")," ",""),마스터시트!$A$2:$H$1946,6,FALSE),""))</f>
        <v/>
      </c>
      <c r="R331" s="18" t="str">
        <f>IF($K331="","",IFERROR(VLOOKUP(--SUBSTITUTE(SUBSTITUTE(TRIM($K331),"-","")," ",""),마스터시트!$A$2:$H$1946,7,FALSE),""))</f>
        <v/>
      </c>
    </row>
    <row r="332" spans="13:18" x14ac:dyDescent="0.3">
      <c r="M332" s="18" t="str">
        <f>IF($K332="","",IFERROR(VLOOKUP(--SUBSTITUTE(SUBSTITUTE(TRIM($K332),"-","")," ",""),마스터시트!$A$2:$H$1946,2,FALSE),"미등록"))</f>
        <v/>
      </c>
      <c r="N332" s="53" t="str">
        <f>IF($K332="","",IFERROR(VLOOKUP(--SUBSTITUTE(SUBSTITUTE(TRIM($K332),"-","")," ",""),마스터시트!$A$2:$H$1946,3,FALSE),"미등록"))</f>
        <v/>
      </c>
      <c r="O332" s="18" t="str">
        <f>IF($K332="","",IFERROR(VLOOKUP(--SUBSTITUTE(SUBSTITUTE(TRIM($K332),"-","")," ",""),마스터시트!$A$2:$H$1946,4,FALSE),""))</f>
        <v/>
      </c>
      <c r="P332" s="18" t="str">
        <f>IF($K332="","",IFERROR(VLOOKUP(--SUBSTITUTE(SUBSTITUTE(TRIM($K332),"-","")," ",""),마스터시트!$A$2:$H$1946,5,FALSE),""))</f>
        <v/>
      </c>
      <c r="Q332" s="18" t="str">
        <f>IF($K332="","",IFERROR(VLOOKUP(--SUBSTITUTE(SUBSTITUTE(TRIM($K332),"-","")," ",""),마스터시트!$A$2:$H$1946,6,FALSE),""))</f>
        <v/>
      </c>
      <c r="R332" s="18" t="str">
        <f>IF($K332="","",IFERROR(VLOOKUP(--SUBSTITUTE(SUBSTITUTE(TRIM($K332),"-","")," ",""),마스터시트!$A$2:$H$1946,7,FALSE),""))</f>
        <v/>
      </c>
    </row>
    <row r="333" spans="13:18" x14ac:dyDescent="0.3">
      <c r="M333" s="18" t="str">
        <f>IF($K333="","",IFERROR(VLOOKUP(--SUBSTITUTE(SUBSTITUTE(TRIM($K333),"-","")," ",""),마스터시트!$A$2:$H$1946,2,FALSE),"미등록"))</f>
        <v/>
      </c>
      <c r="N333" s="53" t="str">
        <f>IF($K333="","",IFERROR(VLOOKUP(--SUBSTITUTE(SUBSTITUTE(TRIM($K333),"-","")," ",""),마스터시트!$A$2:$H$1946,3,FALSE),"미등록"))</f>
        <v/>
      </c>
      <c r="O333" s="18" t="str">
        <f>IF($K333="","",IFERROR(VLOOKUP(--SUBSTITUTE(SUBSTITUTE(TRIM($K333),"-","")," ",""),마스터시트!$A$2:$H$1946,4,FALSE),""))</f>
        <v/>
      </c>
      <c r="P333" s="18" t="str">
        <f>IF($K333="","",IFERROR(VLOOKUP(--SUBSTITUTE(SUBSTITUTE(TRIM($K333),"-","")," ",""),마스터시트!$A$2:$H$1946,5,FALSE),""))</f>
        <v/>
      </c>
      <c r="Q333" s="18" t="str">
        <f>IF($K333="","",IFERROR(VLOOKUP(--SUBSTITUTE(SUBSTITUTE(TRIM($K333),"-","")," ",""),마스터시트!$A$2:$H$1946,6,FALSE),""))</f>
        <v/>
      </c>
      <c r="R333" s="18" t="str">
        <f>IF($K333="","",IFERROR(VLOOKUP(--SUBSTITUTE(SUBSTITUTE(TRIM($K333),"-","")," ",""),마스터시트!$A$2:$H$1946,7,FALSE),""))</f>
        <v/>
      </c>
    </row>
    <row r="334" spans="13:18" x14ac:dyDescent="0.3">
      <c r="M334" s="18" t="str">
        <f>IF($K334="","",IFERROR(VLOOKUP(--SUBSTITUTE(SUBSTITUTE(TRIM($K334),"-","")," ",""),마스터시트!$A$2:$H$1946,2,FALSE),"미등록"))</f>
        <v/>
      </c>
      <c r="N334" s="53" t="str">
        <f>IF($K334="","",IFERROR(VLOOKUP(--SUBSTITUTE(SUBSTITUTE(TRIM($K334),"-","")," ",""),마스터시트!$A$2:$H$1946,3,FALSE),"미등록"))</f>
        <v/>
      </c>
      <c r="O334" s="18" t="str">
        <f>IF($K334="","",IFERROR(VLOOKUP(--SUBSTITUTE(SUBSTITUTE(TRIM($K334),"-","")," ",""),마스터시트!$A$2:$H$1946,4,FALSE),""))</f>
        <v/>
      </c>
      <c r="P334" s="18" t="str">
        <f>IF($K334="","",IFERROR(VLOOKUP(--SUBSTITUTE(SUBSTITUTE(TRIM($K334),"-","")," ",""),마스터시트!$A$2:$H$1946,5,FALSE),""))</f>
        <v/>
      </c>
      <c r="Q334" s="18" t="str">
        <f>IF($K334="","",IFERROR(VLOOKUP(--SUBSTITUTE(SUBSTITUTE(TRIM($K334),"-","")," ",""),마스터시트!$A$2:$H$1946,6,FALSE),""))</f>
        <v/>
      </c>
      <c r="R334" s="18" t="str">
        <f>IF($K334="","",IFERROR(VLOOKUP(--SUBSTITUTE(SUBSTITUTE(TRIM($K334),"-","")," ",""),마스터시트!$A$2:$H$1946,7,FALSE),""))</f>
        <v/>
      </c>
    </row>
    <row r="335" spans="13:18" x14ac:dyDescent="0.3">
      <c r="M335" s="18" t="str">
        <f>IF($K335="","",IFERROR(VLOOKUP(--SUBSTITUTE(SUBSTITUTE(TRIM($K335),"-","")," ",""),마스터시트!$A$2:$H$1946,2,FALSE),"미등록"))</f>
        <v/>
      </c>
      <c r="N335" s="53" t="str">
        <f>IF($K335="","",IFERROR(VLOOKUP(--SUBSTITUTE(SUBSTITUTE(TRIM($K335),"-","")," ",""),마스터시트!$A$2:$H$1946,3,FALSE),"미등록"))</f>
        <v/>
      </c>
      <c r="O335" s="18" t="str">
        <f>IF($K335="","",IFERROR(VLOOKUP(--SUBSTITUTE(SUBSTITUTE(TRIM($K335),"-","")," ",""),마스터시트!$A$2:$H$1946,4,FALSE),""))</f>
        <v/>
      </c>
      <c r="P335" s="18" t="str">
        <f>IF($K335="","",IFERROR(VLOOKUP(--SUBSTITUTE(SUBSTITUTE(TRIM($K335),"-","")," ",""),마스터시트!$A$2:$H$1946,5,FALSE),""))</f>
        <v/>
      </c>
      <c r="Q335" s="18" t="str">
        <f>IF($K335="","",IFERROR(VLOOKUP(--SUBSTITUTE(SUBSTITUTE(TRIM($K335),"-","")," ",""),마스터시트!$A$2:$H$1946,6,FALSE),""))</f>
        <v/>
      </c>
      <c r="R335" s="18" t="str">
        <f>IF($K335="","",IFERROR(VLOOKUP(--SUBSTITUTE(SUBSTITUTE(TRIM($K335),"-","")," ",""),마스터시트!$A$2:$H$1946,7,FALSE),""))</f>
        <v/>
      </c>
    </row>
    <row r="336" spans="13:18" x14ac:dyDescent="0.3">
      <c r="M336" s="18" t="str">
        <f>IF($K336="","",IFERROR(VLOOKUP(--SUBSTITUTE(SUBSTITUTE(TRIM($K336),"-","")," ",""),마스터시트!$A$2:$H$1946,2,FALSE),"미등록"))</f>
        <v/>
      </c>
      <c r="N336" s="53" t="str">
        <f>IF($K336="","",IFERROR(VLOOKUP(--SUBSTITUTE(SUBSTITUTE(TRIM($K336),"-","")," ",""),마스터시트!$A$2:$H$1946,3,FALSE),"미등록"))</f>
        <v/>
      </c>
      <c r="O336" s="18" t="str">
        <f>IF($K336="","",IFERROR(VLOOKUP(--SUBSTITUTE(SUBSTITUTE(TRIM($K336),"-","")," ",""),마스터시트!$A$2:$H$1946,4,FALSE),""))</f>
        <v/>
      </c>
      <c r="P336" s="18" t="str">
        <f>IF($K336="","",IFERROR(VLOOKUP(--SUBSTITUTE(SUBSTITUTE(TRIM($K336),"-","")," ",""),마스터시트!$A$2:$H$1946,5,FALSE),""))</f>
        <v/>
      </c>
      <c r="Q336" s="18" t="str">
        <f>IF($K336="","",IFERROR(VLOOKUP(--SUBSTITUTE(SUBSTITUTE(TRIM($K336),"-","")," ",""),마스터시트!$A$2:$H$1946,6,FALSE),""))</f>
        <v/>
      </c>
      <c r="R336" s="18" t="str">
        <f>IF($K336="","",IFERROR(VLOOKUP(--SUBSTITUTE(SUBSTITUTE(TRIM($K336),"-","")," ",""),마스터시트!$A$2:$H$1946,7,FALSE),""))</f>
        <v/>
      </c>
    </row>
    <row r="337" spans="13:18" x14ac:dyDescent="0.3">
      <c r="M337" s="18" t="str">
        <f>IF($K337="","",IFERROR(VLOOKUP(--SUBSTITUTE(SUBSTITUTE(TRIM($K337),"-","")," ",""),마스터시트!$A$2:$H$1946,2,FALSE),"미등록"))</f>
        <v/>
      </c>
      <c r="N337" s="53" t="str">
        <f>IF($K337="","",IFERROR(VLOOKUP(--SUBSTITUTE(SUBSTITUTE(TRIM($K337),"-","")," ",""),마스터시트!$A$2:$H$1946,3,FALSE),"미등록"))</f>
        <v/>
      </c>
      <c r="O337" s="18" t="str">
        <f>IF($K337="","",IFERROR(VLOOKUP(--SUBSTITUTE(SUBSTITUTE(TRIM($K337),"-","")," ",""),마스터시트!$A$2:$H$1946,4,FALSE),""))</f>
        <v/>
      </c>
      <c r="P337" s="18" t="str">
        <f>IF($K337="","",IFERROR(VLOOKUP(--SUBSTITUTE(SUBSTITUTE(TRIM($K337),"-","")," ",""),마스터시트!$A$2:$H$1946,5,FALSE),""))</f>
        <v/>
      </c>
      <c r="Q337" s="18" t="str">
        <f>IF($K337="","",IFERROR(VLOOKUP(--SUBSTITUTE(SUBSTITUTE(TRIM($K337),"-","")," ",""),마스터시트!$A$2:$H$1946,6,FALSE),""))</f>
        <v/>
      </c>
      <c r="R337" s="18" t="str">
        <f>IF($K337="","",IFERROR(VLOOKUP(--SUBSTITUTE(SUBSTITUTE(TRIM($K337),"-","")," ",""),마스터시트!$A$2:$H$1946,7,FALSE),""))</f>
        <v/>
      </c>
    </row>
    <row r="338" spans="13:18" x14ac:dyDescent="0.3">
      <c r="M338" s="18" t="str">
        <f>IF($K338="","",IFERROR(VLOOKUP(--SUBSTITUTE(SUBSTITUTE(TRIM($K338),"-","")," ",""),마스터시트!$A$2:$H$1946,2,FALSE),"미등록"))</f>
        <v/>
      </c>
      <c r="N338" s="53" t="str">
        <f>IF($K338="","",IFERROR(VLOOKUP(--SUBSTITUTE(SUBSTITUTE(TRIM($K338),"-","")," ",""),마스터시트!$A$2:$H$1946,3,FALSE),"미등록"))</f>
        <v/>
      </c>
      <c r="O338" s="18" t="str">
        <f>IF($K338="","",IFERROR(VLOOKUP(--SUBSTITUTE(SUBSTITUTE(TRIM($K338),"-","")," ",""),마스터시트!$A$2:$H$1946,4,FALSE),""))</f>
        <v/>
      </c>
      <c r="P338" s="18" t="str">
        <f>IF($K338="","",IFERROR(VLOOKUP(--SUBSTITUTE(SUBSTITUTE(TRIM($K338),"-","")," ",""),마스터시트!$A$2:$H$1946,5,FALSE),""))</f>
        <v/>
      </c>
      <c r="Q338" s="18" t="str">
        <f>IF($K338="","",IFERROR(VLOOKUP(--SUBSTITUTE(SUBSTITUTE(TRIM($K338),"-","")," ",""),마스터시트!$A$2:$H$1946,6,FALSE),""))</f>
        <v/>
      </c>
      <c r="R338" s="18" t="str">
        <f>IF($K338="","",IFERROR(VLOOKUP(--SUBSTITUTE(SUBSTITUTE(TRIM($K338),"-","")," ",""),마스터시트!$A$2:$H$1946,7,FALSE),""))</f>
        <v/>
      </c>
    </row>
    <row r="339" spans="13:18" x14ac:dyDescent="0.3">
      <c r="M339" s="18" t="str">
        <f>IF($K339="","",IFERROR(VLOOKUP(--SUBSTITUTE(SUBSTITUTE(TRIM($K339),"-","")," ",""),마스터시트!$A$2:$H$1946,2,FALSE),"미등록"))</f>
        <v/>
      </c>
      <c r="N339" s="53" t="str">
        <f>IF($K339="","",IFERROR(VLOOKUP(--SUBSTITUTE(SUBSTITUTE(TRIM($K339),"-","")," ",""),마스터시트!$A$2:$H$1946,3,FALSE),"미등록"))</f>
        <v/>
      </c>
      <c r="O339" s="18" t="str">
        <f>IF($K339="","",IFERROR(VLOOKUP(--SUBSTITUTE(SUBSTITUTE(TRIM($K339),"-","")," ",""),마스터시트!$A$2:$H$1946,4,FALSE),""))</f>
        <v/>
      </c>
      <c r="P339" s="18" t="str">
        <f>IF($K339="","",IFERROR(VLOOKUP(--SUBSTITUTE(SUBSTITUTE(TRIM($K339),"-","")," ",""),마스터시트!$A$2:$H$1946,5,FALSE),""))</f>
        <v/>
      </c>
      <c r="Q339" s="18" t="str">
        <f>IF($K339="","",IFERROR(VLOOKUP(--SUBSTITUTE(SUBSTITUTE(TRIM($K339),"-","")," ",""),마스터시트!$A$2:$H$1946,6,FALSE),""))</f>
        <v/>
      </c>
      <c r="R339" s="18" t="str">
        <f>IF($K339="","",IFERROR(VLOOKUP(--SUBSTITUTE(SUBSTITUTE(TRIM($K339),"-","")," ",""),마스터시트!$A$2:$H$1946,7,FALSE),""))</f>
        <v/>
      </c>
    </row>
    <row r="340" spans="13:18" x14ac:dyDescent="0.3">
      <c r="M340" s="18" t="str">
        <f>IF($K340="","",IFERROR(VLOOKUP(--SUBSTITUTE(SUBSTITUTE(TRIM($K340),"-","")," ",""),마스터시트!$A$2:$H$1946,2,FALSE),"미등록"))</f>
        <v/>
      </c>
      <c r="N340" s="53" t="str">
        <f>IF($K340="","",IFERROR(VLOOKUP(--SUBSTITUTE(SUBSTITUTE(TRIM($K340),"-","")," ",""),마스터시트!$A$2:$H$1946,3,FALSE),"미등록"))</f>
        <v/>
      </c>
      <c r="O340" s="18" t="str">
        <f>IF($K340="","",IFERROR(VLOOKUP(--SUBSTITUTE(SUBSTITUTE(TRIM($K340),"-","")," ",""),마스터시트!$A$2:$H$1946,4,FALSE),""))</f>
        <v/>
      </c>
      <c r="P340" s="18" t="str">
        <f>IF($K340="","",IFERROR(VLOOKUP(--SUBSTITUTE(SUBSTITUTE(TRIM($K340),"-","")," ",""),마스터시트!$A$2:$H$1946,5,FALSE),""))</f>
        <v/>
      </c>
      <c r="Q340" s="18" t="str">
        <f>IF($K340="","",IFERROR(VLOOKUP(--SUBSTITUTE(SUBSTITUTE(TRIM($K340),"-","")," ",""),마스터시트!$A$2:$H$1946,6,FALSE),""))</f>
        <v/>
      </c>
      <c r="R340" s="18" t="str">
        <f>IF($K340="","",IFERROR(VLOOKUP(--SUBSTITUTE(SUBSTITUTE(TRIM($K340),"-","")," ",""),마스터시트!$A$2:$H$1946,7,FALSE),""))</f>
        <v/>
      </c>
    </row>
    <row r="341" spans="13:18" x14ac:dyDescent="0.3">
      <c r="M341" s="18" t="str">
        <f>IF($K341="","",IFERROR(VLOOKUP(--SUBSTITUTE(SUBSTITUTE(TRIM($K341),"-","")," ",""),마스터시트!$A$2:$H$1946,2,FALSE),"미등록"))</f>
        <v/>
      </c>
      <c r="N341" s="53" t="str">
        <f>IF($K341="","",IFERROR(VLOOKUP(--SUBSTITUTE(SUBSTITUTE(TRIM($K341),"-","")," ",""),마스터시트!$A$2:$H$1946,3,FALSE),"미등록"))</f>
        <v/>
      </c>
      <c r="O341" s="18" t="str">
        <f>IF($K341="","",IFERROR(VLOOKUP(--SUBSTITUTE(SUBSTITUTE(TRIM($K341),"-","")," ",""),마스터시트!$A$2:$H$1946,4,FALSE),""))</f>
        <v/>
      </c>
      <c r="P341" s="18" t="str">
        <f>IF($K341="","",IFERROR(VLOOKUP(--SUBSTITUTE(SUBSTITUTE(TRIM($K341),"-","")," ",""),마스터시트!$A$2:$H$1946,5,FALSE),""))</f>
        <v/>
      </c>
      <c r="Q341" s="18" t="str">
        <f>IF($K341="","",IFERROR(VLOOKUP(--SUBSTITUTE(SUBSTITUTE(TRIM($K341),"-","")," ",""),마스터시트!$A$2:$H$1946,6,FALSE),""))</f>
        <v/>
      </c>
      <c r="R341" s="18" t="str">
        <f>IF($K341="","",IFERROR(VLOOKUP(--SUBSTITUTE(SUBSTITUTE(TRIM($K341),"-","")," ",""),마스터시트!$A$2:$H$1946,7,FALSE),""))</f>
        <v/>
      </c>
    </row>
    <row r="342" spans="13:18" x14ac:dyDescent="0.3">
      <c r="M342" s="18" t="str">
        <f>IF($K342="","",IFERROR(VLOOKUP(--SUBSTITUTE(SUBSTITUTE(TRIM($K342),"-","")," ",""),마스터시트!$A$2:$H$1946,2,FALSE),"미등록"))</f>
        <v/>
      </c>
      <c r="N342" s="53" t="str">
        <f>IF($K342="","",IFERROR(VLOOKUP(--SUBSTITUTE(SUBSTITUTE(TRIM($K342),"-","")," ",""),마스터시트!$A$2:$H$1946,3,FALSE),"미등록"))</f>
        <v/>
      </c>
      <c r="O342" s="18" t="str">
        <f>IF($K342="","",IFERROR(VLOOKUP(--SUBSTITUTE(SUBSTITUTE(TRIM($K342),"-","")," ",""),마스터시트!$A$2:$H$1946,4,FALSE),""))</f>
        <v/>
      </c>
      <c r="P342" s="18" t="str">
        <f>IF($K342="","",IFERROR(VLOOKUP(--SUBSTITUTE(SUBSTITUTE(TRIM($K342),"-","")," ",""),마스터시트!$A$2:$H$1946,5,FALSE),""))</f>
        <v/>
      </c>
      <c r="Q342" s="18" t="str">
        <f>IF($K342="","",IFERROR(VLOOKUP(--SUBSTITUTE(SUBSTITUTE(TRIM($K342),"-","")," ",""),마스터시트!$A$2:$H$1946,6,FALSE),""))</f>
        <v/>
      </c>
      <c r="R342" s="18" t="str">
        <f>IF($K342="","",IFERROR(VLOOKUP(--SUBSTITUTE(SUBSTITUTE(TRIM($K342),"-","")," ",""),마스터시트!$A$2:$H$1946,7,FALSE),""))</f>
        <v/>
      </c>
    </row>
    <row r="343" spans="13:18" x14ac:dyDescent="0.3">
      <c r="M343" s="18" t="str">
        <f>IF($K343="","",IFERROR(VLOOKUP(--SUBSTITUTE(SUBSTITUTE(TRIM($K343),"-","")," ",""),마스터시트!$A$2:$H$1946,2,FALSE),"미등록"))</f>
        <v/>
      </c>
      <c r="N343" s="53" t="str">
        <f>IF($K343="","",IFERROR(VLOOKUP(--SUBSTITUTE(SUBSTITUTE(TRIM($K343),"-","")," ",""),마스터시트!$A$2:$H$1946,3,FALSE),"미등록"))</f>
        <v/>
      </c>
      <c r="O343" s="18" t="str">
        <f>IF($K343="","",IFERROR(VLOOKUP(--SUBSTITUTE(SUBSTITUTE(TRIM($K343),"-","")," ",""),마스터시트!$A$2:$H$1946,4,FALSE),""))</f>
        <v/>
      </c>
      <c r="P343" s="18" t="str">
        <f>IF($K343="","",IFERROR(VLOOKUP(--SUBSTITUTE(SUBSTITUTE(TRIM($K343),"-","")," ",""),마스터시트!$A$2:$H$1946,5,FALSE),""))</f>
        <v/>
      </c>
      <c r="Q343" s="18" t="str">
        <f>IF($K343="","",IFERROR(VLOOKUP(--SUBSTITUTE(SUBSTITUTE(TRIM($K343),"-","")," ",""),마스터시트!$A$2:$H$1946,6,FALSE),""))</f>
        <v/>
      </c>
      <c r="R343" s="18" t="str">
        <f>IF($K343="","",IFERROR(VLOOKUP(--SUBSTITUTE(SUBSTITUTE(TRIM($K343),"-","")," ",""),마스터시트!$A$2:$H$1946,7,FALSE),""))</f>
        <v/>
      </c>
    </row>
    <row r="344" spans="13:18" x14ac:dyDescent="0.3">
      <c r="M344" s="18" t="str">
        <f>IF($K344="","",IFERROR(VLOOKUP(--SUBSTITUTE(SUBSTITUTE(TRIM($K344),"-","")," ",""),마스터시트!$A$2:$H$1946,2,FALSE),"미등록"))</f>
        <v/>
      </c>
      <c r="N344" s="53" t="str">
        <f>IF($K344="","",IFERROR(VLOOKUP(--SUBSTITUTE(SUBSTITUTE(TRIM($K344),"-","")," ",""),마스터시트!$A$2:$H$1946,3,FALSE),"미등록"))</f>
        <v/>
      </c>
      <c r="O344" s="18" t="str">
        <f>IF($K344="","",IFERROR(VLOOKUP(--SUBSTITUTE(SUBSTITUTE(TRIM($K344),"-","")," ",""),마스터시트!$A$2:$H$1946,4,FALSE),""))</f>
        <v/>
      </c>
      <c r="P344" s="18" t="str">
        <f>IF($K344="","",IFERROR(VLOOKUP(--SUBSTITUTE(SUBSTITUTE(TRIM($K344),"-","")," ",""),마스터시트!$A$2:$H$1946,5,FALSE),""))</f>
        <v/>
      </c>
      <c r="Q344" s="18" t="str">
        <f>IF($K344="","",IFERROR(VLOOKUP(--SUBSTITUTE(SUBSTITUTE(TRIM($K344),"-","")," ",""),마스터시트!$A$2:$H$1946,6,FALSE),""))</f>
        <v/>
      </c>
      <c r="R344" s="18" t="str">
        <f>IF($K344="","",IFERROR(VLOOKUP(--SUBSTITUTE(SUBSTITUTE(TRIM($K344),"-","")," ",""),마스터시트!$A$2:$H$1946,7,FALSE),""))</f>
        <v/>
      </c>
    </row>
    <row r="345" spans="13:18" x14ac:dyDescent="0.3">
      <c r="M345" s="18" t="str">
        <f>IF($K345="","",IFERROR(VLOOKUP(--SUBSTITUTE(SUBSTITUTE(TRIM($K345),"-","")," ",""),마스터시트!$A$2:$H$1946,2,FALSE),"미등록"))</f>
        <v/>
      </c>
      <c r="N345" s="53" t="str">
        <f>IF($K345="","",IFERROR(VLOOKUP(--SUBSTITUTE(SUBSTITUTE(TRIM($K345),"-","")," ",""),마스터시트!$A$2:$H$1946,3,FALSE),"미등록"))</f>
        <v/>
      </c>
      <c r="O345" s="18" t="str">
        <f>IF($K345="","",IFERROR(VLOOKUP(--SUBSTITUTE(SUBSTITUTE(TRIM($K345),"-","")," ",""),마스터시트!$A$2:$H$1946,4,FALSE),""))</f>
        <v/>
      </c>
      <c r="P345" s="18" t="str">
        <f>IF($K345="","",IFERROR(VLOOKUP(--SUBSTITUTE(SUBSTITUTE(TRIM($K345),"-","")," ",""),마스터시트!$A$2:$H$1946,5,FALSE),""))</f>
        <v/>
      </c>
      <c r="Q345" s="18" t="str">
        <f>IF($K345="","",IFERROR(VLOOKUP(--SUBSTITUTE(SUBSTITUTE(TRIM($K345),"-","")," ",""),마스터시트!$A$2:$H$1946,6,FALSE),""))</f>
        <v/>
      </c>
      <c r="R345" s="18" t="str">
        <f>IF($K345="","",IFERROR(VLOOKUP(--SUBSTITUTE(SUBSTITUTE(TRIM($K345),"-","")," ",""),마스터시트!$A$2:$H$1946,7,FALSE),""))</f>
        <v/>
      </c>
    </row>
    <row r="346" spans="13:18" x14ac:dyDescent="0.3">
      <c r="M346" s="18" t="str">
        <f>IF($K346="","",IFERROR(VLOOKUP(--SUBSTITUTE(SUBSTITUTE(TRIM($K346),"-","")," ",""),마스터시트!$A$2:$H$1946,2,FALSE),"미등록"))</f>
        <v/>
      </c>
      <c r="N346" s="53" t="str">
        <f>IF($K346="","",IFERROR(VLOOKUP(--SUBSTITUTE(SUBSTITUTE(TRIM($K346),"-","")," ",""),마스터시트!$A$2:$H$1946,3,FALSE),"미등록"))</f>
        <v/>
      </c>
      <c r="O346" s="18" t="str">
        <f>IF($K346="","",IFERROR(VLOOKUP(--SUBSTITUTE(SUBSTITUTE(TRIM($K346),"-","")," ",""),마스터시트!$A$2:$H$1946,4,FALSE),""))</f>
        <v/>
      </c>
      <c r="P346" s="18" t="str">
        <f>IF($K346="","",IFERROR(VLOOKUP(--SUBSTITUTE(SUBSTITUTE(TRIM($K346),"-","")," ",""),마스터시트!$A$2:$H$1946,5,FALSE),""))</f>
        <v/>
      </c>
      <c r="Q346" s="18" t="str">
        <f>IF($K346="","",IFERROR(VLOOKUP(--SUBSTITUTE(SUBSTITUTE(TRIM($K346),"-","")," ",""),마스터시트!$A$2:$H$1946,6,FALSE),""))</f>
        <v/>
      </c>
      <c r="R346" s="18" t="str">
        <f>IF($K346="","",IFERROR(VLOOKUP(--SUBSTITUTE(SUBSTITUTE(TRIM($K346),"-","")," ",""),마스터시트!$A$2:$H$1946,7,FALSE),""))</f>
        <v/>
      </c>
    </row>
    <row r="347" spans="13:18" x14ac:dyDescent="0.3">
      <c r="M347" s="18" t="str">
        <f>IF($K347="","",IFERROR(VLOOKUP(--SUBSTITUTE(SUBSTITUTE(TRIM($K347),"-","")," ",""),마스터시트!$A$2:$H$1946,2,FALSE),"미등록"))</f>
        <v/>
      </c>
      <c r="N347" s="53" t="str">
        <f>IF($K347="","",IFERROR(VLOOKUP(--SUBSTITUTE(SUBSTITUTE(TRIM($K347),"-","")," ",""),마스터시트!$A$2:$H$1946,3,FALSE),"미등록"))</f>
        <v/>
      </c>
      <c r="O347" s="18" t="str">
        <f>IF($K347="","",IFERROR(VLOOKUP(--SUBSTITUTE(SUBSTITUTE(TRIM($K347),"-","")," ",""),마스터시트!$A$2:$H$1946,4,FALSE),""))</f>
        <v/>
      </c>
      <c r="P347" s="18" t="str">
        <f>IF($K347="","",IFERROR(VLOOKUP(--SUBSTITUTE(SUBSTITUTE(TRIM($K347),"-","")," ",""),마스터시트!$A$2:$H$1946,5,FALSE),""))</f>
        <v/>
      </c>
      <c r="Q347" s="18" t="str">
        <f>IF($K347="","",IFERROR(VLOOKUP(--SUBSTITUTE(SUBSTITUTE(TRIM($K347),"-","")," ",""),마스터시트!$A$2:$H$1946,6,FALSE),""))</f>
        <v/>
      </c>
      <c r="R347" s="18" t="str">
        <f>IF($K347="","",IFERROR(VLOOKUP(--SUBSTITUTE(SUBSTITUTE(TRIM($K347),"-","")," ",""),마스터시트!$A$2:$H$1946,7,FALSE),""))</f>
        <v/>
      </c>
    </row>
    <row r="348" spans="13:18" x14ac:dyDescent="0.3">
      <c r="M348" s="18" t="str">
        <f>IF($K348="","",IFERROR(VLOOKUP(--SUBSTITUTE(SUBSTITUTE(TRIM($K348),"-","")," ",""),마스터시트!$A$2:$H$1946,2,FALSE),"미등록"))</f>
        <v/>
      </c>
      <c r="N348" s="53" t="str">
        <f>IF($K348="","",IFERROR(VLOOKUP(--SUBSTITUTE(SUBSTITUTE(TRIM($K348),"-","")," ",""),마스터시트!$A$2:$H$1946,3,FALSE),"미등록"))</f>
        <v/>
      </c>
      <c r="O348" s="18" t="str">
        <f>IF($K348="","",IFERROR(VLOOKUP(--SUBSTITUTE(SUBSTITUTE(TRIM($K348),"-","")," ",""),마스터시트!$A$2:$H$1946,4,FALSE),""))</f>
        <v/>
      </c>
      <c r="P348" s="18" t="str">
        <f>IF($K348="","",IFERROR(VLOOKUP(--SUBSTITUTE(SUBSTITUTE(TRIM($K348),"-","")," ",""),마스터시트!$A$2:$H$1946,5,FALSE),""))</f>
        <v/>
      </c>
      <c r="Q348" s="18" t="str">
        <f>IF($K348="","",IFERROR(VLOOKUP(--SUBSTITUTE(SUBSTITUTE(TRIM($K348),"-","")," ",""),마스터시트!$A$2:$H$1946,6,FALSE),""))</f>
        <v/>
      </c>
      <c r="R348" s="18" t="str">
        <f>IF($K348="","",IFERROR(VLOOKUP(--SUBSTITUTE(SUBSTITUTE(TRIM($K348),"-","")," ",""),마스터시트!$A$2:$H$1946,7,FALSE),""))</f>
        <v/>
      </c>
    </row>
    <row r="349" spans="13:18" x14ac:dyDescent="0.3">
      <c r="M349" s="18" t="str">
        <f>IF($K349="","",IFERROR(VLOOKUP(--SUBSTITUTE(SUBSTITUTE(TRIM($K349),"-","")," ",""),마스터시트!$A$2:$H$1946,2,FALSE),"미등록"))</f>
        <v/>
      </c>
      <c r="N349" s="53" t="str">
        <f>IF($K349="","",IFERROR(VLOOKUP(--SUBSTITUTE(SUBSTITUTE(TRIM($K349),"-","")," ",""),마스터시트!$A$2:$H$1946,3,FALSE),"미등록"))</f>
        <v/>
      </c>
      <c r="O349" s="18" t="str">
        <f>IF($K349="","",IFERROR(VLOOKUP(--SUBSTITUTE(SUBSTITUTE(TRIM($K349),"-","")," ",""),마스터시트!$A$2:$H$1946,4,FALSE),""))</f>
        <v/>
      </c>
      <c r="P349" s="18" t="str">
        <f>IF($K349="","",IFERROR(VLOOKUP(--SUBSTITUTE(SUBSTITUTE(TRIM($K349),"-","")," ",""),마스터시트!$A$2:$H$1946,5,FALSE),""))</f>
        <v/>
      </c>
      <c r="Q349" s="18" t="str">
        <f>IF($K349="","",IFERROR(VLOOKUP(--SUBSTITUTE(SUBSTITUTE(TRIM($K349),"-","")," ",""),마스터시트!$A$2:$H$1946,6,FALSE),""))</f>
        <v/>
      </c>
      <c r="R349" s="18" t="str">
        <f>IF($K349="","",IFERROR(VLOOKUP(--SUBSTITUTE(SUBSTITUTE(TRIM($K349),"-","")," ",""),마스터시트!$A$2:$H$1946,7,FALSE),""))</f>
        <v/>
      </c>
    </row>
    <row r="350" spans="13:18" x14ac:dyDescent="0.3">
      <c r="M350" s="18" t="str">
        <f>IF($K350="","",IFERROR(VLOOKUP(--SUBSTITUTE(SUBSTITUTE(TRIM($K350),"-","")," ",""),마스터시트!$A$2:$H$1946,2,FALSE),"미등록"))</f>
        <v/>
      </c>
      <c r="N350" s="53" t="str">
        <f>IF($K350="","",IFERROR(VLOOKUP(--SUBSTITUTE(SUBSTITUTE(TRIM($K350),"-","")," ",""),마스터시트!$A$2:$H$1946,3,FALSE),"미등록"))</f>
        <v/>
      </c>
      <c r="O350" s="18" t="str">
        <f>IF($K350="","",IFERROR(VLOOKUP(--SUBSTITUTE(SUBSTITUTE(TRIM($K350),"-","")," ",""),마스터시트!$A$2:$H$1946,4,FALSE),""))</f>
        <v/>
      </c>
      <c r="P350" s="18" t="str">
        <f>IF($K350="","",IFERROR(VLOOKUP(--SUBSTITUTE(SUBSTITUTE(TRIM($K350),"-","")," ",""),마스터시트!$A$2:$H$1946,5,FALSE),""))</f>
        <v/>
      </c>
      <c r="Q350" s="18" t="str">
        <f>IF($K350="","",IFERROR(VLOOKUP(--SUBSTITUTE(SUBSTITUTE(TRIM($K350),"-","")," ",""),마스터시트!$A$2:$H$1946,6,FALSE),""))</f>
        <v/>
      </c>
      <c r="R350" s="18" t="str">
        <f>IF($K350="","",IFERROR(VLOOKUP(--SUBSTITUTE(SUBSTITUTE(TRIM($K350),"-","")," ",""),마스터시트!$A$2:$H$1946,7,FALSE),""))</f>
        <v/>
      </c>
    </row>
    <row r="351" spans="13:18" x14ac:dyDescent="0.3">
      <c r="M351" s="18" t="str">
        <f>IF($K351="","",IFERROR(VLOOKUP(--SUBSTITUTE(SUBSTITUTE(TRIM($K351),"-","")," ",""),마스터시트!$A$2:$H$1946,2,FALSE),"미등록"))</f>
        <v/>
      </c>
      <c r="N351" s="53" t="str">
        <f>IF($K351="","",IFERROR(VLOOKUP(--SUBSTITUTE(SUBSTITUTE(TRIM($K351),"-","")," ",""),마스터시트!$A$2:$H$1946,3,FALSE),"미등록"))</f>
        <v/>
      </c>
      <c r="O351" s="18" t="str">
        <f>IF($K351="","",IFERROR(VLOOKUP(--SUBSTITUTE(SUBSTITUTE(TRIM($K351),"-","")," ",""),마스터시트!$A$2:$H$1946,4,FALSE),""))</f>
        <v/>
      </c>
      <c r="P351" s="18" t="str">
        <f>IF($K351="","",IFERROR(VLOOKUP(--SUBSTITUTE(SUBSTITUTE(TRIM($K351),"-","")," ",""),마스터시트!$A$2:$H$1946,5,FALSE),""))</f>
        <v/>
      </c>
      <c r="Q351" s="18" t="str">
        <f>IF($K351="","",IFERROR(VLOOKUP(--SUBSTITUTE(SUBSTITUTE(TRIM($K351),"-","")," ",""),마스터시트!$A$2:$H$1946,6,FALSE),""))</f>
        <v/>
      </c>
      <c r="R351" s="18" t="str">
        <f>IF($K351="","",IFERROR(VLOOKUP(--SUBSTITUTE(SUBSTITUTE(TRIM($K351),"-","")," ",""),마스터시트!$A$2:$H$1946,7,FALSE),""))</f>
        <v/>
      </c>
    </row>
    <row r="352" spans="13:18" x14ac:dyDescent="0.3">
      <c r="M352" s="18" t="str">
        <f>IF($K352="","",IFERROR(VLOOKUP(--SUBSTITUTE(SUBSTITUTE(TRIM($K352),"-","")," ",""),마스터시트!$A$2:$H$1946,2,FALSE),"미등록"))</f>
        <v/>
      </c>
      <c r="N352" s="53" t="str">
        <f>IF($K352="","",IFERROR(VLOOKUP(--SUBSTITUTE(SUBSTITUTE(TRIM($K352),"-","")," ",""),마스터시트!$A$2:$H$1946,3,FALSE),"미등록"))</f>
        <v/>
      </c>
      <c r="O352" s="18" t="str">
        <f>IF($K352="","",IFERROR(VLOOKUP(--SUBSTITUTE(SUBSTITUTE(TRIM($K352),"-","")," ",""),마스터시트!$A$2:$H$1946,4,FALSE),""))</f>
        <v/>
      </c>
      <c r="P352" s="18" t="str">
        <f>IF($K352="","",IFERROR(VLOOKUP(--SUBSTITUTE(SUBSTITUTE(TRIM($K352),"-","")," ",""),마스터시트!$A$2:$H$1946,5,FALSE),""))</f>
        <v/>
      </c>
      <c r="Q352" s="18" t="str">
        <f>IF($K352="","",IFERROR(VLOOKUP(--SUBSTITUTE(SUBSTITUTE(TRIM($K352),"-","")," ",""),마스터시트!$A$2:$H$1946,6,FALSE),""))</f>
        <v/>
      </c>
      <c r="R352" s="18" t="str">
        <f>IF($K352="","",IFERROR(VLOOKUP(--SUBSTITUTE(SUBSTITUTE(TRIM($K352),"-","")," ",""),마스터시트!$A$2:$H$1946,7,FALSE),""))</f>
        <v/>
      </c>
    </row>
    <row r="353" spans="13:18" x14ac:dyDescent="0.3">
      <c r="M353" s="18" t="str">
        <f>IF($K353="","",IFERROR(VLOOKUP(--SUBSTITUTE(SUBSTITUTE(TRIM($K353),"-","")," ",""),마스터시트!$A$2:$H$1946,2,FALSE),"미등록"))</f>
        <v/>
      </c>
      <c r="N353" s="53" t="str">
        <f>IF($K353="","",IFERROR(VLOOKUP(--SUBSTITUTE(SUBSTITUTE(TRIM($K353),"-","")," ",""),마스터시트!$A$2:$H$1946,3,FALSE),"미등록"))</f>
        <v/>
      </c>
      <c r="O353" s="18" t="str">
        <f>IF($K353="","",IFERROR(VLOOKUP(--SUBSTITUTE(SUBSTITUTE(TRIM($K353),"-","")," ",""),마스터시트!$A$2:$H$1946,4,FALSE),""))</f>
        <v/>
      </c>
      <c r="P353" s="18" t="str">
        <f>IF($K353="","",IFERROR(VLOOKUP(--SUBSTITUTE(SUBSTITUTE(TRIM($K353),"-","")," ",""),마스터시트!$A$2:$H$1946,5,FALSE),""))</f>
        <v/>
      </c>
      <c r="Q353" s="18" t="str">
        <f>IF($K353="","",IFERROR(VLOOKUP(--SUBSTITUTE(SUBSTITUTE(TRIM($K353),"-","")," ",""),마스터시트!$A$2:$H$1946,6,FALSE),""))</f>
        <v/>
      </c>
      <c r="R353" s="18" t="str">
        <f>IF($K353="","",IFERROR(VLOOKUP(--SUBSTITUTE(SUBSTITUTE(TRIM($K353),"-","")," ",""),마스터시트!$A$2:$H$1946,7,FALSE),""))</f>
        <v/>
      </c>
    </row>
    <row r="354" spans="13:18" x14ac:dyDescent="0.3">
      <c r="M354" s="18" t="str">
        <f>IF($K354="","",IFERROR(VLOOKUP(--SUBSTITUTE(SUBSTITUTE(TRIM($K354),"-","")," ",""),마스터시트!$A$2:$H$1946,2,FALSE),"미등록"))</f>
        <v/>
      </c>
      <c r="N354" s="53" t="str">
        <f>IF($K354="","",IFERROR(VLOOKUP(--SUBSTITUTE(SUBSTITUTE(TRIM($K354),"-","")," ",""),마스터시트!$A$2:$H$1946,3,FALSE),"미등록"))</f>
        <v/>
      </c>
      <c r="O354" s="18" t="str">
        <f>IF($K354="","",IFERROR(VLOOKUP(--SUBSTITUTE(SUBSTITUTE(TRIM($K354),"-","")," ",""),마스터시트!$A$2:$H$1946,4,FALSE),""))</f>
        <v/>
      </c>
      <c r="P354" s="18" t="str">
        <f>IF($K354="","",IFERROR(VLOOKUP(--SUBSTITUTE(SUBSTITUTE(TRIM($K354),"-","")," ",""),마스터시트!$A$2:$H$1946,5,FALSE),""))</f>
        <v/>
      </c>
      <c r="Q354" s="18" t="str">
        <f>IF($K354="","",IFERROR(VLOOKUP(--SUBSTITUTE(SUBSTITUTE(TRIM($K354),"-","")," ",""),마스터시트!$A$2:$H$1946,6,FALSE),""))</f>
        <v/>
      </c>
      <c r="R354" s="18" t="str">
        <f>IF($K354="","",IFERROR(VLOOKUP(--SUBSTITUTE(SUBSTITUTE(TRIM($K354),"-","")," ",""),마스터시트!$A$2:$H$1946,7,FALSE),""))</f>
        <v/>
      </c>
    </row>
    <row r="355" spans="13:18" x14ac:dyDescent="0.3">
      <c r="M355" s="18" t="str">
        <f>IF($K355="","",IFERROR(VLOOKUP(--SUBSTITUTE(SUBSTITUTE(TRIM($K355),"-","")," ",""),마스터시트!$A$2:$H$1946,2,FALSE),"미등록"))</f>
        <v/>
      </c>
      <c r="N355" s="53" t="str">
        <f>IF($K355="","",IFERROR(VLOOKUP(--SUBSTITUTE(SUBSTITUTE(TRIM($K355),"-","")," ",""),마스터시트!$A$2:$H$1946,3,FALSE),"미등록"))</f>
        <v/>
      </c>
      <c r="O355" s="18" t="str">
        <f>IF($K355="","",IFERROR(VLOOKUP(--SUBSTITUTE(SUBSTITUTE(TRIM($K355),"-","")," ",""),마스터시트!$A$2:$H$1946,4,FALSE),""))</f>
        <v/>
      </c>
      <c r="P355" s="18" t="str">
        <f>IF($K355="","",IFERROR(VLOOKUP(--SUBSTITUTE(SUBSTITUTE(TRIM($K355),"-","")," ",""),마스터시트!$A$2:$H$1946,5,FALSE),""))</f>
        <v/>
      </c>
      <c r="Q355" s="18" t="str">
        <f>IF($K355="","",IFERROR(VLOOKUP(--SUBSTITUTE(SUBSTITUTE(TRIM($K355),"-","")," ",""),마스터시트!$A$2:$H$1946,6,FALSE),""))</f>
        <v/>
      </c>
      <c r="R355" s="18" t="str">
        <f>IF($K355="","",IFERROR(VLOOKUP(--SUBSTITUTE(SUBSTITUTE(TRIM($K355),"-","")," ",""),마스터시트!$A$2:$H$1946,7,FALSE),""))</f>
        <v/>
      </c>
    </row>
    <row r="356" spans="13:18" x14ac:dyDescent="0.3">
      <c r="M356" s="18" t="str">
        <f>IF($K356="","",IFERROR(VLOOKUP(--SUBSTITUTE(SUBSTITUTE(TRIM($K356),"-","")," ",""),마스터시트!$A$2:$H$1946,2,FALSE),"미등록"))</f>
        <v/>
      </c>
      <c r="N356" s="53" t="str">
        <f>IF($K356="","",IFERROR(VLOOKUP(--SUBSTITUTE(SUBSTITUTE(TRIM($K356),"-","")," ",""),마스터시트!$A$2:$H$1946,3,FALSE),"미등록"))</f>
        <v/>
      </c>
      <c r="O356" s="18" t="str">
        <f>IF($K356="","",IFERROR(VLOOKUP(--SUBSTITUTE(SUBSTITUTE(TRIM($K356),"-","")," ",""),마스터시트!$A$2:$H$1946,4,FALSE),""))</f>
        <v/>
      </c>
      <c r="P356" s="18" t="str">
        <f>IF($K356="","",IFERROR(VLOOKUP(--SUBSTITUTE(SUBSTITUTE(TRIM($K356),"-","")," ",""),마스터시트!$A$2:$H$1946,5,FALSE),""))</f>
        <v/>
      </c>
      <c r="Q356" s="18" t="str">
        <f>IF($K356="","",IFERROR(VLOOKUP(--SUBSTITUTE(SUBSTITUTE(TRIM($K356),"-","")," ",""),마스터시트!$A$2:$H$1946,6,FALSE),""))</f>
        <v/>
      </c>
      <c r="R356" s="18" t="str">
        <f>IF($K356="","",IFERROR(VLOOKUP(--SUBSTITUTE(SUBSTITUTE(TRIM($K356),"-","")," ",""),마스터시트!$A$2:$H$1946,7,FALSE),""))</f>
        <v/>
      </c>
    </row>
    <row r="357" spans="13:18" x14ac:dyDescent="0.3">
      <c r="M357" s="18" t="str">
        <f>IF($K357="","",IFERROR(VLOOKUP(--SUBSTITUTE(SUBSTITUTE(TRIM($K357),"-","")," ",""),마스터시트!$A$2:$H$1946,2,FALSE),"미등록"))</f>
        <v/>
      </c>
      <c r="N357" s="53" t="str">
        <f>IF($K357="","",IFERROR(VLOOKUP(--SUBSTITUTE(SUBSTITUTE(TRIM($K357),"-","")," ",""),마스터시트!$A$2:$H$1946,3,FALSE),"미등록"))</f>
        <v/>
      </c>
      <c r="O357" s="18" t="str">
        <f>IF($K357="","",IFERROR(VLOOKUP(--SUBSTITUTE(SUBSTITUTE(TRIM($K357),"-","")," ",""),마스터시트!$A$2:$H$1946,4,FALSE),""))</f>
        <v/>
      </c>
      <c r="P357" s="18" t="str">
        <f>IF($K357="","",IFERROR(VLOOKUP(--SUBSTITUTE(SUBSTITUTE(TRIM($K357),"-","")," ",""),마스터시트!$A$2:$H$1946,5,FALSE),""))</f>
        <v/>
      </c>
      <c r="Q357" s="18" t="str">
        <f>IF($K357="","",IFERROR(VLOOKUP(--SUBSTITUTE(SUBSTITUTE(TRIM($K357),"-","")," ",""),마스터시트!$A$2:$H$1946,6,FALSE),""))</f>
        <v/>
      </c>
      <c r="R357" s="18" t="str">
        <f>IF($K357="","",IFERROR(VLOOKUP(--SUBSTITUTE(SUBSTITUTE(TRIM($K357),"-","")," ",""),마스터시트!$A$2:$H$1946,7,FALSE),""))</f>
        <v/>
      </c>
    </row>
    <row r="358" spans="13:18" x14ac:dyDescent="0.3">
      <c r="M358" s="18" t="str">
        <f>IF($K358="","",IFERROR(VLOOKUP(--SUBSTITUTE(SUBSTITUTE(TRIM($K358),"-","")," ",""),마스터시트!$A$2:$H$1946,2,FALSE),"미등록"))</f>
        <v/>
      </c>
      <c r="N358" s="53" t="str">
        <f>IF($K358="","",IFERROR(VLOOKUP(--SUBSTITUTE(SUBSTITUTE(TRIM($K358),"-","")," ",""),마스터시트!$A$2:$H$1946,3,FALSE),"미등록"))</f>
        <v/>
      </c>
      <c r="O358" s="18" t="str">
        <f>IF($K358="","",IFERROR(VLOOKUP(--SUBSTITUTE(SUBSTITUTE(TRIM($K358),"-","")," ",""),마스터시트!$A$2:$H$1946,4,FALSE),""))</f>
        <v/>
      </c>
      <c r="P358" s="18" t="str">
        <f>IF($K358="","",IFERROR(VLOOKUP(--SUBSTITUTE(SUBSTITUTE(TRIM($K358),"-","")," ",""),마스터시트!$A$2:$H$1946,5,FALSE),""))</f>
        <v/>
      </c>
      <c r="Q358" s="18" t="str">
        <f>IF($K358="","",IFERROR(VLOOKUP(--SUBSTITUTE(SUBSTITUTE(TRIM($K358),"-","")," ",""),마스터시트!$A$2:$H$1946,6,FALSE),""))</f>
        <v/>
      </c>
      <c r="R358" s="18" t="str">
        <f>IF($K358="","",IFERROR(VLOOKUP(--SUBSTITUTE(SUBSTITUTE(TRIM($K358),"-","")," ",""),마스터시트!$A$2:$H$1946,7,FALSE),""))</f>
        <v/>
      </c>
    </row>
    <row r="359" spans="13:18" x14ac:dyDescent="0.3">
      <c r="M359" s="18" t="str">
        <f>IF($K359="","",IFERROR(VLOOKUP(--SUBSTITUTE(SUBSTITUTE(TRIM($K359),"-","")," ",""),마스터시트!$A$2:$H$1946,2,FALSE),"미등록"))</f>
        <v/>
      </c>
      <c r="N359" s="53" t="str">
        <f>IF($K359="","",IFERROR(VLOOKUP(--SUBSTITUTE(SUBSTITUTE(TRIM($K359),"-","")," ",""),마스터시트!$A$2:$H$1946,3,FALSE),"미등록"))</f>
        <v/>
      </c>
      <c r="O359" s="18" t="str">
        <f>IF($K359="","",IFERROR(VLOOKUP(--SUBSTITUTE(SUBSTITUTE(TRIM($K359),"-","")," ",""),마스터시트!$A$2:$H$1946,4,FALSE),""))</f>
        <v/>
      </c>
      <c r="P359" s="18" t="str">
        <f>IF($K359="","",IFERROR(VLOOKUP(--SUBSTITUTE(SUBSTITUTE(TRIM($K359),"-","")," ",""),마스터시트!$A$2:$H$1946,5,FALSE),""))</f>
        <v/>
      </c>
      <c r="Q359" s="18" t="str">
        <f>IF($K359="","",IFERROR(VLOOKUP(--SUBSTITUTE(SUBSTITUTE(TRIM($K359),"-","")," ",""),마스터시트!$A$2:$H$1946,6,FALSE),""))</f>
        <v/>
      </c>
      <c r="R359" s="18" t="str">
        <f>IF($K359="","",IFERROR(VLOOKUP(--SUBSTITUTE(SUBSTITUTE(TRIM($K359),"-","")," ",""),마스터시트!$A$2:$H$1946,7,FALSE),""))</f>
        <v/>
      </c>
    </row>
    <row r="360" spans="13:18" x14ac:dyDescent="0.3">
      <c r="M360" s="18" t="str">
        <f>IF($K360="","",IFERROR(VLOOKUP(--SUBSTITUTE(SUBSTITUTE(TRIM($K360),"-","")," ",""),마스터시트!$A$2:$H$1946,2,FALSE),"미등록"))</f>
        <v/>
      </c>
      <c r="N360" s="53" t="str">
        <f>IF($K360="","",IFERROR(VLOOKUP(--SUBSTITUTE(SUBSTITUTE(TRIM($K360),"-","")," ",""),마스터시트!$A$2:$H$1946,3,FALSE),"미등록"))</f>
        <v/>
      </c>
      <c r="O360" s="18" t="str">
        <f>IF($K360="","",IFERROR(VLOOKUP(--SUBSTITUTE(SUBSTITUTE(TRIM($K360),"-","")," ",""),마스터시트!$A$2:$H$1946,4,FALSE),""))</f>
        <v/>
      </c>
      <c r="P360" s="18" t="str">
        <f>IF($K360="","",IFERROR(VLOOKUP(--SUBSTITUTE(SUBSTITUTE(TRIM($K360),"-","")," ",""),마스터시트!$A$2:$H$1946,5,FALSE),""))</f>
        <v/>
      </c>
      <c r="Q360" s="18" t="str">
        <f>IF($K360="","",IFERROR(VLOOKUP(--SUBSTITUTE(SUBSTITUTE(TRIM($K360),"-","")," ",""),마스터시트!$A$2:$H$1946,6,FALSE),""))</f>
        <v/>
      </c>
      <c r="R360" s="18" t="str">
        <f>IF($K360="","",IFERROR(VLOOKUP(--SUBSTITUTE(SUBSTITUTE(TRIM($K360),"-","")," ",""),마스터시트!$A$2:$H$1946,7,FALSE),""))</f>
        <v/>
      </c>
    </row>
    <row r="361" spans="13:18" x14ac:dyDescent="0.3">
      <c r="M361" s="18" t="str">
        <f>IF($K361="","",IFERROR(VLOOKUP(--SUBSTITUTE(SUBSTITUTE(TRIM($K361),"-","")," ",""),마스터시트!$A$2:$H$1946,2,FALSE),"미등록"))</f>
        <v/>
      </c>
      <c r="N361" s="53" t="str">
        <f>IF($K361="","",IFERROR(VLOOKUP(--SUBSTITUTE(SUBSTITUTE(TRIM($K361),"-","")," ",""),마스터시트!$A$2:$H$1946,3,FALSE),"미등록"))</f>
        <v/>
      </c>
      <c r="O361" s="18" t="str">
        <f>IF($K361="","",IFERROR(VLOOKUP(--SUBSTITUTE(SUBSTITUTE(TRIM($K361),"-","")," ",""),마스터시트!$A$2:$H$1946,4,FALSE),""))</f>
        <v/>
      </c>
      <c r="P361" s="18" t="str">
        <f>IF($K361="","",IFERROR(VLOOKUP(--SUBSTITUTE(SUBSTITUTE(TRIM($K361),"-","")," ",""),마스터시트!$A$2:$H$1946,5,FALSE),""))</f>
        <v/>
      </c>
      <c r="Q361" s="18" t="str">
        <f>IF($K361="","",IFERROR(VLOOKUP(--SUBSTITUTE(SUBSTITUTE(TRIM($K361),"-","")," ",""),마스터시트!$A$2:$H$1946,6,FALSE),""))</f>
        <v/>
      </c>
      <c r="R361" s="18" t="str">
        <f>IF($K361="","",IFERROR(VLOOKUP(--SUBSTITUTE(SUBSTITUTE(TRIM($K361),"-","")," ",""),마스터시트!$A$2:$H$1946,7,FALSE),""))</f>
        <v/>
      </c>
    </row>
    <row r="362" spans="13:18" x14ac:dyDescent="0.3">
      <c r="M362" s="18" t="str">
        <f>IF($K362="","",IFERROR(VLOOKUP(--SUBSTITUTE(SUBSTITUTE(TRIM($K362),"-","")," ",""),마스터시트!$A$2:$H$1946,2,FALSE),"미등록"))</f>
        <v/>
      </c>
      <c r="N362" s="53" t="str">
        <f>IF($K362="","",IFERROR(VLOOKUP(--SUBSTITUTE(SUBSTITUTE(TRIM($K362),"-","")," ",""),마스터시트!$A$2:$H$1946,3,FALSE),"미등록"))</f>
        <v/>
      </c>
      <c r="O362" s="18" t="str">
        <f>IF($K362="","",IFERROR(VLOOKUP(--SUBSTITUTE(SUBSTITUTE(TRIM($K362),"-","")," ",""),마스터시트!$A$2:$H$1946,4,FALSE),""))</f>
        <v/>
      </c>
      <c r="P362" s="18" t="str">
        <f>IF($K362="","",IFERROR(VLOOKUP(--SUBSTITUTE(SUBSTITUTE(TRIM($K362),"-","")," ",""),마스터시트!$A$2:$H$1946,5,FALSE),""))</f>
        <v/>
      </c>
      <c r="Q362" s="18" t="str">
        <f>IF($K362="","",IFERROR(VLOOKUP(--SUBSTITUTE(SUBSTITUTE(TRIM($K362),"-","")," ",""),마스터시트!$A$2:$H$1946,6,FALSE),""))</f>
        <v/>
      </c>
      <c r="R362" s="18" t="str">
        <f>IF($K362="","",IFERROR(VLOOKUP(--SUBSTITUTE(SUBSTITUTE(TRIM($K362),"-","")," ",""),마스터시트!$A$2:$H$1946,7,FALSE),""))</f>
        <v/>
      </c>
    </row>
    <row r="363" spans="13:18" x14ac:dyDescent="0.3">
      <c r="M363" s="18" t="str">
        <f>IF($K363="","",IFERROR(VLOOKUP(--SUBSTITUTE(SUBSTITUTE(TRIM($K363),"-","")," ",""),마스터시트!$A$2:$H$1946,2,FALSE),"미등록"))</f>
        <v/>
      </c>
      <c r="N363" s="53" t="str">
        <f>IF($K363="","",IFERROR(VLOOKUP(--SUBSTITUTE(SUBSTITUTE(TRIM($K363),"-","")," ",""),마스터시트!$A$2:$H$1946,3,FALSE),"미등록"))</f>
        <v/>
      </c>
      <c r="O363" s="18" t="str">
        <f>IF($K363="","",IFERROR(VLOOKUP(--SUBSTITUTE(SUBSTITUTE(TRIM($K363),"-","")," ",""),마스터시트!$A$2:$H$1946,4,FALSE),""))</f>
        <v/>
      </c>
      <c r="P363" s="18" t="str">
        <f>IF($K363="","",IFERROR(VLOOKUP(--SUBSTITUTE(SUBSTITUTE(TRIM($K363),"-","")," ",""),마스터시트!$A$2:$H$1946,5,FALSE),""))</f>
        <v/>
      </c>
      <c r="Q363" s="18" t="str">
        <f>IF($K363="","",IFERROR(VLOOKUP(--SUBSTITUTE(SUBSTITUTE(TRIM($K363),"-","")," ",""),마스터시트!$A$2:$H$1946,6,FALSE),""))</f>
        <v/>
      </c>
      <c r="R363" s="18" t="str">
        <f>IF($K363="","",IFERROR(VLOOKUP(--SUBSTITUTE(SUBSTITUTE(TRIM($K363),"-","")," ",""),마스터시트!$A$2:$H$1946,7,FALSE),""))</f>
        <v/>
      </c>
    </row>
    <row r="364" spans="13:18" x14ac:dyDescent="0.3">
      <c r="M364" s="18" t="str">
        <f>IF($K364="","",IFERROR(VLOOKUP(--SUBSTITUTE(SUBSTITUTE(TRIM($K364),"-","")," ",""),마스터시트!$A$2:$H$1946,2,FALSE),"미등록"))</f>
        <v/>
      </c>
      <c r="N364" s="53" t="str">
        <f>IF($K364="","",IFERROR(VLOOKUP(--SUBSTITUTE(SUBSTITUTE(TRIM($K364),"-","")," ",""),마스터시트!$A$2:$H$1946,3,FALSE),"미등록"))</f>
        <v/>
      </c>
      <c r="O364" s="18" t="str">
        <f>IF($K364="","",IFERROR(VLOOKUP(--SUBSTITUTE(SUBSTITUTE(TRIM($K364),"-","")," ",""),마스터시트!$A$2:$H$1946,4,FALSE),""))</f>
        <v/>
      </c>
      <c r="P364" s="18" t="str">
        <f>IF($K364="","",IFERROR(VLOOKUP(--SUBSTITUTE(SUBSTITUTE(TRIM($K364),"-","")," ",""),마스터시트!$A$2:$H$1946,5,FALSE),""))</f>
        <v/>
      </c>
      <c r="Q364" s="18" t="str">
        <f>IF($K364="","",IFERROR(VLOOKUP(--SUBSTITUTE(SUBSTITUTE(TRIM($K364),"-","")," ",""),마스터시트!$A$2:$H$1946,6,FALSE),""))</f>
        <v/>
      </c>
      <c r="R364" s="18" t="str">
        <f>IF($K364="","",IFERROR(VLOOKUP(--SUBSTITUTE(SUBSTITUTE(TRIM($K364),"-","")," ",""),마스터시트!$A$2:$H$1946,7,FALSE),""))</f>
        <v/>
      </c>
    </row>
    <row r="365" spans="13:18" x14ac:dyDescent="0.3">
      <c r="M365" s="18" t="str">
        <f>IF($K365="","",IFERROR(VLOOKUP(--SUBSTITUTE(SUBSTITUTE(TRIM($K365),"-","")," ",""),마스터시트!$A$2:$H$1946,2,FALSE),"미등록"))</f>
        <v/>
      </c>
      <c r="N365" s="53" t="str">
        <f>IF($K365="","",IFERROR(VLOOKUP(--SUBSTITUTE(SUBSTITUTE(TRIM($K365),"-","")," ",""),마스터시트!$A$2:$H$1946,3,FALSE),"미등록"))</f>
        <v/>
      </c>
      <c r="O365" s="18" t="str">
        <f>IF($K365="","",IFERROR(VLOOKUP(--SUBSTITUTE(SUBSTITUTE(TRIM($K365),"-","")," ",""),마스터시트!$A$2:$H$1946,4,FALSE),""))</f>
        <v/>
      </c>
      <c r="P365" s="18" t="str">
        <f>IF($K365="","",IFERROR(VLOOKUP(--SUBSTITUTE(SUBSTITUTE(TRIM($K365),"-","")," ",""),마스터시트!$A$2:$H$1946,5,FALSE),""))</f>
        <v/>
      </c>
      <c r="Q365" s="18" t="str">
        <f>IF($K365="","",IFERROR(VLOOKUP(--SUBSTITUTE(SUBSTITUTE(TRIM($K365),"-","")," ",""),마스터시트!$A$2:$H$1946,6,FALSE),""))</f>
        <v/>
      </c>
      <c r="R365" s="18" t="str">
        <f>IF($K365="","",IFERROR(VLOOKUP(--SUBSTITUTE(SUBSTITUTE(TRIM($K365),"-","")," ",""),마스터시트!$A$2:$H$1946,7,FALSE),""))</f>
        <v/>
      </c>
    </row>
    <row r="366" spans="13:18" x14ac:dyDescent="0.3">
      <c r="M366" s="18" t="str">
        <f>IF($K366="","",IFERROR(VLOOKUP(--SUBSTITUTE(SUBSTITUTE(TRIM($K366),"-","")," ",""),마스터시트!$A$2:$H$1946,2,FALSE),"미등록"))</f>
        <v/>
      </c>
      <c r="N366" s="53" t="str">
        <f>IF($K366="","",IFERROR(VLOOKUP(--SUBSTITUTE(SUBSTITUTE(TRIM($K366),"-","")," ",""),마스터시트!$A$2:$H$1946,3,FALSE),"미등록"))</f>
        <v/>
      </c>
      <c r="O366" s="18" t="str">
        <f>IF($K366="","",IFERROR(VLOOKUP(--SUBSTITUTE(SUBSTITUTE(TRIM($K366),"-","")," ",""),마스터시트!$A$2:$H$1946,4,FALSE),""))</f>
        <v/>
      </c>
      <c r="P366" s="18" t="str">
        <f>IF($K366="","",IFERROR(VLOOKUP(--SUBSTITUTE(SUBSTITUTE(TRIM($K366),"-","")," ",""),마스터시트!$A$2:$H$1946,5,FALSE),""))</f>
        <v/>
      </c>
      <c r="Q366" s="18" t="str">
        <f>IF($K366="","",IFERROR(VLOOKUP(--SUBSTITUTE(SUBSTITUTE(TRIM($K366),"-","")," ",""),마스터시트!$A$2:$H$1946,6,FALSE),""))</f>
        <v/>
      </c>
      <c r="R366" s="18" t="str">
        <f>IF($K366="","",IFERROR(VLOOKUP(--SUBSTITUTE(SUBSTITUTE(TRIM($K366),"-","")," ",""),마스터시트!$A$2:$H$1946,7,FALSE),""))</f>
        <v/>
      </c>
    </row>
    <row r="367" spans="13:18" x14ac:dyDescent="0.3">
      <c r="M367" s="18" t="str">
        <f>IF($K367="","",IFERROR(VLOOKUP(--SUBSTITUTE(SUBSTITUTE(TRIM($K367),"-","")," ",""),마스터시트!$A$2:$H$1946,2,FALSE),"미등록"))</f>
        <v/>
      </c>
      <c r="N367" s="53" t="str">
        <f>IF($K367="","",IFERROR(VLOOKUP(--SUBSTITUTE(SUBSTITUTE(TRIM($K367),"-","")," ",""),마스터시트!$A$2:$H$1946,3,FALSE),"미등록"))</f>
        <v/>
      </c>
      <c r="O367" s="18" t="str">
        <f>IF($K367="","",IFERROR(VLOOKUP(--SUBSTITUTE(SUBSTITUTE(TRIM($K367),"-","")," ",""),마스터시트!$A$2:$H$1946,4,FALSE),""))</f>
        <v/>
      </c>
      <c r="P367" s="18" t="str">
        <f>IF($K367="","",IFERROR(VLOOKUP(--SUBSTITUTE(SUBSTITUTE(TRIM($K367),"-","")," ",""),마스터시트!$A$2:$H$1946,5,FALSE),""))</f>
        <v/>
      </c>
      <c r="Q367" s="18" t="str">
        <f>IF($K367="","",IFERROR(VLOOKUP(--SUBSTITUTE(SUBSTITUTE(TRIM($K367),"-","")," ",""),마스터시트!$A$2:$H$1946,6,FALSE),""))</f>
        <v/>
      </c>
      <c r="R367" s="18" t="str">
        <f>IF($K367="","",IFERROR(VLOOKUP(--SUBSTITUTE(SUBSTITUTE(TRIM($K367),"-","")," ",""),마스터시트!$A$2:$H$1946,7,FALSE),""))</f>
        <v/>
      </c>
    </row>
    <row r="368" spans="13:18" x14ac:dyDescent="0.3">
      <c r="M368" s="18" t="str">
        <f>IF($K368="","",IFERROR(VLOOKUP(--SUBSTITUTE(SUBSTITUTE(TRIM($K368),"-","")," ",""),마스터시트!$A$2:$H$1946,2,FALSE),"미등록"))</f>
        <v/>
      </c>
      <c r="N368" s="53" t="str">
        <f>IF($K368="","",IFERROR(VLOOKUP(--SUBSTITUTE(SUBSTITUTE(TRIM($K368),"-","")," ",""),마스터시트!$A$2:$H$1946,3,FALSE),"미등록"))</f>
        <v/>
      </c>
      <c r="O368" s="18" t="str">
        <f>IF($K368="","",IFERROR(VLOOKUP(--SUBSTITUTE(SUBSTITUTE(TRIM($K368),"-","")," ",""),마스터시트!$A$2:$H$1946,4,FALSE),""))</f>
        <v/>
      </c>
      <c r="P368" s="18" t="str">
        <f>IF($K368="","",IFERROR(VLOOKUP(--SUBSTITUTE(SUBSTITUTE(TRIM($K368),"-","")," ",""),마스터시트!$A$2:$H$1946,5,FALSE),""))</f>
        <v/>
      </c>
      <c r="Q368" s="18" t="str">
        <f>IF($K368="","",IFERROR(VLOOKUP(--SUBSTITUTE(SUBSTITUTE(TRIM($K368),"-","")," ",""),마스터시트!$A$2:$H$1946,6,FALSE),""))</f>
        <v/>
      </c>
      <c r="R368" s="18" t="str">
        <f>IF($K368="","",IFERROR(VLOOKUP(--SUBSTITUTE(SUBSTITUTE(TRIM($K368),"-","")," ",""),마스터시트!$A$2:$H$1946,7,FALSE),""))</f>
        <v/>
      </c>
    </row>
    <row r="369" spans="13:18" x14ac:dyDescent="0.3">
      <c r="M369" s="18" t="str">
        <f>IF($K369="","",IFERROR(VLOOKUP(--SUBSTITUTE(SUBSTITUTE(TRIM($K369),"-","")," ",""),마스터시트!$A$2:$H$1946,2,FALSE),"미등록"))</f>
        <v/>
      </c>
      <c r="N369" s="53" t="str">
        <f>IF($K369="","",IFERROR(VLOOKUP(--SUBSTITUTE(SUBSTITUTE(TRIM($K369),"-","")," ",""),마스터시트!$A$2:$H$1946,3,FALSE),"미등록"))</f>
        <v/>
      </c>
      <c r="O369" s="18" t="str">
        <f>IF($K369="","",IFERROR(VLOOKUP(--SUBSTITUTE(SUBSTITUTE(TRIM($K369),"-","")," ",""),마스터시트!$A$2:$H$1946,4,FALSE),""))</f>
        <v/>
      </c>
      <c r="P369" s="18" t="str">
        <f>IF($K369="","",IFERROR(VLOOKUP(--SUBSTITUTE(SUBSTITUTE(TRIM($K369),"-","")," ",""),마스터시트!$A$2:$H$1946,5,FALSE),""))</f>
        <v/>
      </c>
      <c r="Q369" s="18" t="str">
        <f>IF($K369="","",IFERROR(VLOOKUP(--SUBSTITUTE(SUBSTITUTE(TRIM($K369),"-","")," ",""),마스터시트!$A$2:$H$1946,6,FALSE),""))</f>
        <v/>
      </c>
      <c r="R369" s="18" t="str">
        <f>IF($K369="","",IFERROR(VLOOKUP(--SUBSTITUTE(SUBSTITUTE(TRIM($K369),"-","")," ",""),마스터시트!$A$2:$H$1946,7,FALSE),""))</f>
        <v/>
      </c>
    </row>
    <row r="370" spans="13:18" x14ac:dyDescent="0.3">
      <c r="M370" s="18" t="str">
        <f>IF($K370="","",IFERROR(VLOOKUP(--SUBSTITUTE(SUBSTITUTE(TRIM($K370),"-","")," ",""),마스터시트!$A$2:$H$1946,2,FALSE),"미등록"))</f>
        <v/>
      </c>
      <c r="N370" s="53" t="str">
        <f>IF($K370="","",IFERROR(VLOOKUP(--SUBSTITUTE(SUBSTITUTE(TRIM($K370),"-","")," ",""),마스터시트!$A$2:$H$1946,3,FALSE),"미등록"))</f>
        <v/>
      </c>
      <c r="O370" s="18" t="str">
        <f>IF($K370="","",IFERROR(VLOOKUP(--SUBSTITUTE(SUBSTITUTE(TRIM($K370),"-","")," ",""),마스터시트!$A$2:$H$1946,4,FALSE),""))</f>
        <v/>
      </c>
      <c r="P370" s="18" t="str">
        <f>IF($K370="","",IFERROR(VLOOKUP(--SUBSTITUTE(SUBSTITUTE(TRIM($K370),"-","")," ",""),마스터시트!$A$2:$H$1946,5,FALSE),""))</f>
        <v/>
      </c>
      <c r="Q370" s="18" t="str">
        <f>IF($K370="","",IFERROR(VLOOKUP(--SUBSTITUTE(SUBSTITUTE(TRIM($K370),"-","")," ",""),마스터시트!$A$2:$H$1946,6,FALSE),""))</f>
        <v/>
      </c>
      <c r="R370" s="18" t="str">
        <f>IF($K370="","",IFERROR(VLOOKUP(--SUBSTITUTE(SUBSTITUTE(TRIM($K370),"-","")," ",""),마스터시트!$A$2:$H$1946,7,FALSE),""))</f>
        <v/>
      </c>
    </row>
    <row r="371" spans="13:18" x14ac:dyDescent="0.3">
      <c r="M371" s="18" t="str">
        <f>IF($K371="","",IFERROR(VLOOKUP(--SUBSTITUTE(SUBSTITUTE(TRIM($K371),"-","")," ",""),마스터시트!$A$2:$H$1946,2,FALSE),"미등록"))</f>
        <v/>
      </c>
      <c r="N371" s="53" t="str">
        <f>IF($K371="","",IFERROR(VLOOKUP(--SUBSTITUTE(SUBSTITUTE(TRIM($K371),"-","")," ",""),마스터시트!$A$2:$H$1946,3,FALSE),"미등록"))</f>
        <v/>
      </c>
      <c r="O371" s="18" t="str">
        <f>IF($K371="","",IFERROR(VLOOKUP(--SUBSTITUTE(SUBSTITUTE(TRIM($K371),"-","")," ",""),마스터시트!$A$2:$H$1946,4,FALSE),""))</f>
        <v/>
      </c>
      <c r="P371" s="18" t="str">
        <f>IF($K371="","",IFERROR(VLOOKUP(--SUBSTITUTE(SUBSTITUTE(TRIM($K371),"-","")," ",""),마스터시트!$A$2:$H$1946,5,FALSE),""))</f>
        <v/>
      </c>
      <c r="Q371" s="18" t="str">
        <f>IF($K371="","",IFERROR(VLOOKUP(--SUBSTITUTE(SUBSTITUTE(TRIM($K371),"-","")," ",""),마스터시트!$A$2:$H$1946,6,FALSE),""))</f>
        <v/>
      </c>
      <c r="R371" s="18" t="str">
        <f>IF($K371="","",IFERROR(VLOOKUP(--SUBSTITUTE(SUBSTITUTE(TRIM($K371),"-","")," ",""),마스터시트!$A$2:$H$1946,7,FALSE),""))</f>
        <v/>
      </c>
    </row>
    <row r="372" spans="13:18" x14ac:dyDescent="0.3">
      <c r="M372" s="18" t="str">
        <f>IF($K372="","",IFERROR(VLOOKUP(--SUBSTITUTE(SUBSTITUTE(TRIM($K372),"-","")," ",""),마스터시트!$A$2:$H$1946,2,FALSE),"미등록"))</f>
        <v/>
      </c>
      <c r="N372" s="53" t="str">
        <f>IF($K372="","",IFERROR(VLOOKUP(--SUBSTITUTE(SUBSTITUTE(TRIM($K372),"-","")," ",""),마스터시트!$A$2:$H$1946,3,FALSE),"미등록"))</f>
        <v/>
      </c>
      <c r="O372" s="18" t="str">
        <f>IF($K372="","",IFERROR(VLOOKUP(--SUBSTITUTE(SUBSTITUTE(TRIM($K372),"-","")," ",""),마스터시트!$A$2:$H$1946,4,FALSE),""))</f>
        <v/>
      </c>
      <c r="P372" s="18" t="str">
        <f>IF($K372="","",IFERROR(VLOOKUP(--SUBSTITUTE(SUBSTITUTE(TRIM($K372),"-","")," ",""),마스터시트!$A$2:$H$1946,5,FALSE),""))</f>
        <v/>
      </c>
      <c r="Q372" s="18" t="str">
        <f>IF($K372="","",IFERROR(VLOOKUP(--SUBSTITUTE(SUBSTITUTE(TRIM($K372),"-","")," ",""),마스터시트!$A$2:$H$1946,6,FALSE),""))</f>
        <v/>
      </c>
      <c r="R372" s="18" t="str">
        <f>IF($K372="","",IFERROR(VLOOKUP(--SUBSTITUTE(SUBSTITUTE(TRIM($K372),"-","")," ",""),마스터시트!$A$2:$H$1946,7,FALSE),""))</f>
        <v/>
      </c>
    </row>
    <row r="373" spans="13:18" x14ac:dyDescent="0.3">
      <c r="M373" s="18" t="str">
        <f>IF($K373="","",IFERROR(VLOOKUP(--SUBSTITUTE(SUBSTITUTE(TRIM($K373),"-","")," ",""),마스터시트!$A$2:$H$1946,2,FALSE),"미등록"))</f>
        <v/>
      </c>
      <c r="N373" s="53" t="str">
        <f>IF($K373="","",IFERROR(VLOOKUP(--SUBSTITUTE(SUBSTITUTE(TRIM($K373),"-","")," ",""),마스터시트!$A$2:$H$1946,3,FALSE),"미등록"))</f>
        <v/>
      </c>
      <c r="O373" s="18" t="str">
        <f>IF($K373="","",IFERROR(VLOOKUP(--SUBSTITUTE(SUBSTITUTE(TRIM($K373),"-","")," ",""),마스터시트!$A$2:$H$1946,4,FALSE),""))</f>
        <v/>
      </c>
      <c r="P373" s="18" t="str">
        <f>IF($K373="","",IFERROR(VLOOKUP(--SUBSTITUTE(SUBSTITUTE(TRIM($K373),"-","")," ",""),마스터시트!$A$2:$H$1946,5,FALSE),""))</f>
        <v/>
      </c>
      <c r="Q373" s="18" t="str">
        <f>IF($K373="","",IFERROR(VLOOKUP(--SUBSTITUTE(SUBSTITUTE(TRIM($K373),"-","")," ",""),마스터시트!$A$2:$H$1946,6,FALSE),""))</f>
        <v/>
      </c>
      <c r="R373" s="18" t="str">
        <f>IF($K373="","",IFERROR(VLOOKUP(--SUBSTITUTE(SUBSTITUTE(TRIM($K373),"-","")," ",""),마스터시트!$A$2:$H$1946,7,FALSE),""))</f>
        <v/>
      </c>
    </row>
    <row r="374" spans="13:18" x14ac:dyDescent="0.3">
      <c r="M374" s="18" t="str">
        <f>IF($K374="","",IFERROR(VLOOKUP(--SUBSTITUTE(SUBSTITUTE(TRIM($K374),"-","")," ",""),마스터시트!$A$2:$H$1946,2,FALSE),"미등록"))</f>
        <v/>
      </c>
      <c r="N374" s="53" t="str">
        <f>IF($K374="","",IFERROR(VLOOKUP(--SUBSTITUTE(SUBSTITUTE(TRIM($K374),"-","")," ",""),마스터시트!$A$2:$H$1946,3,FALSE),"미등록"))</f>
        <v/>
      </c>
      <c r="O374" s="18" t="str">
        <f>IF($K374="","",IFERROR(VLOOKUP(--SUBSTITUTE(SUBSTITUTE(TRIM($K374),"-","")," ",""),마스터시트!$A$2:$H$1946,4,FALSE),""))</f>
        <v/>
      </c>
      <c r="P374" s="18" t="str">
        <f>IF($K374="","",IFERROR(VLOOKUP(--SUBSTITUTE(SUBSTITUTE(TRIM($K374),"-","")," ",""),마스터시트!$A$2:$H$1946,5,FALSE),""))</f>
        <v/>
      </c>
      <c r="Q374" s="18" t="str">
        <f>IF($K374="","",IFERROR(VLOOKUP(--SUBSTITUTE(SUBSTITUTE(TRIM($K374),"-","")," ",""),마스터시트!$A$2:$H$1946,6,FALSE),""))</f>
        <v/>
      </c>
      <c r="R374" s="18" t="str">
        <f>IF($K374="","",IFERROR(VLOOKUP(--SUBSTITUTE(SUBSTITUTE(TRIM($K374),"-","")," ",""),마스터시트!$A$2:$H$1946,7,FALSE),""))</f>
        <v/>
      </c>
    </row>
    <row r="375" spans="13:18" x14ac:dyDescent="0.3">
      <c r="M375" s="18" t="str">
        <f>IF($K375="","",IFERROR(VLOOKUP(--SUBSTITUTE(SUBSTITUTE(TRIM($K375),"-","")," ",""),마스터시트!$A$2:$H$1946,2,FALSE),"미등록"))</f>
        <v/>
      </c>
      <c r="N375" s="53" t="str">
        <f>IF($K375="","",IFERROR(VLOOKUP(--SUBSTITUTE(SUBSTITUTE(TRIM($K375),"-","")," ",""),마스터시트!$A$2:$H$1946,3,FALSE),"미등록"))</f>
        <v/>
      </c>
      <c r="O375" s="18" t="str">
        <f>IF($K375="","",IFERROR(VLOOKUP(--SUBSTITUTE(SUBSTITUTE(TRIM($K375),"-","")," ",""),마스터시트!$A$2:$H$1946,4,FALSE),""))</f>
        <v/>
      </c>
      <c r="P375" s="18" t="str">
        <f>IF($K375="","",IFERROR(VLOOKUP(--SUBSTITUTE(SUBSTITUTE(TRIM($K375),"-","")," ",""),마스터시트!$A$2:$H$1946,5,FALSE),""))</f>
        <v/>
      </c>
      <c r="Q375" s="18" t="str">
        <f>IF($K375="","",IFERROR(VLOOKUP(--SUBSTITUTE(SUBSTITUTE(TRIM($K375),"-","")," ",""),마스터시트!$A$2:$H$1946,6,FALSE),""))</f>
        <v/>
      </c>
      <c r="R375" s="18" t="str">
        <f>IF($K375="","",IFERROR(VLOOKUP(--SUBSTITUTE(SUBSTITUTE(TRIM($K375),"-","")," ",""),마스터시트!$A$2:$H$1946,7,FALSE),""))</f>
        <v/>
      </c>
    </row>
    <row r="376" spans="13:18" x14ac:dyDescent="0.3">
      <c r="M376" s="18" t="str">
        <f>IF($K376="","",IFERROR(VLOOKUP(--SUBSTITUTE(SUBSTITUTE(TRIM($K376),"-","")," ",""),마스터시트!$A$2:$H$1946,2,FALSE),"미등록"))</f>
        <v/>
      </c>
      <c r="N376" s="53" t="str">
        <f>IF($K376="","",IFERROR(VLOOKUP(--SUBSTITUTE(SUBSTITUTE(TRIM($K376),"-","")," ",""),마스터시트!$A$2:$H$1946,3,FALSE),"미등록"))</f>
        <v/>
      </c>
      <c r="O376" s="18" t="str">
        <f>IF($K376="","",IFERROR(VLOOKUP(--SUBSTITUTE(SUBSTITUTE(TRIM($K376),"-","")," ",""),마스터시트!$A$2:$H$1946,4,FALSE),""))</f>
        <v/>
      </c>
      <c r="P376" s="18" t="str">
        <f>IF($K376="","",IFERROR(VLOOKUP(--SUBSTITUTE(SUBSTITUTE(TRIM($K376),"-","")," ",""),마스터시트!$A$2:$H$1946,5,FALSE),""))</f>
        <v/>
      </c>
      <c r="Q376" s="18" t="str">
        <f>IF($K376="","",IFERROR(VLOOKUP(--SUBSTITUTE(SUBSTITUTE(TRIM($K376),"-","")," ",""),마스터시트!$A$2:$H$1946,6,FALSE),""))</f>
        <v/>
      </c>
      <c r="R376" s="18" t="str">
        <f>IF($K376="","",IFERROR(VLOOKUP(--SUBSTITUTE(SUBSTITUTE(TRIM($K376),"-","")," ",""),마스터시트!$A$2:$H$1946,7,FALSE),""))</f>
        <v/>
      </c>
    </row>
    <row r="377" spans="13:18" x14ac:dyDescent="0.3">
      <c r="M377" s="18" t="str">
        <f>IF($K377="","",IFERROR(VLOOKUP(--SUBSTITUTE(SUBSTITUTE(TRIM($K377),"-","")," ",""),마스터시트!$A$2:$H$1946,2,FALSE),"미등록"))</f>
        <v/>
      </c>
      <c r="N377" s="53" t="str">
        <f>IF($K377="","",IFERROR(VLOOKUP(--SUBSTITUTE(SUBSTITUTE(TRIM($K377),"-","")," ",""),마스터시트!$A$2:$H$1946,3,FALSE),"미등록"))</f>
        <v/>
      </c>
      <c r="O377" s="18" t="str">
        <f>IF($K377="","",IFERROR(VLOOKUP(--SUBSTITUTE(SUBSTITUTE(TRIM($K377),"-","")," ",""),마스터시트!$A$2:$H$1946,4,FALSE),""))</f>
        <v/>
      </c>
      <c r="P377" s="18" t="str">
        <f>IF($K377="","",IFERROR(VLOOKUP(--SUBSTITUTE(SUBSTITUTE(TRIM($K377),"-","")," ",""),마스터시트!$A$2:$H$1946,5,FALSE),""))</f>
        <v/>
      </c>
      <c r="Q377" s="18" t="str">
        <f>IF($K377="","",IFERROR(VLOOKUP(--SUBSTITUTE(SUBSTITUTE(TRIM($K377),"-","")," ",""),마스터시트!$A$2:$H$1946,6,FALSE),""))</f>
        <v/>
      </c>
      <c r="R377" s="18" t="str">
        <f>IF($K377="","",IFERROR(VLOOKUP(--SUBSTITUTE(SUBSTITUTE(TRIM($K377),"-","")," ",""),마스터시트!$A$2:$H$1946,7,FALSE),""))</f>
        <v/>
      </c>
    </row>
    <row r="378" spans="13:18" x14ac:dyDescent="0.3">
      <c r="M378" s="18" t="str">
        <f>IF($K378="","",IFERROR(VLOOKUP(--SUBSTITUTE(SUBSTITUTE(TRIM($K378),"-","")," ",""),마스터시트!$A$2:$H$1946,2,FALSE),"미등록"))</f>
        <v/>
      </c>
      <c r="N378" s="53" t="str">
        <f>IF($K378="","",IFERROR(VLOOKUP(--SUBSTITUTE(SUBSTITUTE(TRIM($K378),"-","")," ",""),마스터시트!$A$2:$H$1946,3,FALSE),"미등록"))</f>
        <v/>
      </c>
      <c r="O378" s="18" t="str">
        <f>IF($K378="","",IFERROR(VLOOKUP(--SUBSTITUTE(SUBSTITUTE(TRIM($K378),"-","")," ",""),마스터시트!$A$2:$H$1946,4,FALSE),""))</f>
        <v/>
      </c>
      <c r="P378" s="18" t="str">
        <f>IF($K378="","",IFERROR(VLOOKUP(--SUBSTITUTE(SUBSTITUTE(TRIM($K378),"-","")," ",""),마스터시트!$A$2:$H$1946,5,FALSE),""))</f>
        <v/>
      </c>
      <c r="Q378" s="18" t="str">
        <f>IF($K378="","",IFERROR(VLOOKUP(--SUBSTITUTE(SUBSTITUTE(TRIM($K378),"-","")," ",""),마스터시트!$A$2:$H$1946,6,FALSE),""))</f>
        <v/>
      </c>
      <c r="R378" s="18" t="str">
        <f>IF($K378="","",IFERROR(VLOOKUP(--SUBSTITUTE(SUBSTITUTE(TRIM($K378),"-","")," ",""),마스터시트!$A$2:$H$1946,7,FALSE),""))</f>
        <v/>
      </c>
    </row>
    <row r="379" spans="13:18" x14ac:dyDescent="0.3">
      <c r="M379" s="18" t="str">
        <f>IF($K379="","",IFERROR(VLOOKUP(--SUBSTITUTE(SUBSTITUTE(TRIM($K379),"-","")," ",""),마스터시트!$A$2:$H$1946,2,FALSE),"미등록"))</f>
        <v/>
      </c>
      <c r="N379" s="53" t="str">
        <f>IF($K379="","",IFERROR(VLOOKUP(--SUBSTITUTE(SUBSTITUTE(TRIM($K379),"-","")," ",""),마스터시트!$A$2:$H$1946,3,FALSE),"미등록"))</f>
        <v/>
      </c>
      <c r="O379" s="18" t="str">
        <f>IF($K379="","",IFERROR(VLOOKUP(--SUBSTITUTE(SUBSTITUTE(TRIM($K379),"-","")," ",""),마스터시트!$A$2:$H$1946,4,FALSE),""))</f>
        <v/>
      </c>
      <c r="P379" s="18" t="str">
        <f>IF($K379="","",IFERROR(VLOOKUP(--SUBSTITUTE(SUBSTITUTE(TRIM($K379),"-","")," ",""),마스터시트!$A$2:$H$1946,5,FALSE),""))</f>
        <v/>
      </c>
      <c r="Q379" s="18" t="str">
        <f>IF($K379="","",IFERROR(VLOOKUP(--SUBSTITUTE(SUBSTITUTE(TRIM($K379),"-","")," ",""),마스터시트!$A$2:$H$1946,6,FALSE),""))</f>
        <v/>
      </c>
      <c r="R379" s="18" t="str">
        <f>IF($K379="","",IFERROR(VLOOKUP(--SUBSTITUTE(SUBSTITUTE(TRIM($K379),"-","")," ",""),마스터시트!$A$2:$H$1946,7,FALSE),""))</f>
        <v/>
      </c>
    </row>
    <row r="380" spans="13:18" x14ac:dyDescent="0.3">
      <c r="M380" s="18" t="str">
        <f>IF($K380="","",IFERROR(VLOOKUP(--SUBSTITUTE(SUBSTITUTE(TRIM($K380),"-","")," ",""),마스터시트!$A$2:$H$1946,2,FALSE),"미등록"))</f>
        <v/>
      </c>
      <c r="N380" s="53" t="str">
        <f>IF($K380="","",IFERROR(VLOOKUP(--SUBSTITUTE(SUBSTITUTE(TRIM($K380),"-","")," ",""),마스터시트!$A$2:$H$1946,3,FALSE),"미등록"))</f>
        <v/>
      </c>
      <c r="O380" s="18" t="str">
        <f>IF($K380="","",IFERROR(VLOOKUP(--SUBSTITUTE(SUBSTITUTE(TRIM($K380),"-","")," ",""),마스터시트!$A$2:$H$1946,4,FALSE),""))</f>
        <v/>
      </c>
      <c r="P380" s="18" t="str">
        <f>IF($K380="","",IFERROR(VLOOKUP(--SUBSTITUTE(SUBSTITUTE(TRIM($K380),"-","")," ",""),마스터시트!$A$2:$H$1946,5,FALSE),""))</f>
        <v/>
      </c>
      <c r="Q380" s="18" t="str">
        <f>IF($K380="","",IFERROR(VLOOKUP(--SUBSTITUTE(SUBSTITUTE(TRIM($K380),"-","")," ",""),마스터시트!$A$2:$H$1946,6,FALSE),""))</f>
        <v/>
      </c>
      <c r="R380" s="18" t="str">
        <f>IF($K380="","",IFERROR(VLOOKUP(--SUBSTITUTE(SUBSTITUTE(TRIM($K380),"-","")," ",""),마스터시트!$A$2:$H$1946,7,FALSE),""))</f>
        <v/>
      </c>
    </row>
    <row r="381" spans="13:18" x14ac:dyDescent="0.3">
      <c r="M381" s="18" t="str">
        <f>IF($K381="","",IFERROR(VLOOKUP(--SUBSTITUTE(SUBSTITUTE(TRIM($K381),"-","")," ",""),마스터시트!$A$2:$H$1946,2,FALSE),"미등록"))</f>
        <v/>
      </c>
      <c r="N381" s="53" t="str">
        <f>IF($K381="","",IFERROR(VLOOKUP(--SUBSTITUTE(SUBSTITUTE(TRIM($K381),"-","")," ",""),마스터시트!$A$2:$H$1946,3,FALSE),"미등록"))</f>
        <v/>
      </c>
      <c r="O381" s="18" t="str">
        <f>IF($K381="","",IFERROR(VLOOKUP(--SUBSTITUTE(SUBSTITUTE(TRIM($K381),"-","")," ",""),마스터시트!$A$2:$H$1946,4,FALSE),""))</f>
        <v/>
      </c>
      <c r="P381" s="18" t="str">
        <f>IF($K381="","",IFERROR(VLOOKUP(--SUBSTITUTE(SUBSTITUTE(TRIM($K381),"-","")," ",""),마스터시트!$A$2:$H$1946,5,FALSE),""))</f>
        <v/>
      </c>
      <c r="Q381" s="18" t="str">
        <f>IF($K381="","",IFERROR(VLOOKUP(--SUBSTITUTE(SUBSTITUTE(TRIM($K381),"-","")," ",""),마스터시트!$A$2:$H$1946,6,FALSE),""))</f>
        <v/>
      </c>
      <c r="R381" s="18" t="str">
        <f>IF($K381="","",IFERROR(VLOOKUP(--SUBSTITUTE(SUBSTITUTE(TRIM($K381),"-","")," ",""),마스터시트!$A$2:$H$1946,7,FALSE),""))</f>
        <v/>
      </c>
    </row>
    <row r="382" spans="13:18" x14ac:dyDescent="0.3">
      <c r="M382" s="18" t="str">
        <f>IF($K382="","",IFERROR(VLOOKUP(--SUBSTITUTE(SUBSTITUTE(TRIM($K382),"-","")," ",""),마스터시트!$A$2:$H$1946,2,FALSE),"미등록"))</f>
        <v/>
      </c>
      <c r="N382" s="53" t="str">
        <f>IF($K382="","",IFERROR(VLOOKUP(--SUBSTITUTE(SUBSTITUTE(TRIM($K382),"-","")," ",""),마스터시트!$A$2:$H$1946,3,FALSE),"미등록"))</f>
        <v/>
      </c>
      <c r="O382" s="18" t="str">
        <f>IF($K382="","",IFERROR(VLOOKUP(--SUBSTITUTE(SUBSTITUTE(TRIM($K382),"-","")," ",""),마스터시트!$A$2:$H$1946,4,FALSE),""))</f>
        <v/>
      </c>
      <c r="P382" s="18" t="str">
        <f>IF($K382="","",IFERROR(VLOOKUP(--SUBSTITUTE(SUBSTITUTE(TRIM($K382),"-","")," ",""),마스터시트!$A$2:$H$1946,5,FALSE),""))</f>
        <v/>
      </c>
      <c r="Q382" s="18" t="str">
        <f>IF($K382="","",IFERROR(VLOOKUP(--SUBSTITUTE(SUBSTITUTE(TRIM($K382),"-","")," ",""),마스터시트!$A$2:$H$1946,6,FALSE),""))</f>
        <v/>
      </c>
      <c r="R382" s="18" t="str">
        <f>IF($K382="","",IFERROR(VLOOKUP(--SUBSTITUTE(SUBSTITUTE(TRIM($K382),"-","")," ",""),마스터시트!$A$2:$H$1946,7,FALSE),""))</f>
        <v/>
      </c>
    </row>
    <row r="383" spans="13:18" x14ac:dyDescent="0.3">
      <c r="M383" s="18" t="str">
        <f>IF($K383="","",IFERROR(VLOOKUP(--SUBSTITUTE(SUBSTITUTE(TRIM($K383),"-","")," ",""),마스터시트!$A$2:$H$1946,2,FALSE),"미등록"))</f>
        <v/>
      </c>
      <c r="N383" s="53" t="str">
        <f>IF($K383="","",IFERROR(VLOOKUP(--SUBSTITUTE(SUBSTITUTE(TRIM($K383),"-","")," ",""),마스터시트!$A$2:$H$1946,3,FALSE),"미등록"))</f>
        <v/>
      </c>
      <c r="O383" s="18" t="str">
        <f>IF($K383="","",IFERROR(VLOOKUP(--SUBSTITUTE(SUBSTITUTE(TRIM($K383),"-","")," ",""),마스터시트!$A$2:$H$1946,4,FALSE),""))</f>
        <v/>
      </c>
      <c r="P383" s="18" t="str">
        <f>IF($K383="","",IFERROR(VLOOKUP(--SUBSTITUTE(SUBSTITUTE(TRIM($K383),"-","")," ",""),마스터시트!$A$2:$H$1946,5,FALSE),""))</f>
        <v/>
      </c>
      <c r="Q383" s="18" t="str">
        <f>IF($K383="","",IFERROR(VLOOKUP(--SUBSTITUTE(SUBSTITUTE(TRIM($K383),"-","")," ",""),마스터시트!$A$2:$H$1946,6,FALSE),""))</f>
        <v/>
      </c>
      <c r="R383" s="18" t="str">
        <f>IF($K383="","",IFERROR(VLOOKUP(--SUBSTITUTE(SUBSTITUTE(TRIM($K383),"-","")," ",""),마스터시트!$A$2:$H$1946,7,FALSE),""))</f>
        <v/>
      </c>
    </row>
    <row r="384" spans="13:18" x14ac:dyDescent="0.3">
      <c r="M384" s="18" t="str">
        <f>IF($K384="","",IFERROR(VLOOKUP(--SUBSTITUTE(SUBSTITUTE(TRIM($K384),"-","")," ",""),마스터시트!$A$2:$H$1946,2,FALSE),"미등록"))</f>
        <v/>
      </c>
      <c r="N384" s="53" t="str">
        <f>IF($K384="","",IFERROR(VLOOKUP(--SUBSTITUTE(SUBSTITUTE(TRIM($K384),"-","")," ",""),마스터시트!$A$2:$H$1946,3,FALSE),"미등록"))</f>
        <v/>
      </c>
      <c r="O384" s="18" t="str">
        <f>IF($K384="","",IFERROR(VLOOKUP(--SUBSTITUTE(SUBSTITUTE(TRIM($K384),"-","")," ",""),마스터시트!$A$2:$H$1946,4,FALSE),""))</f>
        <v/>
      </c>
      <c r="P384" s="18" t="str">
        <f>IF($K384="","",IFERROR(VLOOKUP(--SUBSTITUTE(SUBSTITUTE(TRIM($K384),"-","")," ",""),마스터시트!$A$2:$H$1946,5,FALSE),""))</f>
        <v/>
      </c>
      <c r="Q384" s="18" t="str">
        <f>IF($K384="","",IFERROR(VLOOKUP(--SUBSTITUTE(SUBSTITUTE(TRIM($K384),"-","")," ",""),마스터시트!$A$2:$H$1946,6,FALSE),""))</f>
        <v/>
      </c>
      <c r="R384" s="18" t="str">
        <f>IF($K384="","",IFERROR(VLOOKUP(--SUBSTITUTE(SUBSTITUTE(TRIM($K384),"-","")," ",""),마스터시트!$A$2:$H$1946,7,FALSE),""))</f>
        <v/>
      </c>
    </row>
    <row r="385" spans="13:18" x14ac:dyDescent="0.3">
      <c r="M385" s="18" t="str">
        <f>IF($K385="","",IFERROR(VLOOKUP(--SUBSTITUTE(SUBSTITUTE(TRIM($K385),"-","")," ",""),마스터시트!$A$2:$H$1946,2,FALSE),"미등록"))</f>
        <v/>
      </c>
      <c r="N385" s="53" t="str">
        <f>IF($K385="","",IFERROR(VLOOKUP(--SUBSTITUTE(SUBSTITUTE(TRIM($K385),"-","")," ",""),마스터시트!$A$2:$H$1946,3,FALSE),"미등록"))</f>
        <v/>
      </c>
      <c r="O385" s="18" t="str">
        <f>IF($K385="","",IFERROR(VLOOKUP(--SUBSTITUTE(SUBSTITUTE(TRIM($K385),"-","")," ",""),마스터시트!$A$2:$H$1946,4,FALSE),""))</f>
        <v/>
      </c>
      <c r="P385" s="18" t="str">
        <f>IF($K385="","",IFERROR(VLOOKUP(--SUBSTITUTE(SUBSTITUTE(TRIM($K385),"-","")," ",""),마스터시트!$A$2:$H$1946,5,FALSE),""))</f>
        <v/>
      </c>
      <c r="Q385" s="18" t="str">
        <f>IF($K385="","",IFERROR(VLOOKUP(--SUBSTITUTE(SUBSTITUTE(TRIM($K385),"-","")," ",""),마스터시트!$A$2:$H$1946,6,FALSE),""))</f>
        <v/>
      </c>
      <c r="R385" s="18" t="str">
        <f>IF($K385="","",IFERROR(VLOOKUP(--SUBSTITUTE(SUBSTITUTE(TRIM($K385),"-","")," ",""),마스터시트!$A$2:$H$1946,7,FALSE),""))</f>
        <v/>
      </c>
    </row>
    <row r="386" spans="13:18" x14ac:dyDescent="0.3">
      <c r="M386" s="18" t="str">
        <f>IF($K386="","",IFERROR(VLOOKUP(--SUBSTITUTE(SUBSTITUTE(TRIM($K386),"-","")," ",""),마스터시트!$A$2:$H$1946,2,FALSE),"미등록"))</f>
        <v/>
      </c>
      <c r="N386" s="53" t="str">
        <f>IF($K386="","",IFERROR(VLOOKUP(--SUBSTITUTE(SUBSTITUTE(TRIM($K386),"-","")," ",""),마스터시트!$A$2:$H$1946,3,FALSE),"미등록"))</f>
        <v/>
      </c>
      <c r="O386" s="18" t="str">
        <f>IF($K386="","",IFERROR(VLOOKUP(--SUBSTITUTE(SUBSTITUTE(TRIM($K386),"-","")," ",""),마스터시트!$A$2:$H$1946,4,FALSE),""))</f>
        <v/>
      </c>
      <c r="P386" s="18" t="str">
        <f>IF($K386="","",IFERROR(VLOOKUP(--SUBSTITUTE(SUBSTITUTE(TRIM($K386),"-","")," ",""),마스터시트!$A$2:$H$1946,5,FALSE),""))</f>
        <v/>
      </c>
      <c r="Q386" s="18" t="str">
        <f>IF($K386="","",IFERROR(VLOOKUP(--SUBSTITUTE(SUBSTITUTE(TRIM($K386),"-","")," ",""),마스터시트!$A$2:$H$1946,6,FALSE),""))</f>
        <v/>
      </c>
      <c r="R386" s="18" t="str">
        <f>IF($K386="","",IFERROR(VLOOKUP(--SUBSTITUTE(SUBSTITUTE(TRIM($K386),"-","")," ",""),마스터시트!$A$2:$H$1946,7,FALSE),""))</f>
        <v/>
      </c>
    </row>
    <row r="387" spans="13:18" x14ac:dyDescent="0.3">
      <c r="M387" s="18" t="str">
        <f>IF($K387="","",IFERROR(VLOOKUP(--SUBSTITUTE(SUBSTITUTE(TRIM($K387),"-","")," ",""),마스터시트!$A$2:$H$1946,2,FALSE),"미등록"))</f>
        <v/>
      </c>
      <c r="N387" s="53" t="str">
        <f>IF($K387="","",IFERROR(VLOOKUP(--SUBSTITUTE(SUBSTITUTE(TRIM($K387),"-","")," ",""),마스터시트!$A$2:$H$1946,3,FALSE),"미등록"))</f>
        <v/>
      </c>
      <c r="O387" s="18" t="str">
        <f>IF($K387="","",IFERROR(VLOOKUP(--SUBSTITUTE(SUBSTITUTE(TRIM($K387),"-","")," ",""),마스터시트!$A$2:$H$1946,4,FALSE),""))</f>
        <v/>
      </c>
      <c r="P387" s="18" t="str">
        <f>IF($K387="","",IFERROR(VLOOKUP(--SUBSTITUTE(SUBSTITUTE(TRIM($K387),"-","")," ",""),마스터시트!$A$2:$H$1946,5,FALSE),""))</f>
        <v/>
      </c>
      <c r="Q387" s="18" t="str">
        <f>IF($K387="","",IFERROR(VLOOKUP(--SUBSTITUTE(SUBSTITUTE(TRIM($K387),"-","")," ",""),마스터시트!$A$2:$H$1946,6,FALSE),""))</f>
        <v/>
      </c>
      <c r="R387" s="18" t="str">
        <f>IF($K387="","",IFERROR(VLOOKUP(--SUBSTITUTE(SUBSTITUTE(TRIM($K387),"-","")," ",""),마스터시트!$A$2:$H$1946,7,FALSE),""))</f>
        <v/>
      </c>
    </row>
    <row r="388" spans="13:18" x14ac:dyDescent="0.3">
      <c r="M388" s="18" t="str">
        <f>IF($K388="","",IFERROR(VLOOKUP(--SUBSTITUTE(SUBSTITUTE(TRIM($K388),"-","")," ",""),마스터시트!$A$2:$H$1946,2,FALSE),"미등록"))</f>
        <v/>
      </c>
      <c r="N388" s="53" t="str">
        <f>IF($K388="","",IFERROR(VLOOKUP(--SUBSTITUTE(SUBSTITUTE(TRIM($K388),"-","")," ",""),마스터시트!$A$2:$H$1946,3,FALSE),"미등록"))</f>
        <v/>
      </c>
      <c r="O388" s="18" t="str">
        <f>IF($K388="","",IFERROR(VLOOKUP(--SUBSTITUTE(SUBSTITUTE(TRIM($K388),"-","")," ",""),마스터시트!$A$2:$H$1946,4,FALSE),""))</f>
        <v/>
      </c>
      <c r="P388" s="18" t="str">
        <f>IF($K388="","",IFERROR(VLOOKUP(--SUBSTITUTE(SUBSTITUTE(TRIM($K388),"-","")," ",""),마스터시트!$A$2:$H$1946,5,FALSE),""))</f>
        <v/>
      </c>
      <c r="Q388" s="18" t="str">
        <f>IF($K388="","",IFERROR(VLOOKUP(--SUBSTITUTE(SUBSTITUTE(TRIM($K388),"-","")," ",""),마스터시트!$A$2:$H$1946,6,FALSE),""))</f>
        <v/>
      </c>
      <c r="R388" s="18" t="str">
        <f>IF($K388="","",IFERROR(VLOOKUP(--SUBSTITUTE(SUBSTITUTE(TRIM($K388),"-","")," ",""),마스터시트!$A$2:$H$1946,7,FALSE),""))</f>
        <v/>
      </c>
    </row>
    <row r="389" spans="13:18" x14ac:dyDescent="0.3">
      <c r="M389" s="18" t="str">
        <f>IF($K389="","",IFERROR(VLOOKUP(--SUBSTITUTE(SUBSTITUTE(TRIM($K389),"-","")," ",""),마스터시트!$A$2:$H$1946,2,FALSE),"미등록"))</f>
        <v/>
      </c>
      <c r="N389" s="53" t="str">
        <f>IF($K389="","",IFERROR(VLOOKUP(--SUBSTITUTE(SUBSTITUTE(TRIM($K389),"-","")," ",""),마스터시트!$A$2:$H$1946,3,FALSE),"미등록"))</f>
        <v/>
      </c>
      <c r="O389" s="18" t="str">
        <f>IF($K389="","",IFERROR(VLOOKUP(--SUBSTITUTE(SUBSTITUTE(TRIM($K389),"-","")," ",""),마스터시트!$A$2:$H$1946,4,FALSE),""))</f>
        <v/>
      </c>
      <c r="P389" s="18" t="str">
        <f>IF($K389="","",IFERROR(VLOOKUP(--SUBSTITUTE(SUBSTITUTE(TRIM($K389),"-","")," ",""),마스터시트!$A$2:$H$1946,5,FALSE),""))</f>
        <v/>
      </c>
      <c r="Q389" s="18" t="str">
        <f>IF($K389="","",IFERROR(VLOOKUP(--SUBSTITUTE(SUBSTITUTE(TRIM($K389),"-","")," ",""),마스터시트!$A$2:$H$1946,6,FALSE),""))</f>
        <v/>
      </c>
      <c r="R389" s="18" t="str">
        <f>IF($K389="","",IFERROR(VLOOKUP(--SUBSTITUTE(SUBSTITUTE(TRIM($K389),"-","")," ",""),마스터시트!$A$2:$H$1946,7,FALSE),""))</f>
        <v/>
      </c>
    </row>
    <row r="390" spans="13:18" x14ac:dyDescent="0.3">
      <c r="M390" s="18" t="str">
        <f>IF($K390="","",IFERROR(VLOOKUP(--SUBSTITUTE(SUBSTITUTE(TRIM($K390),"-","")," ",""),마스터시트!$A$2:$H$1946,2,FALSE),"미등록"))</f>
        <v/>
      </c>
      <c r="N390" s="53" t="str">
        <f>IF($K390="","",IFERROR(VLOOKUP(--SUBSTITUTE(SUBSTITUTE(TRIM($K390),"-","")," ",""),마스터시트!$A$2:$H$1946,3,FALSE),"미등록"))</f>
        <v/>
      </c>
      <c r="O390" s="18" t="str">
        <f>IF($K390="","",IFERROR(VLOOKUP(--SUBSTITUTE(SUBSTITUTE(TRIM($K390),"-","")," ",""),마스터시트!$A$2:$H$1946,4,FALSE),""))</f>
        <v/>
      </c>
      <c r="P390" s="18" t="str">
        <f>IF($K390="","",IFERROR(VLOOKUP(--SUBSTITUTE(SUBSTITUTE(TRIM($K390),"-","")," ",""),마스터시트!$A$2:$H$1946,5,FALSE),""))</f>
        <v/>
      </c>
      <c r="Q390" s="18" t="str">
        <f>IF($K390="","",IFERROR(VLOOKUP(--SUBSTITUTE(SUBSTITUTE(TRIM($K390),"-","")," ",""),마스터시트!$A$2:$H$1946,6,FALSE),""))</f>
        <v/>
      </c>
      <c r="R390" s="18" t="str">
        <f>IF($K390="","",IFERROR(VLOOKUP(--SUBSTITUTE(SUBSTITUTE(TRIM($K390),"-","")," ",""),마스터시트!$A$2:$H$1946,7,FALSE),""))</f>
        <v/>
      </c>
    </row>
    <row r="391" spans="13:18" x14ac:dyDescent="0.3">
      <c r="M391" s="18" t="str">
        <f>IF($K391="","",IFERROR(VLOOKUP(--SUBSTITUTE(SUBSTITUTE(TRIM($K391),"-","")," ",""),마스터시트!$A$2:$H$1946,2,FALSE),"미등록"))</f>
        <v/>
      </c>
      <c r="N391" s="53" t="str">
        <f>IF($K391="","",IFERROR(VLOOKUP(--SUBSTITUTE(SUBSTITUTE(TRIM($K391),"-","")," ",""),마스터시트!$A$2:$H$1946,3,FALSE),"미등록"))</f>
        <v/>
      </c>
      <c r="O391" s="18" t="str">
        <f>IF($K391="","",IFERROR(VLOOKUP(--SUBSTITUTE(SUBSTITUTE(TRIM($K391),"-","")," ",""),마스터시트!$A$2:$H$1946,4,FALSE),""))</f>
        <v/>
      </c>
      <c r="P391" s="18" t="str">
        <f>IF($K391="","",IFERROR(VLOOKUP(--SUBSTITUTE(SUBSTITUTE(TRIM($K391),"-","")," ",""),마스터시트!$A$2:$H$1946,5,FALSE),""))</f>
        <v/>
      </c>
      <c r="Q391" s="18" t="str">
        <f>IF($K391="","",IFERROR(VLOOKUP(--SUBSTITUTE(SUBSTITUTE(TRIM($K391),"-","")," ",""),마스터시트!$A$2:$H$1946,6,FALSE),""))</f>
        <v/>
      </c>
      <c r="R391" s="18" t="str">
        <f>IF($K391="","",IFERROR(VLOOKUP(--SUBSTITUTE(SUBSTITUTE(TRIM($K391),"-","")," ",""),마스터시트!$A$2:$H$1946,7,FALSE),""))</f>
        <v/>
      </c>
    </row>
    <row r="392" spans="13:18" x14ac:dyDescent="0.3">
      <c r="M392" s="18" t="str">
        <f>IF($K392="","",IFERROR(VLOOKUP(--SUBSTITUTE(SUBSTITUTE(TRIM($K392),"-","")," ",""),마스터시트!$A$2:$H$1946,2,FALSE),"미등록"))</f>
        <v/>
      </c>
      <c r="N392" s="53" t="str">
        <f>IF($K392="","",IFERROR(VLOOKUP(--SUBSTITUTE(SUBSTITUTE(TRIM($K392),"-","")," ",""),마스터시트!$A$2:$H$1946,3,FALSE),"미등록"))</f>
        <v/>
      </c>
      <c r="O392" s="18" t="str">
        <f>IF($K392="","",IFERROR(VLOOKUP(--SUBSTITUTE(SUBSTITUTE(TRIM($K392),"-","")," ",""),마스터시트!$A$2:$H$1946,4,FALSE),""))</f>
        <v/>
      </c>
      <c r="P392" s="18" t="str">
        <f>IF($K392="","",IFERROR(VLOOKUP(--SUBSTITUTE(SUBSTITUTE(TRIM($K392),"-","")," ",""),마스터시트!$A$2:$H$1946,5,FALSE),""))</f>
        <v/>
      </c>
      <c r="Q392" s="18" t="str">
        <f>IF($K392="","",IFERROR(VLOOKUP(--SUBSTITUTE(SUBSTITUTE(TRIM($K392),"-","")," ",""),마스터시트!$A$2:$H$1946,6,FALSE),""))</f>
        <v/>
      </c>
      <c r="R392" s="18" t="str">
        <f>IF($K392="","",IFERROR(VLOOKUP(--SUBSTITUTE(SUBSTITUTE(TRIM($K392),"-","")," ",""),마스터시트!$A$2:$H$1946,7,FALSE),""))</f>
        <v/>
      </c>
    </row>
    <row r="393" spans="13:18" x14ac:dyDescent="0.3">
      <c r="M393" s="18" t="str">
        <f>IF($K393="","",IFERROR(VLOOKUP(--SUBSTITUTE(SUBSTITUTE(TRIM($K393),"-","")," ",""),마스터시트!$A$2:$H$1946,2,FALSE),"미등록"))</f>
        <v/>
      </c>
      <c r="N393" s="53" t="str">
        <f>IF($K393="","",IFERROR(VLOOKUP(--SUBSTITUTE(SUBSTITUTE(TRIM($K393),"-","")," ",""),마스터시트!$A$2:$H$1946,3,FALSE),"미등록"))</f>
        <v/>
      </c>
      <c r="O393" s="18" t="str">
        <f>IF($K393="","",IFERROR(VLOOKUP(--SUBSTITUTE(SUBSTITUTE(TRIM($K393),"-","")," ",""),마스터시트!$A$2:$H$1946,4,FALSE),""))</f>
        <v/>
      </c>
      <c r="P393" s="18" t="str">
        <f>IF($K393="","",IFERROR(VLOOKUP(--SUBSTITUTE(SUBSTITUTE(TRIM($K393),"-","")," ",""),마스터시트!$A$2:$H$1946,5,FALSE),""))</f>
        <v/>
      </c>
      <c r="Q393" s="18" t="str">
        <f>IF($K393="","",IFERROR(VLOOKUP(--SUBSTITUTE(SUBSTITUTE(TRIM($K393),"-","")," ",""),마스터시트!$A$2:$H$1946,6,FALSE),""))</f>
        <v/>
      </c>
      <c r="R393" s="18" t="str">
        <f>IF($K393="","",IFERROR(VLOOKUP(--SUBSTITUTE(SUBSTITUTE(TRIM($K393),"-","")," ",""),마스터시트!$A$2:$H$1946,7,FALSE),""))</f>
        <v/>
      </c>
    </row>
    <row r="394" spans="13:18" x14ac:dyDescent="0.3">
      <c r="M394" s="18" t="str">
        <f>IF($K394="","",IFERROR(VLOOKUP(--SUBSTITUTE(SUBSTITUTE(TRIM($K394),"-","")," ",""),마스터시트!$A$2:$H$1946,2,FALSE),"미등록"))</f>
        <v/>
      </c>
      <c r="N394" s="53" t="str">
        <f>IF($K394="","",IFERROR(VLOOKUP(--SUBSTITUTE(SUBSTITUTE(TRIM($K394),"-","")," ",""),마스터시트!$A$2:$H$1946,3,FALSE),"미등록"))</f>
        <v/>
      </c>
      <c r="O394" s="18" t="str">
        <f>IF($K394="","",IFERROR(VLOOKUP(--SUBSTITUTE(SUBSTITUTE(TRIM($K394),"-","")," ",""),마스터시트!$A$2:$H$1946,4,FALSE),""))</f>
        <v/>
      </c>
      <c r="P394" s="18" t="str">
        <f>IF($K394="","",IFERROR(VLOOKUP(--SUBSTITUTE(SUBSTITUTE(TRIM($K394),"-","")," ",""),마스터시트!$A$2:$H$1946,5,FALSE),""))</f>
        <v/>
      </c>
      <c r="Q394" s="18" t="str">
        <f>IF($K394="","",IFERROR(VLOOKUP(--SUBSTITUTE(SUBSTITUTE(TRIM($K394),"-","")," ",""),마스터시트!$A$2:$H$1946,6,FALSE),""))</f>
        <v/>
      </c>
      <c r="R394" s="18" t="str">
        <f>IF($K394="","",IFERROR(VLOOKUP(--SUBSTITUTE(SUBSTITUTE(TRIM($K394),"-","")," ",""),마스터시트!$A$2:$H$1946,7,FALSE),""))</f>
        <v/>
      </c>
    </row>
    <row r="395" spans="13:18" x14ac:dyDescent="0.3">
      <c r="M395" s="18" t="str">
        <f>IF($K395="","",IFERROR(VLOOKUP(--SUBSTITUTE(SUBSTITUTE(TRIM($K395),"-","")," ",""),마스터시트!$A$2:$H$1946,2,FALSE),"미등록"))</f>
        <v/>
      </c>
      <c r="N395" s="53" t="str">
        <f>IF($K395="","",IFERROR(VLOOKUP(--SUBSTITUTE(SUBSTITUTE(TRIM($K395),"-","")," ",""),마스터시트!$A$2:$H$1946,3,FALSE),"미등록"))</f>
        <v/>
      </c>
      <c r="O395" s="18" t="str">
        <f>IF($K395="","",IFERROR(VLOOKUP(--SUBSTITUTE(SUBSTITUTE(TRIM($K395),"-","")," ",""),마스터시트!$A$2:$H$1946,4,FALSE),""))</f>
        <v/>
      </c>
      <c r="P395" s="18" t="str">
        <f>IF($K395="","",IFERROR(VLOOKUP(--SUBSTITUTE(SUBSTITUTE(TRIM($K395),"-","")," ",""),마스터시트!$A$2:$H$1946,5,FALSE),""))</f>
        <v/>
      </c>
      <c r="Q395" s="18" t="str">
        <f>IF($K395="","",IFERROR(VLOOKUP(--SUBSTITUTE(SUBSTITUTE(TRIM($K395),"-","")," ",""),마스터시트!$A$2:$H$1946,6,FALSE),""))</f>
        <v/>
      </c>
      <c r="R395" s="18" t="str">
        <f>IF($K395="","",IFERROR(VLOOKUP(--SUBSTITUTE(SUBSTITUTE(TRIM($K395),"-","")," ",""),마스터시트!$A$2:$H$1946,7,FALSE),""))</f>
        <v/>
      </c>
    </row>
    <row r="396" spans="13:18" x14ac:dyDescent="0.3">
      <c r="M396" s="18" t="str">
        <f>IF($K396="","",IFERROR(VLOOKUP(--SUBSTITUTE(SUBSTITUTE(TRIM($K396),"-","")," ",""),마스터시트!$A$2:$H$1946,2,FALSE),"미등록"))</f>
        <v/>
      </c>
      <c r="N396" s="53" t="str">
        <f>IF($K396="","",IFERROR(VLOOKUP(--SUBSTITUTE(SUBSTITUTE(TRIM($K396),"-","")," ",""),마스터시트!$A$2:$H$1946,3,FALSE),"미등록"))</f>
        <v/>
      </c>
      <c r="O396" s="18" t="str">
        <f>IF($K396="","",IFERROR(VLOOKUP(--SUBSTITUTE(SUBSTITUTE(TRIM($K396),"-","")," ",""),마스터시트!$A$2:$H$1946,4,FALSE),""))</f>
        <v/>
      </c>
      <c r="P396" s="18" t="str">
        <f>IF($K396="","",IFERROR(VLOOKUP(--SUBSTITUTE(SUBSTITUTE(TRIM($K396),"-","")," ",""),마스터시트!$A$2:$H$1946,5,FALSE),""))</f>
        <v/>
      </c>
      <c r="Q396" s="18" t="str">
        <f>IF($K396="","",IFERROR(VLOOKUP(--SUBSTITUTE(SUBSTITUTE(TRIM($K396),"-","")," ",""),마스터시트!$A$2:$H$1946,6,FALSE),""))</f>
        <v/>
      </c>
      <c r="R396" s="18" t="str">
        <f>IF($K396="","",IFERROR(VLOOKUP(--SUBSTITUTE(SUBSTITUTE(TRIM($K396),"-","")," ",""),마스터시트!$A$2:$H$1946,7,FALSE),""))</f>
        <v/>
      </c>
    </row>
    <row r="397" spans="13:18" x14ac:dyDescent="0.3">
      <c r="M397" s="18" t="str">
        <f>IF($K397="","",IFERROR(VLOOKUP(--SUBSTITUTE(SUBSTITUTE(TRIM($K397),"-","")," ",""),마스터시트!$A$2:$H$1946,2,FALSE),"미등록"))</f>
        <v/>
      </c>
      <c r="N397" s="53" t="str">
        <f>IF($K397="","",IFERROR(VLOOKUP(--SUBSTITUTE(SUBSTITUTE(TRIM($K397),"-","")," ",""),마스터시트!$A$2:$H$1946,3,FALSE),"미등록"))</f>
        <v/>
      </c>
      <c r="O397" s="18" t="str">
        <f>IF($K397="","",IFERROR(VLOOKUP(--SUBSTITUTE(SUBSTITUTE(TRIM($K397),"-","")," ",""),마스터시트!$A$2:$H$1946,4,FALSE),""))</f>
        <v/>
      </c>
      <c r="P397" s="18" t="str">
        <f>IF($K397="","",IFERROR(VLOOKUP(--SUBSTITUTE(SUBSTITUTE(TRIM($K397),"-","")," ",""),마스터시트!$A$2:$H$1946,5,FALSE),""))</f>
        <v/>
      </c>
      <c r="Q397" s="18" t="str">
        <f>IF($K397="","",IFERROR(VLOOKUP(--SUBSTITUTE(SUBSTITUTE(TRIM($K397),"-","")," ",""),마스터시트!$A$2:$H$1946,6,FALSE),""))</f>
        <v/>
      </c>
      <c r="R397" s="18" t="str">
        <f>IF($K397="","",IFERROR(VLOOKUP(--SUBSTITUTE(SUBSTITUTE(TRIM($K397),"-","")," ",""),마스터시트!$A$2:$H$1946,7,FALSE),""))</f>
        <v/>
      </c>
    </row>
    <row r="398" spans="13:18" x14ac:dyDescent="0.3">
      <c r="M398" s="18" t="str">
        <f>IF($K398="","",IFERROR(VLOOKUP(--SUBSTITUTE(SUBSTITUTE(TRIM($K398),"-","")," ",""),마스터시트!$A$2:$H$1946,2,FALSE),"미등록"))</f>
        <v/>
      </c>
      <c r="N398" s="53" t="str">
        <f>IF($K398="","",IFERROR(VLOOKUP(--SUBSTITUTE(SUBSTITUTE(TRIM($K398),"-","")," ",""),마스터시트!$A$2:$H$1946,3,FALSE),"미등록"))</f>
        <v/>
      </c>
      <c r="O398" s="18" t="str">
        <f>IF($K398="","",IFERROR(VLOOKUP(--SUBSTITUTE(SUBSTITUTE(TRIM($K398),"-","")," ",""),마스터시트!$A$2:$H$1946,4,FALSE),""))</f>
        <v/>
      </c>
      <c r="P398" s="18" t="str">
        <f>IF($K398="","",IFERROR(VLOOKUP(--SUBSTITUTE(SUBSTITUTE(TRIM($K398),"-","")," ",""),마스터시트!$A$2:$H$1946,5,FALSE),""))</f>
        <v/>
      </c>
      <c r="Q398" s="18" t="str">
        <f>IF($K398="","",IFERROR(VLOOKUP(--SUBSTITUTE(SUBSTITUTE(TRIM($K398),"-","")," ",""),마스터시트!$A$2:$H$1946,6,FALSE),""))</f>
        <v/>
      </c>
      <c r="R398" s="18" t="str">
        <f>IF($K398="","",IFERROR(VLOOKUP(--SUBSTITUTE(SUBSTITUTE(TRIM($K398),"-","")," ",""),마스터시트!$A$2:$H$1946,7,FALSE),""))</f>
        <v/>
      </c>
    </row>
    <row r="399" spans="13:18" x14ac:dyDescent="0.3">
      <c r="M399" s="18" t="str">
        <f>IF($K399="","",IFERROR(VLOOKUP(--SUBSTITUTE(SUBSTITUTE(TRIM($K399),"-","")," ",""),마스터시트!$A$2:$H$1946,2,FALSE),"미등록"))</f>
        <v/>
      </c>
      <c r="N399" s="53" t="str">
        <f>IF($K399="","",IFERROR(VLOOKUP(--SUBSTITUTE(SUBSTITUTE(TRIM($K399),"-","")," ",""),마스터시트!$A$2:$H$1946,3,FALSE),"미등록"))</f>
        <v/>
      </c>
      <c r="O399" s="18" t="str">
        <f>IF($K399="","",IFERROR(VLOOKUP(--SUBSTITUTE(SUBSTITUTE(TRIM($K399),"-","")," ",""),마스터시트!$A$2:$H$1946,4,FALSE),""))</f>
        <v/>
      </c>
      <c r="P399" s="18" t="str">
        <f>IF($K399="","",IFERROR(VLOOKUP(--SUBSTITUTE(SUBSTITUTE(TRIM($K399),"-","")," ",""),마스터시트!$A$2:$H$1946,5,FALSE),""))</f>
        <v/>
      </c>
      <c r="Q399" s="18" t="str">
        <f>IF($K399="","",IFERROR(VLOOKUP(--SUBSTITUTE(SUBSTITUTE(TRIM($K399),"-","")," ",""),마스터시트!$A$2:$H$1946,6,FALSE),""))</f>
        <v/>
      </c>
      <c r="R399" s="18" t="str">
        <f>IF($K399="","",IFERROR(VLOOKUP(--SUBSTITUTE(SUBSTITUTE(TRIM($K399),"-","")," ",""),마스터시트!$A$2:$H$1946,7,FALSE),""))</f>
        <v/>
      </c>
    </row>
    <row r="400" spans="13:18" x14ac:dyDescent="0.3">
      <c r="M400" s="18" t="str">
        <f>IF($K400="","",IFERROR(VLOOKUP(--SUBSTITUTE(SUBSTITUTE(TRIM($K400),"-","")," ",""),마스터시트!$A$2:$H$1946,2,FALSE),"미등록"))</f>
        <v/>
      </c>
      <c r="N400" s="53" t="str">
        <f>IF($K400="","",IFERROR(VLOOKUP(--SUBSTITUTE(SUBSTITUTE(TRIM($K400),"-","")," ",""),마스터시트!$A$2:$H$1946,3,FALSE),"미등록"))</f>
        <v/>
      </c>
      <c r="O400" s="18" t="str">
        <f>IF($K400="","",IFERROR(VLOOKUP(--SUBSTITUTE(SUBSTITUTE(TRIM($K400),"-","")," ",""),마스터시트!$A$2:$H$1946,4,FALSE),""))</f>
        <v/>
      </c>
      <c r="P400" s="18" t="str">
        <f>IF($K400="","",IFERROR(VLOOKUP(--SUBSTITUTE(SUBSTITUTE(TRIM($K400),"-","")," ",""),마스터시트!$A$2:$H$1946,5,FALSE),""))</f>
        <v/>
      </c>
      <c r="Q400" s="18" t="str">
        <f>IF($K400="","",IFERROR(VLOOKUP(--SUBSTITUTE(SUBSTITUTE(TRIM($K400),"-","")," ",""),마스터시트!$A$2:$H$1946,6,FALSE),""))</f>
        <v/>
      </c>
      <c r="R400" s="18" t="str">
        <f>IF($K400="","",IFERROR(VLOOKUP(--SUBSTITUTE(SUBSTITUTE(TRIM($K400),"-","")," ",""),마스터시트!$A$2:$H$1946,7,FALSE),""))</f>
        <v/>
      </c>
    </row>
    <row r="401" spans="13:18" x14ac:dyDescent="0.3">
      <c r="M401" s="18" t="str">
        <f>IF($K401="","",IFERROR(VLOOKUP(--SUBSTITUTE(SUBSTITUTE(TRIM($K401),"-","")," ",""),마스터시트!$A$2:$H$1946,2,FALSE),"미등록"))</f>
        <v/>
      </c>
      <c r="N401" s="53" t="str">
        <f>IF($K401="","",IFERROR(VLOOKUP(--SUBSTITUTE(SUBSTITUTE(TRIM($K401),"-","")," ",""),마스터시트!$A$2:$H$1946,3,FALSE),"미등록"))</f>
        <v/>
      </c>
      <c r="O401" s="18" t="str">
        <f>IF($K401="","",IFERROR(VLOOKUP(--SUBSTITUTE(SUBSTITUTE(TRIM($K401),"-","")," ",""),마스터시트!$A$2:$H$1946,4,FALSE),""))</f>
        <v/>
      </c>
      <c r="P401" s="18" t="str">
        <f>IF($K401="","",IFERROR(VLOOKUP(--SUBSTITUTE(SUBSTITUTE(TRIM($K401),"-","")," ",""),마스터시트!$A$2:$H$1946,5,FALSE),""))</f>
        <v/>
      </c>
      <c r="Q401" s="18" t="str">
        <f>IF($K401="","",IFERROR(VLOOKUP(--SUBSTITUTE(SUBSTITUTE(TRIM($K401),"-","")," ",""),마스터시트!$A$2:$H$1946,6,FALSE),""))</f>
        <v/>
      </c>
      <c r="R401" s="18" t="str">
        <f>IF($K401="","",IFERROR(VLOOKUP(--SUBSTITUTE(SUBSTITUTE(TRIM($K401),"-","")," ",""),마스터시트!$A$2:$H$1946,7,FALSE),""))</f>
        <v/>
      </c>
    </row>
    <row r="402" spans="13:18" x14ac:dyDescent="0.3">
      <c r="M402" s="18" t="str">
        <f>IF($K402="","",IFERROR(VLOOKUP(--SUBSTITUTE(SUBSTITUTE(TRIM($K402),"-","")," ",""),마스터시트!$A$2:$H$1946,2,FALSE),"미등록"))</f>
        <v/>
      </c>
      <c r="N402" s="53" t="str">
        <f>IF($K402="","",IFERROR(VLOOKUP(--SUBSTITUTE(SUBSTITUTE(TRIM($K402),"-","")," ",""),마스터시트!$A$2:$H$1946,3,FALSE),"미등록"))</f>
        <v/>
      </c>
      <c r="O402" s="18" t="str">
        <f>IF($K402="","",IFERROR(VLOOKUP(--SUBSTITUTE(SUBSTITUTE(TRIM($K402),"-","")," ",""),마스터시트!$A$2:$H$1946,4,FALSE),""))</f>
        <v/>
      </c>
      <c r="P402" s="18" t="str">
        <f>IF($K402="","",IFERROR(VLOOKUP(--SUBSTITUTE(SUBSTITUTE(TRIM($K402),"-","")," ",""),마스터시트!$A$2:$H$1946,5,FALSE),""))</f>
        <v/>
      </c>
      <c r="Q402" s="18" t="str">
        <f>IF($K402="","",IFERROR(VLOOKUP(--SUBSTITUTE(SUBSTITUTE(TRIM($K402),"-","")," ",""),마스터시트!$A$2:$H$1946,6,FALSE),""))</f>
        <v/>
      </c>
      <c r="R402" s="18" t="str">
        <f>IF($K402="","",IFERROR(VLOOKUP(--SUBSTITUTE(SUBSTITUTE(TRIM($K402),"-","")," ",""),마스터시트!$A$2:$H$1946,7,FALSE),""))</f>
        <v/>
      </c>
    </row>
    <row r="403" spans="13:18" x14ac:dyDescent="0.3">
      <c r="M403" s="18" t="str">
        <f>IF($K403="","",IFERROR(VLOOKUP(--SUBSTITUTE(SUBSTITUTE(TRIM($K403),"-","")," ",""),마스터시트!$A$2:$H$1946,2,FALSE),"미등록"))</f>
        <v/>
      </c>
      <c r="N403" s="53" t="str">
        <f>IF($K403="","",IFERROR(VLOOKUP(--SUBSTITUTE(SUBSTITUTE(TRIM($K403),"-","")," ",""),마스터시트!$A$2:$H$1946,3,FALSE),"미등록"))</f>
        <v/>
      </c>
      <c r="O403" s="18" t="str">
        <f>IF($K403="","",IFERROR(VLOOKUP(--SUBSTITUTE(SUBSTITUTE(TRIM($K403),"-","")," ",""),마스터시트!$A$2:$H$1946,4,FALSE),""))</f>
        <v/>
      </c>
      <c r="P403" s="18" t="str">
        <f>IF($K403="","",IFERROR(VLOOKUP(--SUBSTITUTE(SUBSTITUTE(TRIM($K403),"-","")," ",""),마스터시트!$A$2:$H$1946,5,FALSE),""))</f>
        <v/>
      </c>
      <c r="Q403" s="18" t="str">
        <f>IF($K403="","",IFERROR(VLOOKUP(--SUBSTITUTE(SUBSTITUTE(TRIM($K403),"-","")," ",""),마스터시트!$A$2:$H$1946,6,FALSE),""))</f>
        <v/>
      </c>
      <c r="R403" s="18" t="str">
        <f>IF($K403="","",IFERROR(VLOOKUP(--SUBSTITUTE(SUBSTITUTE(TRIM($K403),"-","")," ",""),마스터시트!$A$2:$H$1946,7,FALSE),""))</f>
        <v/>
      </c>
    </row>
    <row r="404" spans="13:18" x14ac:dyDescent="0.3">
      <c r="M404" s="18" t="str">
        <f>IF($K404="","",IFERROR(VLOOKUP(--SUBSTITUTE(SUBSTITUTE(TRIM($K404),"-","")," ",""),마스터시트!$A$2:$H$1946,2,FALSE),"미등록"))</f>
        <v/>
      </c>
      <c r="N404" s="53" t="str">
        <f>IF($K404="","",IFERROR(VLOOKUP(--SUBSTITUTE(SUBSTITUTE(TRIM($K404),"-","")," ",""),마스터시트!$A$2:$H$1946,3,FALSE),"미등록"))</f>
        <v/>
      </c>
      <c r="O404" s="18" t="str">
        <f>IF($K404="","",IFERROR(VLOOKUP(--SUBSTITUTE(SUBSTITUTE(TRIM($K404),"-","")," ",""),마스터시트!$A$2:$H$1946,4,FALSE),""))</f>
        <v/>
      </c>
      <c r="P404" s="18" t="str">
        <f>IF($K404="","",IFERROR(VLOOKUP(--SUBSTITUTE(SUBSTITUTE(TRIM($K404),"-","")," ",""),마스터시트!$A$2:$H$1946,5,FALSE),""))</f>
        <v/>
      </c>
      <c r="Q404" s="18" t="str">
        <f>IF($K404="","",IFERROR(VLOOKUP(--SUBSTITUTE(SUBSTITUTE(TRIM($K404),"-","")," ",""),마스터시트!$A$2:$H$1946,6,FALSE),""))</f>
        <v/>
      </c>
      <c r="R404" s="18" t="str">
        <f>IF($K404="","",IFERROR(VLOOKUP(--SUBSTITUTE(SUBSTITUTE(TRIM($K404),"-","")," ",""),마스터시트!$A$2:$H$1946,7,FALSE),""))</f>
        <v/>
      </c>
    </row>
    <row r="405" spans="13:18" x14ac:dyDescent="0.3">
      <c r="M405" s="18" t="str">
        <f>IF($K405="","",IFERROR(VLOOKUP(--SUBSTITUTE(SUBSTITUTE(TRIM($K405),"-","")," ",""),마스터시트!$A$2:$H$1946,2,FALSE),"미등록"))</f>
        <v/>
      </c>
      <c r="N405" s="53" t="str">
        <f>IF($K405="","",IFERROR(VLOOKUP(--SUBSTITUTE(SUBSTITUTE(TRIM($K405),"-","")," ",""),마스터시트!$A$2:$H$1946,3,FALSE),"미등록"))</f>
        <v/>
      </c>
      <c r="O405" s="18" t="str">
        <f>IF($K405="","",IFERROR(VLOOKUP(--SUBSTITUTE(SUBSTITUTE(TRIM($K405),"-","")," ",""),마스터시트!$A$2:$H$1946,4,FALSE),""))</f>
        <v/>
      </c>
      <c r="P405" s="18" t="str">
        <f>IF($K405="","",IFERROR(VLOOKUP(--SUBSTITUTE(SUBSTITUTE(TRIM($K405),"-","")," ",""),마스터시트!$A$2:$H$1946,5,FALSE),""))</f>
        <v/>
      </c>
      <c r="Q405" s="18" t="str">
        <f>IF($K405="","",IFERROR(VLOOKUP(--SUBSTITUTE(SUBSTITUTE(TRIM($K405),"-","")," ",""),마스터시트!$A$2:$H$1946,6,FALSE),""))</f>
        <v/>
      </c>
      <c r="R405" s="18" t="str">
        <f>IF($K405="","",IFERROR(VLOOKUP(--SUBSTITUTE(SUBSTITUTE(TRIM($K405),"-","")," ",""),마스터시트!$A$2:$H$1946,7,FALSE),""))</f>
        <v/>
      </c>
    </row>
    <row r="406" spans="13:18" x14ac:dyDescent="0.3">
      <c r="M406" s="18" t="str">
        <f>IF($K406="","",IFERROR(VLOOKUP(--SUBSTITUTE(SUBSTITUTE(TRIM($K406),"-","")," ",""),마스터시트!$A$2:$H$1946,2,FALSE),"미등록"))</f>
        <v/>
      </c>
      <c r="N406" s="53" t="str">
        <f>IF($K406="","",IFERROR(VLOOKUP(--SUBSTITUTE(SUBSTITUTE(TRIM($K406),"-","")," ",""),마스터시트!$A$2:$H$1946,3,FALSE),"미등록"))</f>
        <v/>
      </c>
      <c r="O406" s="18" t="str">
        <f>IF($K406="","",IFERROR(VLOOKUP(--SUBSTITUTE(SUBSTITUTE(TRIM($K406),"-","")," ",""),마스터시트!$A$2:$H$1946,4,FALSE),""))</f>
        <v/>
      </c>
      <c r="P406" s="18" t="str">
        <f>IF($K406="","",IFERROR(VLOOKUP(--SUBSTITUTE(SUBSTITUTE(TRIM($K406),"-","")," ",""),마스터시트!$A$2:$H$1946,5,FALSE),""))</f>
        <v/>
      </c>
      <c r="Q406" s="18" t="str">
        <f>IF($K406="","",IFERROR(VLOOKUP(--SUBSTITUTE(SUBSTITUTE(TRIM($K406),"-","")," ",""),마스터시트!$A$2:$H$1946,6,FALSE),""))</f>
        <v/>
      </c>
      <c r="R406" s="18" t="str">
        <f>IF($K406="","",IFERROR(VLOOKUP(--SUBSTITUTE(SUBSTITUTE(TRIM($K406),"-","")," ",""),마스터시트!$A$2:$H$1946,7,FALSE),""))</f>
        <v/>
      </c>
    </row>
    <row r="407" spans="13:18" x14ac:dyDescent="0.3">
      <c r="M407" s="18" t="str">
        <f>IF($K407="","",IFERROR(VLOOKUP(--SUBSTITUTE(SUBSTITUTE(TRIM($K407),"-","")," ",""),마스터시트!$A$2:$H$1946,2,FALSE),"미등록"))</f>
        <v/>
      </c>
      <c r="N407" s="53" t="str">
        <f>IF($K407="","",IFERROR(VLOOKUP(--SUBSTITUTE(SUBSTITUTE(TRIM($K407),"-","")," ",""),마스터시트!$A$2:$H$1946,3,FALSE),"미등록"))</f>
        <v/>
      </c>
      <c r="O407" s="18" t="str">
        <f>IF($K407="","",IFERROR(VLOOKUP(--SUBSTITUTE(SUBSTITUTE(TRIM($K407),"-","")," ",""),마스터시트!$A$2:$H$1946,4,FALSE),""))</f>
        <v/>
      </c>
      <c r="P407" s="18" t="str">
        <f>IF($K407="","",IFERROR(VLOOKUP(--SUBSTITUTE(SUBSTITUTE(TRIM($K407),"-","")," ",""),마스터시트!$A$2:$H$1946,5,FALSE),""))</f>
        <v/>
      </c>
      <c r="Q407" s="18" t="str">
        <f>IF($K407="","",IFERROR(VLOOKUP(--SUBSTITUTE(SUBSTITUTE(TRIM($K407),"-","")," ",""),마스터시트!$A$2:$H$1946,6,FALSE),""))</f>
        <v/>
      </c>
      <c r="R407" s="18" t="str">
        <f>IF($K407="","",IFERROR(VLOOKUP(--SUBSTITUTE(SUBSTITUTE(TRIM($K407),"-","")," ",""),마스터시트!$A$2:$H$1946,7,FALSE),""))</f>
        <v/>
      </c>
    </row>
    <row r="408" spans="13:18" x14ac:dyDescent="0.3">
      <c r="M408" s="18" t="str">
        <f>IF($K408="","",IFERROR(VLOOKUP(--SUBSTITUTE(SUBSTITUTE(TRIM($K408),"-","")," ",""),마스터시트!$A$2:$H$1946,2,FALSE),"미등록"))</f>
        <v/>
      </c>
      <c r="N408" s="53" t="str">
        <f>IF($K408="","",IFERROR(VLOOKUP(--SUBSTITUTE(SUBSTITUTE(TRIM($K408),"-","")," ",""),마스터시트!$A$2:$H$1946,3,FALSE),"미등록"))</f>
        <v/>
      </c>
      <c r="O408" s="18" t="str">
        <f>IF($K408="","",IFERROR(VLOOKUP(--SUBSTITUTE(SUBSTITUTE(TRIM($K408),"-","")," ",""),마스터시트!$A$2:$H$1946,4,FALSE),""))</f>
        <v/>
      </c>
      <c r="P408" s="18" t="str">
        <f>IF($K408="","",IFERROR(VLOOKUP(--SUBSTITUTE(SUBSTITUTE(TRIM($K408),"-","")," ",""),마스터시트!$A$2:$H$1946,5,FALSE),""))</f>
        <v/>
      </c>
      <c r="Q408" s="18" t="str">
        <f>IF($K408="","",IFERROR(VLOOKUP(--SUBSTITUTE(SUBSTITUTE(TRIM($K408),"-","")," ",""),마스터시트!$A$2:$H$1946,6,FALSE),""))</f>
        <v/>
      </c>
      <c r="R408" s="18" t="str">
        <f>IF($K408="","",IFERROR(VLOOKUP(--SUBSTITUTE(SUBSTITUTE(TRIM($K408),"-","")," ",""),마스터시트!$A$2:$H$1946,7,FALSE),""))</f>
        <v/>
      </c>
    </row>
    <row r="409" spans="13:18" x14ac:dyDescent="0.3">
      <c r="M409" s="18" t="str">
        <f>IF($K409="","",IFERROR(VLOOKUP(--SUBSTITUTE(SUBSTITUTE(TRIM($K409),"-","")," ",""),마스터시트!$A$2:$H$1946,2,FALSE),"미등록"))</f>
        <v/>
      </c>
      <c r="N409" s="53" t="str">
        <f>IF($K409="","",IFERROR(VLOOKUP(--SUBSTITUTE(SUBSTITUTE(TRIM($K409),"-","")," ",""),마스터시트!$A$2:$H$1946,3,FALSE),"미등록"))</f>
        <v/>
      </c>
      <c r="O409" s="18" t="str">
        <f>IF($K409="","",IFERROR(VLOOKUP(--SUBSTITUTE(SUBSTITUTE(TRIM($K409),"-","")," ",""),마스터시트!$A$2:$H$1946,4,FALSE),""))</f>
        <v/>
      </c>
      <c r="P409" s="18" t="str">
        <f>IF($K409="","",IFERROR(VLOOKUP(--SUBSTITUTE(SUBSTITUTE(TRIM($K409),"-","")," ",""),마스터시트!$A$2:$H$1946,5,FALSE),""))</f>
        <v/>
      </c>
      <c r="Q409" s="18" t="str">
        <f>IF($K409="","",IFERROR(VLOOKUP(--SUBSTITUTE(SUBSTITUTE(TRIM($K409),"-","")," ",""),마스터시트!$A$2:$H$1946,6,FALSE),""))</f>
        <v/>
      </c>
      <c r="R409" s="18" t="str">
        <f>IF($K409="","",IFERROR(VLOOKUP(--SUBSTITUTE(SUBSTITUTE(TRIM($K409),"-","")," ",""),마스터시트!$A$2:$H$1946,7,FALSE),""))</f>
        <v/>
      </c>
    </row>
    <row r="410" spans="13:18" x14ac:dyDescent="0.3">
      <c r="M410" s="18" t="str">
        <f>IF($K410="","",IFERROR(VLOOKUP(--SUBSTITUTE(SUBSTITUTE(TRIM($K410),"-","")," ",""),마스터시트!$A$2:$H$1946,2,FALSE),"미등록"))</f>
        <v/>
      </c>
      <c r="N410" s="53" t="str">
        <f>IF($K410="","",IFERROR(VLOOKUP(--SUBSTITUTE(SUBSTITUTE(TRIM($K410),"-","")," ",""),마스터시트!$A$2:$H$1946,3,FALSE),"미등록"))</f>
        <v/>
      </c>
      <c r="O410" s="18" t="str">
        <f>IF($K410="","",IFERROR(VLOOKUP(--SUBSTITUTE(SUBSTITUTE(TRIM($K410),"-","")," ",""),마스터시트!$A$2:$H$1946,4,FALSE),""))</f>
        <v/>
      </c>
      <c r="P410" s="18" t="str">
        <f>IF($K410="","",IFERROR(VLOOKUP(--SUBSTITUTE(SUBSTITUTE(TRIM($K410),"-","")," ",""),마스터시트!$A$2:$H$1946,5,FALSE),""))</f>
        <v/>
      </c>
      <c r="Q410" s="18" t="str">
        <f>IF($K410="","",IFERROR(VLOOKUP(--SUBSTITUTE(SUBSTITUTE(TRIM($K410),"-","")," ",""),마스터시트!$A$2:$H$1946,6,FALSE),""))</f>
        <v/>
      </c>
      <c r="R410" s="18" t="str">
        <f>IF($K410="","",IFERROR(VLOOKUP(--SUBSTITUTE(SUBSTITUTE(TRIM($K410),"-","")," ",""),마스터시트!$A$2:$H$1946,7,FALSE),""))</f>
        <v/>
      </c>
    </row>
    <row r="411" spans="13:18" x14ac:dyDescent="0.3">
      <c r="M411" s="18" t="str">
        <f>IF($K411="","",IFERROR(VLOOKUP(--SUBSTITUTE(SUBSTITUTE(TRIM($K411),"-","")," ",""),마스터시트!$A$2:$H$1946,2,FALSE),"미등록"))</f>
        <v/>
      </c>
      <c r="N411" s="53" t="str">
        <f>IF($K411="","",IFERROR(VLOOKUP(--SUBSTITUTE(SUBSTITUTE(TRIM($K411),"-","")," ",""),마스터시트!$A$2:$H$1946,3,FALSE),"미등록"))</f>
        <v/>
      </c>
      <c r="O411" s="18" t="str">
        <f>IF($K411="","",IFERROR(VLOOKUP(--SUBSTITUTE(SUBSTITUTE(TRIM($K411),"-","")," ",""),마스터시트!$A$2:$H$1946,4,FALSE),""))</f>
        <v/>
      </c>
      <c r="P411" s="18" t="str">
        <f>IF($K411="","",IFERROR(VLOOKUP(--SUBSTITUTE(SUBSTITUTE(TRIM($K411),"-","")," ",""),마스터시트!$A$2:$H$1946,5,FALSE),""))</f>
        <v/>
      </c>
      <c r="Q411" s="18" t="str">
        <f>IF($K411="","",IFERROR(VLOOKUP(--SUBSTITUTE(SUBSTITUTE(TRIM($K411),"-","")," ",""),마스터시트!$A$2:$H$1946,6,FALSE),""))</f>
        <v/>
      </c>
      <c r="R411" s="18" t="str">
        <f>IF($K411="","",IFERROR(VLOOKUP(--SUBSTITUTE(SUBSTITUTE(TRIM($K411),"-","")," ",""),마스터시트!$A$2:$H$1946,7,FALSE),""))</f>
        <v/>
      </c>
    </row>
    <row r="412" spans="13:18" x14ac:dyDescent="0.3">
      <c r="M412" s="18" t="str">
        <f>IF($K412="","",IFERROR(VLOOKUP(--SUBSTITUTE(SUBSTITUTE(TRIM($K412),"-","")," ",""),마스터시트!$A$2:$H$1946,2,FALSE),"미등록"))</f>
        <v/>
      </c>
      <c r="N412" s="53" t="str">
        <f>IF($K412="","",IFERROR(VLOOKUP(--SUBSTITUTE(SUBSTITUTE(TRIM($K412),"-","")," ",""),마스터시트!$A$2:$H$1946,3,FALSE),"미등록"))</f>
        <v/>
      </c>
      <c r="O412" s="18" t="str">
        <f>IF($K412="","",IFERROR(VLOOKUP(--SUBSTITUTE(SUBSTITUTE(TRIM($K412),"-","")," ",""),마스터시트!$A$2:$H$1946,4,FALSE),""))</f>
        <v/>
      </c>
      <c r="P412" s="18" t="str">
        <f>IF($K412="","",IFERROR(VLOOKUP(--SUBSTITUTE(SUBSTITUTE(TRIM($K412),"-","")," ",""),마스터시트!$A$2:$H$1946,5,FALSE),""))</f>
        <v/>
      </c>
      <c r="Q412" s="18" t="str">
        <f>IF($K412="","",IFERROR(VLOOKUP(--SUBSTITUTE(SUBSTITUTE(TRIM($K412),"-","")," ",""),마스터시트!$A$2:$H$1946,6,FALSE),""))</f>
        <v/>
      </c>
      <c r="R412" s="18" t="str">
        <f>IF($K412="","",IFERROR(VLOOKUP(--SUBSTITUTE(SUBSTITUTE(TRIM($K412),"-","")," ",""),마스터시트!$A$2:$H$1946,7,FALSE),""))</f>
        <v/>
      </c>
    </row>
    <row r="413" spans="13:18" x14ac:dyDescent="0.3">
      <c r="M413" s="18" t="str">
        <f>IF($K413="","",IFERROR(VLOOKUP(--SUBSTITUTE(SUBSTITUTE(TRIM($K413),"-","")," ",""),마스터시트!$A$2:$H$1946,2,FALSE),"미등록"))</f>
        <v/>
      </c>
      <c r="N413" s="53" t="str">
        <f>IF($K413="","",IFERROR(VLOOKUP(--SUBSTITUTE(SUBSTITUTE(TRIM($K413),"-","")," ",""),마스터시트!$A$2:$H$1946,3,FALSE),"미등록"))</f>
        <v/>
      </c>
      <c r="O413" s="18" t="str">
        <f>IF($K413="","",IFERROR(VLOOKUP(--SUBSTITUTE(SUBSTITUTE(TRIM($K413),"-","")," ",""),마스터시트!$A$2:$H$1946,4,FALSE),""))</f>
        <v/>
      </c>
      <c r="P413" s="18" t="str">
        <f>IF($K413="","",IFERROR(VLOOKUP(--SUBSTITUTE(SUBSTITUTE(TRIM($K413),"-","")," ",""),마스터시트!$A$2:$H$1946,5,FALSE),""))</f>
        <v/>
      </c>
      <c r="Q413" s="18" t="str">
        <f>IF($K413="","",IFERROR(VLOOKUP(--SUBSTITUTE(SUBSTITUTE(TRIM($K413),"-","")," ",""),마스터시트!$A$2:$H$1946,6,FALSE),""))</f>
        <v/>
      </c>
      <c r="R413" s="18" t="str">
        <f>IF($K413="","",IFERROR(VLOOKUP(--SUBSTITUTE(SUBSTITUTE(TRIM($K413),"-","")," ",""),마스터시트!$A$2:$H$1946,7,FALSE),""))</f>
        <v/>
      </c>
    </row>
    <row r="414" spans="13:18" x14ac:dyDescent="0.3">
      <c r="M414" s="18" t="str">
        <f>IF($K414="","",IFERROR(VLOOKUP(--SUBSTITUTE(SUBSTITUTE(TRIM($K414),"-","")," ",""),마스터시트!$A$2:$H$1946,2,FALSE),"미등록"))</f>
        <v/>
      </c>
      <c r="N414" s="53" t="str">
        <f>IF($K414="","",IFERROR(VLOOKUP(--SUBSTITUTE(SUBSTITUTE(TRIM($K414),"-","")," ",""),마스터시트!$A$2:$H$1946,3,FALSE),"미등록"))</f>
        <v/>
      </c>
      <c r="O414" s="18" t="str">
        <f>IF($K414="","",IFERROR(VLOOKUP(--SUBSTITUTE(SUBSTITUTE(TRIM($K414),"-","")," ",""),마스터시트!$A$2:$H$1946,4,FALSE),""))</f>
        <v/>
      </c>
      <c r="P414" s="18" t="str">
        <f>IF($K414="","",IFERROR(VLOOKUP(--SUBSTITUTE(SUBSTITUTE(TRIM($K414),"-","")," ",""),마스터시트!$A$2:$H$1946,5,FALSE),""))</f>
        <v/>
      </c>
      <c r="Q414" s="18" t="str">
        <f>IF($K414="","",IFERROR(VLOOKUP(--SUBSTITUTE(SUBSTITUTE(TRIM($K414),"-","")," ",""),마스터시트!$A$2:$H$1946,6,FALSE),""))</f>
        <v/>
      </c>
      <c r="R414" s="18" t="str">
        <f>IF($K414="","",IFERROR(VLOOKUP(--SUBSTITUTE(SUBSTITUTE(TRIM($K414),"-","")," ",""),마스터시트!$A$2:$H$1946,7,FALSE),""))</f>
        <v/>
      </c>
    </row>
    <row r="415" spans="13:18" x14ac:dyDescent="0.3">
      <c r="M415" s="18" t="str">
        <f>IF($K415="","",IFERROR(VLOOKUP(--SUBSTITUTE(SUBSTITUTE(TRIM($K415),"-","")," ",""),마스터시트!$A$2:$H$1946,2,FALSE),"미등록"))</f>
        <v/>
      </c>
      <c r="N415" s="53" t="str">
        <f>IF($K415="","",IFERROR(VLOOKUP(--SUBSTITUTE(SUBSTITUTE(TRIM($K415),"-","")," ",""),마스터시트!$A$2:$H$1946,3,FALSE),"미등록"))</f>
        <v/>
      </c>
      <c r="O415" s="18" t="str">
        <f>IF($K415="","",IFERROR(VLOOKUP(--SUBSTITUTE(SUBSTITUTE(TRIM($K415),"-","")," ",""),마스터시트!$A$2:$H$1946,4,FALSE),""))</f>
        <v/>
      </c>
      <c r="P415" s="18" t="str">
        <f>IF($K415="","",IFERROR(VLOOKUP(--SUBSTITUTE(SUBSTITUTE(TRIM($K415),"-","")," ",""),마스터시트!$A$2:$H$1946,5,FALSE),""))</f>
        <v/>
      </c>
      <c r="Q415" s="18" t="str">
        <f>IF($K415="","",IFERROR(VLOOKUP(--SUBSTITUTE(SUBSTITUTE(TRIM($K415),"-","")," ",""),마스터시트!$A$2:$H$1946,6,FALSE),""))</f>
        <v/>
      </c>
      <c r="R415" s="18" t="str">
        <f>IF($K415="","",IFERROR(VLOOKUP(--SUBSTITUTE(SUBSTITUTE(TRIM($K415),"-","")," ",""),마스터시트!$A$2:$H$1946,7,FALSE),""))</f>
        <v/>
      </c>
    </row>
    <row r="416" spans="13:18" x14ac:dyDescent="0.3">
      <c r="M416" s="18" t="str">
        <f>IF($K416="","",IFERROR(VLOOKUP(--SUBSTITUTE(SUBSTITUTE(TRIM($K416),"-","")," ",""),마스터시트!$A$2:$H$1946,2,FALSE),"미등록"))</f>
        <v/>
      </c>
      <c r="N416" s="53" t="str">
        <f>IF($K416="","",IFERROR(VLOOKUP(--SUBSTITUTE(SUBSTITUTE(TRIM($K416),"-","")," ",""),마스터시트!$A$2:$H$1946,3,FALSE),"미등록"))</f>
        <v/>
      </c>
      <c r="O416" s="18" t="str">
        <f>IF($K416="","",IFERROR(VLOOKUP(--SUBSTITUTE(SUBSTITUTE(TRIM($K416),"-","")," ",""),마스터시트!$A$2:$H$1946,4,FALSE),""))</f>
        <v/>
      </c>
      <c r="P416" s="18" t="str">
        <f>IF($K416="","",IFERROR(VLOOKUP(--SUBSTITUTE(SUBSTITUTE(TRIM($K416),"-","")," ",""),마스터시트!$A$2:$H$1946,5,FALSE),""))</f>
        <v/>
      </c>
      <c r="Q416" s="18" t="str">
        <f>IF($K416="","",IFERROR(VLOOKUP(--SUBSTITUTE(SUBSTITUTE(TRIM($K416),"-","")," ",""),마스터시트!$A$2:$H$1946,6,FALSE),""))</f>
        <v/>
      </c>
      <c r="R416" s="18" t="str">
        <f>IF($K416="","",IFERROR(VLOOKUP(--SUBSTITUTE(SUBSTITUTE(TRIM($K416),"-","")," ",""),마스터시트!$A$2:$H$1946,7,FALSE),""))</f>
        <v/>
      </c>
    </row>
    <row r="417" spans="13:18" x14ac:dyDescent="0.3">
      <c r="M417" s="18" t="str">
        <f>IF($K417="","",IFERROR(VLOOKUP(--SUBSTITUTE(SUBSTITUTE(TRIM($K417),"-","")," ",""),마스터시트!$A$2:$H$1946,2,FALSE),"미등록"))</f>
        <v/>
      </c>
      <c r="N417" s="53" t="str">
        <f>IF($K417="","",IFERROR(VLOOKUP(--SUBSTITUTE(SUBSTITUTE(TRIM($K417),"-","")," ",""),마스터시트!$A$2:$H$1946,3,FALSE),"미등록"))</f>
        <v/>
      </c>
      <c r="O417" s="18" t="str">
        <f>IF($K417="","",IFERROR(VLOOKUP(--SUBSTITUTE(SUBSTITUTE(TRIM($K417),"-","")," ",""),마스터시트!$A$2:$H$1946,4,FALSE),""))</f>
        <v/>
      </c>
      <c r="P417" s="18" t="str">
        <f>IF($K417="","",IFERROR(VLOOKUP(--SUBSTITUTE(SUBSTITUTE(TRIM($K417),"-","")," ",""),마스터시트!$A$2:$H$1946,5,FALSE),""))</f>
        <v/>
      </c>
      <c r="Q417" s="18" t="str">
        <f>IF($K417="","",IFERROR(VLOOKUP(--SUBSTITUTE(SUBSTITUTE(TRIM($K417),"-","")," ",""),마스터시트!$A$2:$H$1946,6,FALSE),""))</f>
        <v/>
      </c>
      <c r="R417" s="18" t="str">
        <f>IF($K417="","",IFERROR(VLOOKUP(--SUBSTITUTE(SUBSTITUTE(TRIM($K417),"-","")," ",""),마스터시트!$A$2:$H$1946,7,FALSE),""))</f>
        <v/>
      </c>
    </row>
    <row r="418" spans="13:18" x14ac:dyDescent="0.3">
      <c r="M418" s="18" t="str">
        <f>IF($K418="","",IFERROR(VLOOKUP(--SUBSTITUTE(SUBSTITUTE(TRIM($K418),"-","")," ",""),마스터시트!$A$2:$H$1946,2,FALSE),"미등록"))</f>
        <v/>
      </c>
      <c r="N418" s="53" t="str">
        <f>IF($K418="","",IFERROR(VLOOKUP(--SUBSTITUTE(SUBSTITUTE(TRIM($K418),"-","")," ",""),마스터시트!$A$2:$H$1946,3,FALSE),"미등록"))</f>
        <v/>
      </c>
      <c r="O418" s="18" t="str">
        <f>IF($K418="","",IFERROR(VLOOKUP(--SUBSTITUTE(SUBSTITUTE(TRIM($K418),"-","")," ",""),마스터시트!$A$2:$H$1946,4,FALSE),""))</f>
        <v/>
      </c>
      <c r="P418" s="18" t="str">
        <f>IF($K418="","",IFERROR(VLOOKUP(--SUBSTITUTE(SUBSTITUTE(TRIM($K418),"-","")," ",""),마스터시트!$A$2:$H$1946,5,FALSE),""))</f>
        <v/>
      </c>
      <c r="Q418" s="18" t="str">
        <f>IF($K418="","",IFERROR(VLOOKUP(--SUBSTITUTE(SUBSTITUTE(TRIM($K418),"-","")," ",""),마스터시트!$A$2:$H$1946,6,FALSE),""))</f>
        <v/>
      </c>
      <c r="R418" s="18" t="str">
        <f>IF($K418="","",IFERROR(VLOOKUP(--SUBSTITUTE(SUBSTITUTE(TRIM($K418),"-","")," ",""),마스터시트!$A$2:$H$1946,7,FALSE),""))</f>
        <v/>
      </c>
    </row>
    <row r="419" spans="13:18" x14ac:dyDescent="0.3">
      <c r="M419" s="18" t="str">
        <f>IF($K419="","",IFERROR(VLOOKUP(--SUBSTITUTE(SUBSTITUTE(TRIM($K419),"-","")," ",""),마스터시트!$A$2:$H$1946,2,FALSE),"미등록"))</f>
        <v/>
      </c>
      <c r="N419" s="53" t="str">
        <f>IF($K419="","",IFERROR(VLOOKUP(--SUBSTITUTE(SUBSTITUTE(TRIM($K419),"-","")," ",""),마스터시트!$A$2:$H$1946,3,FALSE),"미등록"))</f>
        <v/>
      </c>
      <c r="O419" s="18" t="str">
        <f>IF($K419="","",IFERROR(VLOOKUP(--SUBSTITUTE(SUBSTITUTE(TRIM($K419),"-","")," ",""),마스터시트!$A$2:$H$1946,4,FALSE),""))</f>
        <v/>
      </c>
      <c r="P419" s="18" t="str">
        <f>IF($K419="","",IFERROR(VLOOKUP(--SUBSTITUTE(SUBSTITUTE(TRIM($K419),"-","")," ",""),마스터시트!$A$2:$H$1946,5,FALSE),""))</f>
        <v/>
      </c>
      <c r="Q419" s="18" t="str">
        <f>IF($K419="","",IFERROR(VLOOKUP(--SUBSTITUTE(SUBSTITUTE(TRIM($K419),"-","")," ",""),마스터시트!$A$2:$H$1946,6,FALSE),""))</f>
        <v/>
      </c>
      <c r="R419" s="18" t="str">
        <f>IF($K419="","",IFERROR(VLOOKUP(--SUBSTITUTE(SUBSTITUTE(TRIM($K419),"-","")," ",""),마스터시트!$A$2:$H$1946,7,FALSE),""))</f>
        <v/>
      </c>
    </row>
    <row r="420" spans="13:18" x14ac:dyDescent="0.3">
      <c r="M420" s="18" t="str">
        <f>IF($K420="","",IFERROR(VLOOKUP(--SUBSTITUTE(SUBSTITUTE(TRIM($K420),"-","")," ",""),마스터시트!$A$2:$H$1946,2,FALSE),"미등록"))</f>
        <v/>
      </c>
      <c r="N420" s="53" t="str">
        <f>IF($K420="","",IFERROR(VLOOKUP(--SUBSTITUTE(SUBSTITUTE(TRIM($K420),"-","")," ",""),마스터시트!$A$2:$H$1946,3,FALSE),"미등록"))</f>
        <v/>
      </c>
      <c r="O420" s="18" t="str">
        <f>IF($K420="","",IFERROR(VLOOKUP(--SUBSTITUTE(SUBSTITUTE(TRIM($K420),"-","")," ",""),마스터시트!$A$2:$H$1946,4,FALSE),""))</f>
        <v/>
      </c>
      <c r="P420" s="18" t="str">
        <f>IF($K420="","",IFERROR(VLOOKUP(--SUBSTITUTE(SUBSTITUTE(TRIM($K420),"-","")," ",""),마스터시트!$A$2:$H$1946,5,FALSE),""))</f>
        <v/>
      </c>
      <c r="Q420" s="18" t="str">
        <f>IF($K420="","",IFERROR(VLOOKUP(--SUBSTITUTE(SUBSTITUTE(TRIM($K420),"-","")," ",""),마스터시트!$A$2:$H$1946,6,FALSE),""))</f>
        <v/>
      </c>
      <c r="R420" s="18" t="str">
        <f>IF($K420="","",IFERROR(VLOOKUP(--SUBSTITUTE(SUBSTITUTE(TRIM($K420),"-","")," ",""),마스터시트!$A$2:$H$1946,7,FALSE),""))</f>
        <v/>
      </c>
    </row>
    <row r="421" spans="13:18" x14ac:dyDescent="0.3">
      <c r="M421" s="18" t="str">
        <f>IF($K421="","",IFERROR(VLOOKUP(--SUBSTITUTE(SUBSTITUTE(TRIM($K421),"-","")," ",""),마스터시트!$A$2:$H$1946,2,FALSE),"미등록"))</f>
        <v/>
      </c>
      <c r="N421" s="53" t="str">
        <f>IF($K421="","",IFERROR(VLOOKUP(--SUBSTITUTE(SUBSTITUTE(TRIM($K421),"-","")," ",""),마스터시트!$A$2:$H$1946,3,FALSE),"미등록"))</f>
        <v/>
      </c>
      <c r="O421" s="18" t="str">
        <f>IF($K421="","",IFERROR(VLOOKUP(--SUBSTITUTE(SUBSTITUTE(TRIM($K421),"-","")," ",""),마스터시트!$A$2:$H$1946,4,FALSE),""))</f>
        <v/>
      </c>
      <c r="P421" s="18" t="str">
        <f>IF($K421="","",IFERROR(VLOOKUP(--SUBSTITUTE(SUBSTITUTE(TRIM($K421),"-","")," ",""),마스터시트!$A$2:$H$1946,5,FALSE),""))</f>
        <v/>
      </c>
      <c r="Q421" s="18" t="str">
        <f>IF($K421="","",IFERROR(VLOOKUP(--SUBSTITUTE(SUBSTITUTE(TRIM($K421),"-","")," ",""),마스터시트!$A$2:$H$1946,6,FALSE),""))</f>
        <v/>
      </c>
      <c r="R421" s="18" t="str">
        <f>IF($K421="","",IFERROR(VLOOKUP(--SUBSTITUTE(SUBSTITUTE(TRIM($K421),"-","")," ",""),마스터시트!$A$2:$H$1946,7,FALSE),""))</f>
        <v/>
      </c>
    </row>
    <row r="422" spans="13:18" x14ac:dyDescent="0.3">
      <c r="M422" s="18" t="str">
        <f>IF($K422="","",IFERROR(VLOOKUP(--SUBSTITUTE(SUBSTITUTE(TRIM($K422),"-","")," ",""),마스터시트!$A$2:$H$1946,2,FALSE),"미등록"))</f>
        <v/>
      </c>
      <c r="N422" s="53" t="str">
        <f>IF($K422="","",IFERROR(VLOOKUP(--SUBSTITUTE(SUBSTITUTE(TRIM($K422),"-","")," ",""),마스터시트!$A$2:$H$1946,3,FALSE),"미등록"))</f>
        <v/>
      </c>
      <c r="O422" s="18" t="str">
        <f>IF($K422="","",IFERROR(VLOOKUP(--SUBSTITUTE(SUBSTITUTE(TRIM($K422),"-","")," ",""),마스터시트!$A$2:$H$1946,4,FALSE),""))</f>
        <v/>
      </c>
      <c r="P422" s="18" t="str">
        <f>IF($K422="","",IFERROR(VLOOKUP(--SUBSTITUTE(SUBSTITUTE(TRIM($K422),"-","")," ",""),마스터시트!$A$2:$H$1946,5,FALSE),""))</f>
        <v/>
      </c>
      <c r="Q422" s="18" t="str">
        <f>IF($K422="","",IFERROR(VLOOKUP(--SUBSTITUTE(SUBSTITUTE(TRIM($K422),"-","")," ",""),마스터시트!$A$2:$H$1946,6,FALSE),""))</f>
        <v/>
      </c>
      <c r="R422" s="18" t="str">
        <f>IF($K422="","",IFERROR(VLOOKUP(--SUBSTITUTE(SUBSTITUTE(TRIM($K422),"-","")," ",""),마스터시트!$A$2:$H$1946,7,FALSE),""))</f>
        <v/>
      </c>
    </row>
    <row r="423" spans="13:18" x14ac:dyDescent="0.3">
      <c r="M423" s="18" t="str">
        <f>IF($K423="","",IFERROR(VLOOKUP(--SUBSTITUTE(SUBSTITUTE(TRIM($K423),"-","")," ",""),마스터시트!$A$2:$H$1946,2,FALSE),"미등록"))</f>
        <v/>
      </c>
      <c r="N423" s="53" t="str">
        <f>IF($K423="","",IFERROR(VLOOKUP(--SUBSTITUTE(SUBSTITUTE(TRIM($K423),"-","")," ",""),마스터시트!$A$2:$H$1946,3,FALSE),"미등록"))</f>
        <v/>
      </c>
      <c r="O423" s="18" t="str">
        <f>IF($K423="","",IFERROR(VLOOKUP(--SUBSTITUTE(SUBSTITUTE(TRIM($K423),"-","")," ",""),마스터시트!$A$2:$H$1946,4,FALSE),""))</f>
        <v/>
      </c>
      <c r="P423" s="18" t="str">
        <f>IF($K423="","",IFERROR(VLOOKUP(--SUBSTITUTE(SUBSTITUTE(TRIM($K423),"-","")," ",""),마스터시트!$A$2:$H$1946,5,FALSE),""))</f>
        <v/>
      </c>
      <c r="Q423" s="18" t="str">
        <f>IF($K423="","",IFERROR(VLOOKUP(--SUBSTITUTE(SUBSTITUTE(TRIM($K423),"-","")," ",""),마스터시트!$A$2:$H$1946,6,FALSE),""))</f>
        <v/>
      </c>
      <c r="R423" s="18" t="str">
        <f>IF($K423="","",IFERROR(VLOOKUP(--SUBSTITUTE(SUBSTITUTE(TRIM($K423),"-","")," ",""),마스터시트!$A$2:$H$1946,7,FALSE),""))</f>
        <v/>
      </c>
    </row>
    <row r="424" spans="13:18" x14ac:dyDescent="0.3">
      <c r="M424" s="18" t="str">
        <f>IF($K424="","",IFERROR(VLOOKUP(--SUBSTITUTE(SUBSTITUTE(TRIM($K424),"-","")," ",""),마스터시트!$A$2:$H$1946,2,FALSE),"미등록"))</f>
        <v/>
      </c>
      <c r="N424" s="53" t="str">
        <f>IF($K424="","",IFERROR(VLOOKUP(--SUBSTITUTE(SUBSTITUTE(TRIM($K424),"-","")," ",""),마스터시트!$A$2:$H$1946,3,FALSE),"미등록"))</f>
        <v/>
      </c>
      <c r="O424" s="18" t="str">
        <f>IF($K424="","",IFERROR(VLOOKUP(--SUBSTITUTE(SUBSTITUTE(TRIM($K424),"-","")," ",""),마스터시트!$A$2:$H$1946,4,FALSE),""))</f>
        <v/>
      </c>
      <c r="P424" s="18" t="str">
        <f>IF($K424="","",IFERROR(VLOOKUP(--SUBSTITUTE(SUBSTITUTE(TRIM($K424),"-","")," ",""),마스터시트!$A$2:$H$1946,5,FALSE),""))</f>
        <v/>
      </c>
      <c r="Q424" s="18" t="str">
        <f>IF($K424="","",IFERROR(VLOOKUP(--SUBSTITUTE(SUBSTITUTE(TRIM($K424),"-","")," ",""),마스터시트!$A$2:$H$1946,6,FALSE),""))</f>
        <v/>
      </c>
      <c r="R424" s="18" t="str">
        <f>IF($K424="","",IFERROR(VLOOKUP(--SUBSTITUTE(SUBSTITUTE(TRIM($K424),"-","")," ",""),마스터시트!$A$2:$H$1946,7,FALSE),""))</f>
        <v/>
      </c>
    </row>
    <row r="425" spans="13:18" x14ac:dyDescent="0.3">
      <c r="M425" s="18" t="str">
        <f>IF($K425="","",IFERROR(VLOOKUP(--SUBSTITUTE(SUBSTITUTE(TRIM($K425),"-","")," ",""),마스터시트!$A$2:$H$1946,2,FALSE),"미등록"))</f>
        <v/>
      </c>
      <c r="N425" s="53" t="str">
        <f>IF($K425="","",IFERROR(VLOOKUP(--SUBSTITUTE(SUBSTITUTE(TRIM($K425),"-","")," ",""),마스터시트!$A$2:$H$1946,3,FALSE),"미등록"))</f>
        <v/>
      </c>
      <c r="O425" s="18" t="str">
        <f>IF($K425="","",IFERROR(VLOOKUP(--SUBSTITUTE(SUBSTITUTE(TRIM($K425),"-","")," ",""),마스터시트!$A$2:$H$1946,4,FALSE),""))</f>
        <v/>
      </c>
      <c r="P425" s="18" t="str">
        <f>IF($K425="","",IFERROR(VLOOKUP(--SUBSTITUTE(SUBSTITUTE(TRIM($K425),"-","")," ",""),마스터시트!$A$2:$H$1946,5,FALSE),""))</f>
        <v/>
      </c>
      <c r="Q425" s="18" t="str">
        <f>IF($K425="","",IFERROR(VLOOKUP(--SUBSTITUTE(SUBSTITUTE(TRIM($K425),"-","")," ",""),마스터시트!$A$2:$H$1946,6,FALSE),""))</f>
        <v/>
      </c>
      <c r="R425" s="18" t="str">
        <f>IF($K425="","",IFERROR(VLOOKUP(--SUBSTITUTE(SUBSTITUTE(TRIM($K425),"-","")," ",""),마스터시트!$A$2:$H$1946,7,FALSE),""))</f>
        <v/>
      </c>
    </row>
    <row r="426" spans="13:18" x14ac:dyDescent="0.3">
      <c r="M426" s="18" t="str">
        <f>IF($K426="","",IFERROR(VLOOKUP(--SUBSTITUTE(SUBSTITUTE(TRIM($K426),"-","")," ",""),마스터시트!$A$2:$H$1946,2,FALSE),"미등록"))</f>
        <v/>
      </c>
      <c r="N426" s="53" t="str">
        <f>IF($K426="","",IFERROR(VLOOKUP(--SUBSTITUTE(SUBSTITUTE(TRIM($K426),"-","")," ",""),마스터시트!$A$2:$H$1946,3,FALSE),"미등록"))</f>
        <v/>
      </c>
      <c r="O426" s="18" t="str">
        <f>IF($K426="","",IFERROR(VLOOKUP(--SUBSTITUTE(SUBSTITUTE(TRIM($K426),"-","")," ",""),마스터시트!$A$2:$H$1946,4,FALSE),""))</f>
        <v/>
      </c>
      <c r="P426" s="18" t="str">
        <f>IF($K426="","",IFERROR(VLOOKUP(--SUBSTITUTE(SUBSTITUTE(TRIM($K426),"-","")," ",""),마스터시트!$A$2:$H$1946,5,FALSE),""))</f>
        <v/>
      </c>
      <c r="Q426" s="18" t="str">
        <f>IF($K426="","",IFERROR(VLOOKUP(--SUBSTITUTE(SUBSTITUTE(TRIM($K426),"-","")," ",""),마스터시트!$A$2:$H$1946,6,FALSE),""))</f>
        <v/>
      </c>
      <c r="R426" s="18" t="str">
        <f>IF($K426="","",IFERROR(VLOOKUP(--SUBSTITUTE(SUBSTITUTE(TRIM($K426),"-","")," ",""),마스터시트!$A$2:$H$1946,7,FALSE),""))</f>
        <v/>
      </c>
    </row>
    <row r="427" spans="13:18" x14ac:dyDescent="0.3">
      <c r="M427" s="18" t="str">
        <f>IF($K427="","",IFERROR(VLOOKUP(--SUBSTITUTE(SUBSTITUTE(TRIM($K427),"-","")," ",""),마스터시트!$A$2:$H$1946,2,FALSE),"미등록"))</f>
        <v/>
      </c>
      <c r="N427" s="53" t="str">
        <f>IF($K427="","",IFERROR(VLOOKUP(--SUBSTITUTE(SUBSTITUTE(TRIM($K427),"-","")," ",""),마스터시트!$A$2:$H$1946,3,FALSE),"미등록"))</f>
        <v/>
      </c>
      <c r="O427" s="18" t="str">
        <f>IF($K427="","",IFERROR(VLOOKUP(--SUBSTITUTE(SUBSTITUTE(TRIM($K427),"-","")," ",""),마스터시트!$A$2:$H$1946,4,FALSE),""))</f>
        <v/>
      </c>
      <c r="P427" s="18" t="str">
        <f>IF($K427="","",IFERROR(VLOOKUP(--SUBSTITUTE(SUBSTITUTE(TRIM($K427),"-","")," ",""),마스터시트!$A$2:$H$1946,5,FALSE),""))</f>
        <v/>
      </c>
      <c r="Q427" s="18" t="str">
        <f>IF($K427="","",IFERROR(VLOOKUP(--SUBSTITUTE(SUBSTITUTE(TRIM($K427),"-","")," ",""),마스터시트!$A$2:$H$1946,6,FALSE),""))</f>
        <v/>
      </c>
      <c r="R427" s="18" t="str">
        <f>IF($K427="","",IFERROR(VLOOKUP(--SUBSTITUTE(SUBSTITUTE(TRIM($K427),"-","")," ",""),마스터시트!$A$2:$H$1946,7,FALSE),""))</f>
        <v/>
      </c>
    </row>
    <row r="428" spans="13:18" x14ac:dyDescent="0.3">
      <c r="M428" s="18" t="str">
        <f>IF($K428="","",IFERROR(VLOOKUP(--SUBSTITUTE(SUBSTITUTE(TRIM($K428),"-","")," ",""),마스터시트!$A$2:$H$1946,2,FALSE),"미등록"))</f>
        <v/>
      </c>
      <c r="N428" s="53" t="str">
        <f>IF($K428="","",IFERROR(VLOOKUP(--SUBSTITUTE(SUBSTITUTE(TRIM($K428),"-","")," ",""),마스터시트!$A$2:$H$1946,3,FALSE),"미등록"))</f>
        <v/>
      </c>
      <c r="O428" s="18" t="str">
        <f>IF($K428="","",IFERROR(VLOOKUP(--SUBSTITUTE(SUBSTITUTE(TRIM($K428),"-","")," ",""),마스터시트!$A$2:$H$1946,4,FALSE),""))</f>
        <v/>
      </c>
      <c r="P428" s="18" t="str">
        <f>IF($K428="","",IFERROR(VLOOKUP(--SUBSTITUTE(SUBSTITUTE(TRIM($K428),"-","")," ",""),마스터시트!$A$2:$H$1946,5,FALSE),""))</f>
        <v/>
      </c>
      <c r="Q428" s="18" t="str">
        <f>IF($K428="","",IFERROR(VLOOKUP(--SUBSTITUTE(SUBSTITUTE(TRIM($K428),"-","")," ",""),마스터시트!$A$2:$H$1946,6,FALSE),""))</f>
        <v/>
      </c>
      <c r="R428" s="18" t="str">
        <f>IF($K428="","",IFERROR(VLOOKUP(--SUBSTITUTE(SUBSTITUTE(TRIM($K428),"-","")," ",""),마스터시트!$A$2:$H$1946,7,FALSE),""))</f>
        <v/>
      </c>
    </row>
    <row r="429" spans="13:18" x14ac:dyDescent="0.3">
      <c r="M429" s="18" t="str">
        <f>IF($K429="","",IFERROR(VLOOKUP(--SUBSTITUTE(SUBSTITUTE(TRIM($K429),"-","")," ",""),마스터시트!$A$2:$H$1946,2,FALSE),"미등록"))</f>
        <v/>
      </c>
      <c r="N429" s="53" t="str">
        <f>IF($K429="","",IFERROR(VLOOKUP(--SUBSTITUTE(SUBSTITUTE(TRIM($K429),"-","")," ",""),마스터시트!$A$2:$H$1946,3,FALSE),"미등록"))</f>
        <v/>
      </c>
      <c r="O429" s="18" t="str">
        <f>IF($K429="","",IFERROR(VLOOKUP(--SUBSTITUTE(SUBSTITUTE(TRIM($K429),"-","")," ",""),마스터시트!$A$2:$H$1946,4,FALSE),""))</f>
        <v/>
      </c>
      <c r="P429" s="18" t="str">
        <f>IF($K429="","",IFERROR(VLOOKUP(--SUBSTITUTE(SUBSTITUTE(TRIM($K429),"-","")," ",""),마스터시트!$A$2:$H$1946,5,FALSE),""))</f>
        <v/>
      </c>
      <c r="Q429" s="18" t="str">
        <f>IF($K429="","",IFERROR(VLOOKUP(--SUBSTITUTE(SUBSTITUTE(TRIM($K429),"-","")," ",""),마스터시트!$A$2:$H$1946,6,FALSE),""))</f>
        <v/>
      </c>
      <c r="R429" s="18" t="str">
        <f>IF($K429="","",IFERROR(VLOOKUP(--SUBSTITUTE(SUBSTITUTE(TRIM($K429),"-","")," ",""),마스터시트!$A$2:$H$1946,7,FALSE),""))</f>
        <v/>
      </c>
    </row>
    <row r="430" spans="13:18" x14ac:dyDescent="0.3">
      <c r="M430" s="18" t="str">
        <f>IF($K430="","",IFERROR(VLOOKUP(--SUBSTITUTE(SUBSTITUTE(TRIM($K430),"-","")," ",""),마스터시트!$A$2:$H$1946,2,FALSE),"미등록"))</f>
        <v/>
      </c>
      <c r="N430" s="53" t="str">
        <f>IF($K430="","",IFERROR(VLOOKUP(--SUBSTITUTE(SUBSTITUTE(TRIM($K430),"-","")," ",""),마스터시트!$A$2:$H$1946,3,FALSE),"미등록"))</f>
        <v/>
      </c>
      <c r="O430" s="18" t="str">
        <f>IF($K430="","",IFERROR(VLOOKUP(--SUBSTITUTE(SUBSTITUTE(TRIM($K430),"-","")," ",""),마스터시트!$A$2:$H$1946,4,FALSE),""))</f>
        <v/>
      </c>
      <c r="P430" s="18" t="str">
        <f>IF($K430="","",IFERROR(VLOOKUP(--SUBSTITUTE(SUBSTITUTE(TRIM($K430),"-","")," ",""),마스터시트!$A$2:$H$1946,5,FALSE),""))</f>
        <v/>
      </c>
      <c r="Q430" s="18" t="str">
        <f>IF($K430="","",IFERROR(VLOOKUP(--SUBSTITUTE(SUBSTITUTE(TRIM($K430),"-","")," ",""),마스터시트!$A$2:$H$1946,6,FALSE),""))</f>
        <v/>
      </c>
      <c r="R430" s="18" t="str">
        <f>IF($K430="","",IFERROR(VLOOKUP(--SUBSTITUTE(SUBSTITUTE(TRIM($K430),"-","")," ",""),마스터시트!$A$2:$H$1946,7,FALSE),""))</f>
        <v/>
      </c>
    </row>
    <row r="431" spans="13:18" x14ac:dyDescent="0.3">
      <c r="M431" s="18" t="str">
        <f>IF($K431="","",IFERROR(VLOOKUP(--SUBSTITUTE(SUBSTITUTE(TRIM($K431),"-","")," ",""),마스터시트!$A$2:$H$1946,2,FALSE),"미등록"))</f>
        <v/>
      </c>
      <c r="N431" s="53" t="str">
        <f>IF($K431="","",IFERROR(VLOOKUP(--SUBSTITUTE(SUBSTITUTE(TRIM($K431),"-","")," ",""),마스터시트!$A$2:$H$1946,3,FALSE),"미등록"))</f>
        <v/>
      </c>
      <c r="O431" s="18" t="str">
        <f>IF($K431="","",IFERROR(VLOOKUP(--SUBSTITUTE(SUBSTITUTE(TRIM($K431),"-","")," ",""),마스터시트!$A$2:$H$1946,4,FALSE),""))</f>
        <v/>
      </c>
      <c r="P431" s="18" t="str">
        <f>IF($K431="","",IFERROR(VLOOKUP(--SUBSTITUTE(SUBSTITUTE(TRIM($K431),"-","")," ",""),마스터시트!$A$2:$H$1946,5,FALSE),""))</f>
        <v/>
      </c>
      <c r="Q431" s="18" t="str">
        <f>IF($K431="","",IFERROR(VLOOKUP(--SUBSTITUTE(SUBSTITUTE(TRIM($K431),"-","")," ",""),마스터시트!$A$2:$H$1946,6,FALSE),""))</f>
        <v/>
      </c>
      <c r="R431" s="18" t="str">
        <f>IF($K431="","",IFERROR(VLOOKUP(--SUBSTITUTE(SUBSTITUTE(TRIM($K431),"-","")," ",""),마스터시트!$A$2:$H$1946,7,FALSE),""))</f>
        <v/>
      </c>
    </row>
    <row r="432" spans="13:18" x14ac:dyDescent="0.3">
      <c r="M432" s="18" t="str">
        <f>IF($K432="","",IFERROR(VLOOKUP(--SUBSTITUTE(SUBSTITUTE(TRIM($K432),"-","")," ",""),마스터시트!$A$2:$H$1946,2,FALSE),"미등록"))</f>
        <v/>
      </c>
      <c r="N432" s="53" t="str">
        <f>IF($K432="","",IFERROR(VLOOKUP(--SUBSTITUTE(SUBSTITUTE(TRIM($K432),"-","")," ",""),마스터시트!$A$2:$H$1946,3,FALSE),"미등록"))</f>
        <v/>
      </c>
      <c r="O432" s="18" t="str">
        <f>IF($K432="","",IFERROR(VLOOKUP(--SUBSTITUTE(SUBSTITUTE(TRIM($K432),"-","")," ",""),마스터시트!$A$2:$H$1946,4,FALSE),""))</f>
        <v/>
      </c>
      <c r="P432" s="18" t="str">
        <f>IF($K432="","",IFERROR(VLOOKUP(--SUBSTITUTE(SUBSTITUTE(TRIM($K432),"-","")," ",""),마스터시트!$A$2:$H$1946,5,FALSE),""))</f>
        <v/>
      </c>
      <c r="Q432" s="18" t="str">
        <f>IF($K432="","",IFERROR(VLOOKUP(--SUBSTITUTE(SUBSTITUTE(TRIM($K432),"-","")," ",""),마스터시트!$A$2:$H$1946,6,FALSE),""))</f>
        <v/>
      </c>
      <c r="R432" s="18" t="str">
        <f>IF($K432="","",IFERROR(VLOOKUP(--SUBSTITUTE(SUBSTITUTE(TRIM($K432),"-","")," ",""),마스터시트!$A$2:$H$1946,7,FALSE),""))</f>
        <v/>
      </c>
    </row>
    <row r="433" spans="13:18" x14ac:dyDescent="0.3">
      <c r="M433" s="18" t="str">
        <f>IF($K433="","",IFERROR(VLOOKUP(--SUBSTITUTE(SUBSTITUTE(TRIM($K433),"-","")," ",""),마스터시트!$A$2:$H$1946,2,FALSE),"미등록"))</f>
        <v/>
      </c>
      <c r="N433" s="53" t="str">
        <f>IF($K433="","",IFERROR(VLOOKUP(--SUBSTITUTE(SUBSTITUTE(TRIM($K433),"-","")," ",""),마스터시트!$A$2:$H$1946,3,FALSE),"미등록"))</f>
        <v/>
      </c>
      <c r="O433" s="18" t="str">
        <f>IF($K433="","",IFERROR(VLOOKUP(--SUBSTITUTE(SUBSTITUTE(TRIM($K433),"-","")," ",""),마스터시트!$A$2:$H$1946,4,FALSE),""))</f>
        <v/>
      </c>
      <c r="P433" s="18" t="str">
        <f>IF($K433="","",IFERROR(VLOOKUP(--SUBSTITUTE(SUBSTITUTE(TRIM($K433),"-","")," ",""),마스터시트!$A$2:$H$1946,5,FALSE),""))</f>
        <v/>
      </c>
      <c r="Q433" s="18" t="str">
        <f>IF($K433="","",IFERROR(VLOOKUP(--SUBSTITUTE(SUBSTITUTE(TRIM($K433),"-","")," ",""),마스터시트!$A$2:$H$1946,6,FALSE),""))</f>
        <v/>
      </c>
      <c r="R433" s="18" t="str">
        <f>IF($K433="","",IFERROR(VLOOKUP(--SUBSTITUTE(SUBSTITUTE(TRIM($K433),"-","")," ",""),마스터시트!$A$2:$H$1946,7,FALSE),""))</f>
        <v/>
      </c>
    </row>
    <row r="434" spans="13:18" x14ac:dyDescent="0.3">
      <c r="M434" s="18" t="str">
        <f>IF($K434="","",IFERROR(VLOOKUP(--SUBSTITUTE(SUBSTITUTE(TRIM($K434),"-","")," ",""),마스터시트!$A$2:$H$1946,2,FALSE),"미등록"))</f>
        <v/>
      </c>
      <c r="N434" s="53" t="str">
        <f>IF($K434="","",IFERROR(VLOOKUP(--SUBSTITUTE(SUBSTITUTE(TRIM($K434),"-","")," ",""),마스터시트!$A$2:$H$1946,3,FALSE),"미등록"))</f>
        <v/>
      </c>
      <c r="O434" s="18" t="str">
        <f>IF($K434="","",IFERROR(VLOOKUP(--SUBSTITUTE(SUBSTITUTE(TRIM($K434),"-","")," ",""),마스터시트!$A$2:$H$1946,4,FALSE),""))</f>
        <v/>
      </c>
      <c r="P434" s="18" t="str">
        <f>IF($K434="","",IFERROR(VLOOKUP(--SUBSTITUTE(SUBSTITUTE(TRIM($K434),"-","")," ",""),마스터시트!$A$2:$H$1946,5,FALSE),""))</f>
        <v/>
      </c>
      <c r="Q434" s="18" t="str">
        <f>IF($K434="","",IFERROR(VLOOKUP(--SUBSTITUTE(SUBSTITUTE(TRIM($K434),"-","")," ",""),마스터시트!$A$2:$H$1946,6,FALSE),""))</f>
        <v/>
      </c>
      <c r="R434" s="18" t="str">
        <f>IF($K434="","",IFERROR(VLOOKUP(--SUBSTITUTE(SUBSTITUTE(TRIM($K434),"-","")," ",""),마스터시트!$A$2:$H$1946,7,FALSE),""))</f>
        <v/>
      </c>
    </row>
    <row r="435" spans="13:18" x14ac:dyDescent="0.3">
      <c r="M435" s="18" t="str">
        <f>IF($K435="","",IFERROR(VLOOKUP(--SUBSTITUTE(SUBSTITUTE(TRIM($K435),"-","")," ",""),마스터시트!$A$2:$H$1946,2,FALSE),"미등록"))</f>
        <v/>
      </c>
      <c r="N435" s="53" t="str">
        <f>IF($K435="","",IFERROR(VLOOKUP(--SUBSTITUTE(SUBSTITUTE(TRIM($K435),"-","")," ",""),마스터시트!$A$2:$H$1946,3,FALSE),"미등록"))</f>
        <v/>
      </c>
      <c r="O435" s="18" t="str">
        <f>IF($K435="","",IFERROR(VLOOKUP(--SUBSTITUTE(SUBSTITUTE(TRIM($K435),"-","")," ",""),마스터시트!$A$2:$H$1946,4,FALSE),""))</f>
        <v/>
      </c>
      <c r="P435" s="18" t="str">
        <f>IF($K435="","",IFERROR(VLOOKUP(--SUBSTITUTE(SUBSTITUTE(TRIM($K435),"-","")," ",""),마스터시트!$A$2:$H$1946,5,FALSE),""))</f>
        <v/>
      </c>
      <c r="Q435" s="18" t="str">
        <f>IF($K435="","",IFERROR(VLOOKUP(--SUBSTITUTE(SUBSTITUTE(TRIM($K435),"-","")," ",""),마스터시트!$A$2:$H$1946,6,FALSE),""))</f>
        <v/>
      </c>
      <c r="R435" s="18" t="str">
        <f>IF($K435="","",IFERROR(VLOOKUP(--SUBSTITUTE(SUBSTITUTE(TRIM($K435),"-","")," ",""),마스터시트!$A$2:$H$1946,7,FALSE),""))</f>
        <v/>
      </c>
    </row>
    <row r="436" spans="13:18" x14ac:dyDescent="0.3">
      <c r="M436" s="18" t="str">
        <f>IF($K436="","",IFERROR(VLOOKUP(--SUBSTITUTE(SUBSTITUTE(TRIM($K436),"-","")," ",""),마스터시트!$A$2:$H$1946,2,FALSE),"미등록"))</f>
        <v/>
      </c>
      <c r="N436" s="53" t="str">
        <f>IF($K436="","",IFERROR(VLOOKUP(--SUBSTITUTE(SUBSTITUTE(TRIM($K436),"-","")," ",""),마스터시트!$A$2:$H$1946,3,FALSE),"미등록"))</f>
        <v/>
      </c>
      <c r="O436" s="18" t="str">
        <f>IF($K436="","",IFERROR(VLOOKUP(--SUBSTITUTE(SUBSTITUTE(TRIM($K436),"-","")," ",""),마스터시트!$A$2:$H$1946,4,FALSE),""))</f>
        <v/>
      </c>
      <c r="P436" s="18" t="str">
        <f>IF($K436="","",IFERROR(VLOOKUP(--SUBSTITUTE(SUBSTITUTE(TRIM($K436),"-","")," ",""),마스터시트!$A$2:$H$1946,5,FALSE),""))</f>
        <v/>
      </c>
      <c r="Q436" s="18" t="str">
        <f>IF($K436="","",IFERROR(VLOOKUP(--SUBSTITUTE(SUBSTITUTE(TRIM($K436),"-","")," ",""),마스터시트!$A$2:$H$1946,6,FALSE),""))</f>
        <v/>
      </c>
      <c r="R436" s="18" t="str">
        <f>IF($K436="","",IFERROR(VLOOKUP(--SUBSTITUTE(SUBSTITUTE(TRIM($K436),"-","")," ",""),마스터시트!$A$2:$H$1946,7,FALSE),""))</f>
        <v/>
      </c>
    </row>
    <row r="437" spans="13:18" x14ac:dyDescent="0.3">
      <c r="M437" s="18" t="str">
        <f>IF($K437="","",IFERROR(VLOOKUP(--SUBSTITUTE(SUBSTITUTE(TRIM($K437),"-","")," ",""),마스터시트!$A$2:$H$1946,2,FALSE),"미등록"))</f>
        <v/>
      </c>
      <c r="N437" s="53" t="str">
        <f>IF($K437="","",IFERROR(VLOOKUP(--SUBSTITUTE(SUBSTITUTE(TRIM($K437),"-","")," ",""),마스터시트!$A$2:$H$1946,3,FALSE),"미등록"))</f>
        <v/>
      </c>
      <c r="O437" s="18" t="str">
        <f>IF($K437="","",IFERROR(VLOOKUP(--SUBSTITUTE(SUBSTITUTE(TRIM($K437),"-","")," ",""),마스터시트!$A$2:$H$1946,4,FALSE),""))</f>
        <v/>
      </c>
      <c r="P437" s="18" t="str">
        <f>IF($K437="","",IFERROR(VLOOKUP(--SUBSTITUTE(SUBSTITUTE(TRIM($K437),"-","")," ",""),마스터시트!$A$2:$H$1946,5,FALSE),""))</f>
        <v/>
      </c>
      <c r="Q437" s="18" t="str">
        <f>IF($K437="","",IFERROR(VLOOKUP(--SUBSTITUTE(SUBSTITUTE(TRIM($K437),"-","")," ",""),마스터시트!$A$2:$H$1946,6,FALSE),""))</f>
        <v/>
      </c>
      <c r="R437" s="18" t="str">
        <f>IF($K437="","",IFERROR(VLOOKUP(--SUBSTITUTE(SUBSTITUTE(TRIM($K437),"-","")," ",""),마스터시트!$A$2:$H$1946,7,FALSE),""))</f>
        <v/>
      </c>
    </row>
    <row r="438" spans="13:18" x14ac:dyDescent="0.3">
      <c r="M438" s="18" t="str">
        <f>IF($K438="","",IFERROR(VLOOKUP(--SUBSTITUTE(SUBSTITUTE(TRIM($K438),"-","")," ",""),마스터시트!$A$2:$H$1946,2,FALSE),"미등록"))</f>
        <v/>
      </c>
      <c r="N438" s="53" t="str">
        <f>IF($K438="","",IFERROR(VLOOKUP(--SUBSTITUTE(SUBSTITUTE(TRIM($K438),"-","")," ",""),마스터시트!$A$2:$H$1946,3,FALSE),"미등록"))</f>
        <v/>
      </c>
      <c r="O438" s="18" t="str">
        <f>IF($K438="","",IFERROR(VLOOKUP(--SUBSTITUTE(SUBSTITUTE(TRIM($K438),"-","")," ",""),마스터시트!$A$2:$H$1946,4,FALSE),""))</f>
        <v/>
      </c>
      <c r="P438" s="18" t="str">
        <f>IF($K438="","",IFERROR(VLOOKUP(--SUBSTITUTE(SUBSTITUTE(TRIM($K438),"-","")," ",""),마스터시트!$A$2:$H$1946,5,FALSE),""))</f>
        <v/>
      </c>
      <c r="Q438" s="18" t="str">
        <f>IF($K438="","",IFERROR(VLOOKUP(--SUBSTITUTE(SUBSTITUTE(TRIM($K438),"-","")," ",""),마스터시트!$A$2:$H$1946,6,FALSE),""))</f>
        <v/>
      </c>
      <c r="R438" s="18" t="str">
        <f>IF($K438="","",IFERROR(VLOOKUP(--SUBSTITUTE(SUBSTITUTE(TRIM($K438),"-","")," ",""),마스터시트!$A$2:$H$1946,7,FALSE),""))</f>
        <v/>
      </c>
    </row>
    <row r="439" spans="13:18" x14ac:dyDescent="0.3">
      <c r="M439" s="18" t="str">
        <f>IF($K439="","",IFERROR(VLOOKUP(--SUBSTITUTE(SUBSTITUTE(TRIM($K439),"-","")," ",""),마스터시트!$A$2:$H$1946,2,FALSE),"미등록"))</f>
        <v/>
      </c>
      <c r="N439" s="53" t="str">
        <f>IF($K439="","",IFERROR(VLOOKUP(--SUBSTITUTE(SUBSTITUTE(TRIM($K439),"-","")," ",""),마스터시트!$A$2:$H$1946,3,FALSE),"미등록"))</f>
        <v/>
      </c>
      <c r="O439" s="18" t="str">
        <f>IF($K439="","",IFERROR(VLOOKUP(--SUBSTITUTE(SUBSTITUTE(TRIM($K439),"-","")," ",""),마스터시트!$A$2:$H$1946,4,FALSE),""))</f>
        <v/>
      </c>
      <c r="P439" s="18" t="str">
        <f>IF($K439="","",IFERROR(VLOOKUP(--SUBSTITUTE(SUBSTITUTE(TRIM($K439),"-","")," ",""),마스터시트!$A$2:$H$1946,5,FALSE),""))</f>
        <v/>
      </c>
      <c r="Q439" s="18" t="str">
        <f>IF($K439="","",IFERROR(VLOOKUP(--SUBSTITUTE(SUBSTITUTE(TRIM($K439),"-","")," ",""),마스터시트!$A$2:$H$1946,6,FALSE),""))</f>
        <v/>
      </c>
      <c r="R439" s="18" t="str">
        <f>IF($K439="","",IFERROR(VLOOKUP(--SUBSTITUTE(SUBSTITUTE(TRIM($K439),"-","")," ",""),마스터시트!$A$2:$H$1946,7,FALSE),""))</f>
        <v/>
      </c>
    </row>
    <row r="440" spans="13:18" x14ac:dyDescent="0.3">
      <c r="M440" s="18" t="str">
        <f>IF($K440="","",IFERROR(VLOOKUP(--SUBSTITUTE(SUBSTITUTE(TRIM($K440),"-","")," ",""),마스터시트!$A$2:$H$1946,2,FALSE),"미등록"))</f>
        <v/>
      </c>
      <c r="N440" s="53" t="str">
        <f>IF($K440="","",IFERROR(VLOOKUP(--SUBSTITUTE(SUBSTITUTE(TRIM($K440),"-","")," ",""),마스터시트!$A$2:$H$1946,3,FALSE),"미등록"))</f>
        <v/>
      </c>
      <c r="O440" s="18" t="str">
        <f>IF($K440="","",IFERROR(VLOOKUP(--SUBSTITUTE(SUBSTITUTE(TRIM($K440),"-","")," ",""),마스터시트!$A$2:$H$1946,4,FALSE),""))</f>
        <v/>
      </c>
      <c r="P440" s="18" t="str">
        <f>IF($K440="","",IFERROR(VLOOKUP(--SUBSTITUTE(SUBSTITUTE(TRIM($K440),"-","")," ",""),마스터시트!$A$2:$H$1946,5,FALSE),""))</f>
        <v/>
      </c>
      <c r="Q440" s="18" t="str">
        <f>IF($K440="","",IFERROR(VLOOKUP(--SUBSTITUTE(SUBSTITUTE(TRIM($K440),"-","")," ",""),마스터시트!$A$2:$H$1946,6,FALSE),""))</f>
        <v/>
      </c>
      <c r="R440" s="18" t="str">
        <f>IF($K440="","",IFERROR(VLOOKUP(--SUBSTITUTE(SUBSTITUTE(TRIM($K440),"-","")," ",""),마스터시트!$A$2:$H$1946,7,FALSE),""))</f>
        <v/>
      </c>
    </row>
    <row r="441" spans="13:18" x14ac:dyDescent="0.3">
      <c r="M441" s="18" t="str">
        <f>IF($K441="","",IFERROR(VLOOKUP(--SUBSTITUTE(SUBSTITUTE(TRIM($K441),"-","")," ",""),마스터시트!$A$2:$H$1946,2,FALSE),"미등록"))</f>
        <v/>
      </c>
      <c r="N441" s="53" t="str">
        <f>IF($K441="","",IFERROR(VLOOKUP(--SUBSTITUTE(SUBSTITUTE(TRIM($K441),"-","")," ",""),마스터시트!$A$2:$H$1946,3,FALSE),"미등록"))</f>
        <v/>
      </c>
      <c r="O441" s="18" t="str">
        <f>IF($K441="","",IFERROR(VLOOKUP(--SUBSTITUTE(SUBSTITUTE(TRIM($K441),"-","")," ",""),마스터시트!$A$2:$H$1946,4,FALSE),""))</f>
        <v/>
      </c>
      <c r="P441" s="18" t="str">
        <f>IF($K441="","",IFERROR(VLOOKUP(--SUBSTITUTE(SUBSTITUTE(TRIM($K441),"-","")," ",""),마스터시트!$A$2:$H$1946,5,FALSE),""))</f>
        <v/>
      </c>
      <c r="Q441" s="18" t="str">
        <f>IF($K441="","",IFERROR(VLOOKUP(--SUBSTITUTE(SUBSTITUTE(TRIM($K441),"-","")," ",""),마스터시트!$A$2:$H$1946,6,FALSE),""))</f>
        <v/>
      </c>
      <c r="R441" s="18" t="str">
        <f>IF($K441="","",IFERROR(VLOOKUP(--SUBSTITUTE(SUBSTITUTE(TRIM($K441),"-","")," ",""),마스터시트!$A$2:$H$1946,7,FALSE),""))</f>
        <v/>
      </c>
    </row>
    <row r="442" spans="13:18" x14ac:dyDescent="0.3">
      <c r="M442" s="18" t="str">
        <f>IF($K442="","",IFERROR(VLOOKUP(--SUBSTITUTE(SUBSTITUTE(TRIM($K442),"-","")," ",""),마스터시트!$A$2:$H$1946,2,FALSE),"미등록"))</f>
        <v/>
      </c>
      <c r="N442" s="53" t="str">
        <f>IF($K442="","",IFERROR(VLOOKUP(--SUBSTITUTE(SUBSTITUTE(TRIM($K442),"-","")," ",""),마스터시트!$A$2:$H$1946,3,FALSE),"미등록"))</f>
        <v/>
      </c>
      <c r="O442" s="18" t="str">
        <f>IF($K442="","",IFERROR(VLOOKUP(--SUBSTITUTE(SUBSTITUTE(TRIM($K442),"-","")," ",""),마스터시트!$A$2:$H$1946,4,FALSE),""))</f>
        <v/>
      </c>
      <c r="P442" s="18" t="str">
        <f>IF($K442="","",IFERROR(VLOOKUP(--SUBSTITUTE(SUBSTITUTE(TRIM($K442),"-","")," ",""),마스터시트!$A$2:$H$1946,5,FALSE),""))</f>
        <v/>
      </c>
      <c r="Q442" s="18" t="str">
        <f>IF($K442="","",IFERROR(VLOOKUP(--SUBSTITUTE(SUBSTITUTE(TRIM($K442),"-","")," ",""),마스터시트!$A$2:$H$1946,6,FALSE),""))</f>
        <v/>
      </c>
      <c r="R442" s="18" t="str">
        <f>IF($K442="","",IFERROR(VLOOKUP(--SUBSTITUTE(SUBSTITUTE(TRIM($K442),"-","")," ",""),마스터시트!$A$2:$H$1946,7,FALSE),""))</f>
        <v/>
      </c>
    </row>
    <row r="443" spans="13:18" x14ac:dyDescent="0.3">
      <c r="M443" s="18" t="str">
        <f>IF($K443="","",IFERROR(VLOOKUP(--SUBSTITUTE(SUBSTITUTE(TRIM($K443),"-","")," ",""),마스터시트!$A$2:$H$1946,2,FALSE),"미등록"))</f>
        <v/>
      </c>
      <c r="N443" s="53" t="str">
        <f>IF($K443="","",IFERROR(VLOOKUP(--SUBSTITUTE(SUBSTITUTE(TRIM($K443),"-","")," ",""),마스터시트!$A$2:$H$1946,3,FALSE),"미등록"))</f>
        <v/>
      </c>
      <c r="O443" s="18" t="str">
        <f>IF($K443="","",IFERROR(VLOOKUP(--SUBSTITUTE(SUBSTITUTE(TRIM($K443),"-","")," ",""),마스터시트!$A$2:$H$1946,4,FALSE),""))</f>
        <v/>
      </c>
      <c r="P443" s="18" t="str">
        <f>IF($K443="","",IFERROR(VLOOKUP(--SUBSTITUTE(SUBSTITUTE(TRIM($K443),"-","")," ",""),마스터시트!$A$2:$H$1946,5,FALSE),""))</f>
        <v/>
      </c>
      <c r="Q443" s="18" t="str">
        <f>IF($K443="","",IFERROR(VLOOKUP(--SUBSTITUTE(SUBSTITUTE(TRIM($K443),"-","")," ",""),마스터시트!$A$2:$H$1946,6,FALSE),""))</f>
        <v/>
      </c>
      <c r="R443" s="18" t="str">
        <f>IF($K443="","",IFERROR(VLOOKUP(--SUBSTITUTE(SUBSTITUTE(TRIM($K443),"-","")," ",""),마스터시트!$A$2:$H$1946,7,FALSE),""))</f>
        <v/>
      </c>
    </row>
    <row r="444" spans="13:18" x14ac:dyDescent="0.3">
      <c r="M444" s="18" t="str">
        <f>IF($K444="","",IFERROR(VLOOKUP(--SUBSTITUTE(SUBSTITUTE(TRIM($K444),"-","")," ",""),마스터시트!$A$2:$H$1946,2,FALSE),"미등록"))</f>
        <v/>
      </c>
      <c r="N444" s="53" t="str">
        <f>IF($K444="","",IFERROR(VLOOKUP(--SUBSTITUTE(SUBSTITUTE(TRIM($K444),"-","")," ",""),마스터시트!$A$2:$H$1946,3,FALSE),"미등록"))</f>
        <v/>
      </c>
      <c r="O444" s="18" t="str">
        <f>IF($K444="","",IFERROR(VLOOKUP(--SUBSTITUTE(SUBSTITUTE(TRIM($K444),"-","")," ",""),마스터시트!$A$2:$H$1946,4,FALSE),""))</f>
        <v/>
      </c>
      <c r="P444" s="18" t="str">
        <f>IF($K444="","",IFERROR(VLOOKUP(--SUBSTITUTE(SUBSTITUTE(TRIM($K444),"-","")," ",""),마스터시트!$A$2:$H$1946,5,FALSE),""))</f>
        <v/>
      </c>
      <c r="Q444" s="18" t="str">
        <f>IF($K444="","",IFERROR(VLOOKUP(--SUBSTITUTE(SUBSTITUTE(TRIM($K444),"-","")," ",""),마스터시트!$A$2:$H$1946,6,FALSE),""))</f>
        <v/>
      </c>
      <c r="R444" s="18" t="str">
        <f>IF($K444="","",IFERROR(VLOOKUP(--SUBSTITUTE(SUBSTITUTE(TRIM($K444),"-","")," ",""),마스터시트!$A$2:$H$1946,7,FALSE),""))</f>
        <v/>
      </c>
    </row>
    <row r="445" spans="13:18" x14ac:dyDescent="0.3">
      <c r="M445" s="18" t="str">
        <f>IF($K445="","",IFERROR(VLOOKUP(--SUBSTITUTE(SUBSTITUTE(TRIM($K445),"-","")," ",""),마스터시트!$A$2:$H$1946,2,FALSE),"미등록"))</f>
        <v/>
      </c>
      <c r="N445" s="53" t="str">
        <f>IF($K445="","",IFERROR(VLOOKUP(--SUBSTITUTE(SUBSTITUTE(TRIM($K445),"-","")," ",""),마스터시트!$A$2:$H$1946,3,FALSE),"미등록"))</f>
        <v/>
      </c>
      <c r="O445" s="18" t="str">
        <f>IF($K445="","",IFERROR(VLOOKUP(--SUBSTITUTE(SUBSTITUTE(TRIM($K445),"-","")," ",""),마스터시트!$A$2:$H$1946,4,FALSE),""))</f>
        <v/>
      </c>
      <c r="P445" s="18" t="str">
        <f>IF($K445="","",IFERROR(VLOOKUP(--SUBSTITUTE(SUBSTITUTE(TRIM($K445),"-","")," ",""),마스터시트!$A$2:$H$1946,5,FALSE),""))</f>
        <v/>
      </c>
      <c r="Q445" s="18" t="str">
        <f>IF($K445="","",IFERROR(VLOOKUP(--SUBSTITUTE(SUBSTITUTE(TRIM($K445),"-","")," ",""),마스터시트!$A$2:$H$1946,6,FALSE),""))</f>
        <v/>
      </c>
      <c r="R445" s="18" t="str">
        <f>IF($K445="","",IFERROR(VLOOKUP(--SUBSTITUTE(SUBSTITUTE(TRIM($K445),"-","")," ",""),마스터시트!$A$2:$H$1946,7,FALSE),""))</f>
        <v/>
      </c>
    </row>
    <row r="446" spans="13:18" x14ac:dyDescent="0.3">
      <c r="M446" s="18" t="str">
        <f>IF($K446="","",IFERROR(VLOOKUP(--SUBSTITUTE(SUBSTITUTE(TRIM($K446),"-","")," ",""),마스터시트!$A$2:$H$1946,2,FALSE),"미등록"))</f>
        <v/>
      </c>
      <c r="N446" s="53" t="str">
        <f>IF($K446="","",IFERROR(VLOOKUP(--SUBSTITUTE(SUBSTITUTE(TRIM($K446),"-","")," ",""),마스터시트!$A$2:$H$1946,3,FALSE),"미등록"))</f>
        <v/>
      </c>
      <c r="O446" s="18" t="str">
        <f>IF($K446="","",IFERROR(VLOOKUP(--SUBSTITUTE(SUBSTITUTE(TRIM($K446),"-","")," ",""),마스터시트!$A$2:$H$1946,4,FALSE),""))</f>
        <v/>
      </c>
      <c r="P446" s="18" t="str">
        <f>IF($K446="","",IFERROR(VLOOKUP(--SUBSTITUTE(SUBSTITUTE(TRIM($K446),"-","")," ",""),마스터시트!$A$2:$H$1946,5,FALSE),""))</f>
        <v/>
      </c>
      <c r="Q446" s="18" t="str">
        <f>IF($K446="","",IFERROR(VLOOKUP(--SUBSTITUTE(SUBSTITUTE(TRIM($K446),"-","")," ",""),마스터시트!$A$2:$H$1946,6,FALSE),""))</f>
        <v/>
      </c>
      <c r="R446" s="18" t="str">
        <f>IF($K446="","",IFERROR(VLOOKUP(--SUBSTITUTE(SUBSTITUTE(TRIM($K446),"-","")," ",""),마스터시트!$A$2:$H$1946,7,FALSE),""))</f>
        <v/>
      </c>
    </row>
    <row r="447" spans="13:18" x14ac:dyDescent="0.3">
      <c r="M447" s="18" t="str">
        <f>IF($K447="","",IFERROR(VLOOKUP(--SUBSTITUTE(SUBSTITUTE(TRIM($K447),"-","")," ",""),마스터시트!$A$2:$H$1946,2,FALSE),"미등록"))</f>
        <v/>
      </c>
      <c r="N447" s="53" t="str">
        <f>IF($K447="","",IFERROR(VLOOKUP(--SUBSTITUTE(SUBSTITUTE(TRIM($K447),"-","")," ",""),마스터시트!$A$2:$H$1946,3,FALSE),"미등록"))</f>
        <v/>
      </c>
      <c r="O447" s="18" t="str">
        <f>IF($K447="","",IFERROR(VLOOKUP(--SUBSTITUTE(SUBSTITUTE(TRIM($K447),"-","")," ",""),마스터시트!$A$2:$H$1946,4,FALSE),""))</f>
        <v/>
      </c>
      <c r="P447" s="18" t="str">
        <f>IF($K447="","",IFERROR(VLOOKUP(--SUBSTITUTE(SUBSTITUTE(TRIM($K447),"-","")," ",""),마스터시트!$A$2:$H$1946,5,FALSE),""))</f>
        <v/>
      </c>
      <c r="Q447" s="18" t="str">
        <f>IF($K447="","",IFERROR(VLOOKUP(--SUBSTITUTE(SUBSTITUTE(TRIM($K447),"-","")," ",""),마스터시트!$A$2:$H$1946,6,FALSE),""))</f>
        <v/>
      </c>
      <c r="R447" s="18" t="str">
        <f>IF($K447="","",IFERROR(VLOOKUP(--SUBSTITUTE(SUBSTITUTE(TRIM($K447),"-","")," ",""),마스터시트!$A$2:$H$1946,7,FALSE),""))</f>
        <v/>
      </c>
    </row>
    <row r="448" spans="13:18" x14ac:dyDescent="0.3">
      <c r="M448" s="18" t="str">
        <f>IF($K448="","",IFERROR(VLOOKUP(--SUBSTITUTE(SUBSTITUTE(TRIM($K448),"-","")," ",""),마스터시트!$A$2:$H$1946,2,FALSE),"미등록"))</f>
        <v/>
      </c>
      <c r="N448" s="53" t="str">
        <f>IF($K448="","",IFERROR(VLOOKUP(--SUBSTITUTE(SUBSTITUTE(TRIM($K448),"-","")," ",""),마스터시트!$A$2:$H$1946,3,FALSE),"미등록"))</f>
        <v/>
      </c>
      <c r="O448" s="18" t="str">
        <f>IF($K448="","",IFERROR(VLOOKUP(--SUBSTITUTE(SUBSTITUTE(TRIM($K448),"-","")," ",""),마스터시트!$A$2:$H$1946,4,FALSE),""))</f>
        <v/>
      </c>
      <c r="P448" s="18" t="str">
        <f>IF($K448="","",IFERROR(VLOOKUP(--SUBSTITUTE(SUBSTITUTE(TRIM($K448),"-","")," ",""),마스터시트!$A$2:$H$1946,5,FALSE),""))</f>
        <v/>
      </c>
      <c r="Q448" s="18" t="str">
        <f>IF($K448="","",IFERROR(VLOOKUP(--SUBSTITUTE(SUBSTITUTE(TRIM($K448),"-","")," ",""),마스터시트!$A$2:$H$1946,6,FALSE),""))</f>
        <v/>
      </c>
      <c r="R448" s="18" t="str">
        <f>IF($K448="","",IFERROR(VLOOKUP(--SUBSTITUTE(SUBSTITUTE(TRIM($K448),"-","")," ",""),마스터시트!$A$2:$H$1946,7,FALSE),""))</f>
        <v/>
      </c>
    </row>
    <row r="449" spans="13:18" x14ac:dyDescent="0.3">
      <c r="M449" s="18" t="str">
        <f>IF($K449="","",IFERROR(VLOOKUP(--SUBSTITUTE(SUBSTITUTE(TRIM($K449),"-","")," ",""),마스터시트!$A$2:$H$1946,2,FALSE),"미등록"))</f>
        <v/>
      </c>
      <c r="N449" s="53" t="str">
        <f>IF($K449="","",IFERROR(VLOOKUP(--SUBSTITUTE(SUBSTITUTE(TRIM($K449),"-","")," ",""),마스터시트!$A$2:$H$1946,3,FALSE),"미등록"))</f>
        <v/>
      </c>
      <c r="O449" s="18" t="str">
        <f>IF($K449="","",IFERROR(VLOOKUP(--SUBSTITUTE(SUBSTITUTE(TRIM($K449),"-","")," ",""),마스터시트!$A$2:$H$1946,4,FALSE),""))</f>
        <v/>
      </c>
      <c r="P449" s="18" t="str">
        <f>IF($K449="","",IFERROR(VLOOKUP(--SUBSTITUTE(SUBSTITUTE(TRIM($K449),"-","")," ",""),마스터시트!$A$2:$H$1946,5,FALSE),""))</f>
        <v/>
      </c>
      <c r="Q449" s="18" t="str">
        <f>IF($K449="","",IFERROR(VLOOKUP(--SUBSTITUTE(SUBSTITUTE(TRIM($K449),"-","")," ",""),마스터시트!$A$2:$H$1946,6,FALSE),""))</f>
        <v/>
      </c>
      <c r="R449" s="18" t="str">
        <f>IF($K449="","",IFERROR(VLOOKUP(--SUBSTITUTE(SUBSTITUTE(TRIM($K449),"-","")," ",""),마스터시트!$A$2:$H$1946,7,FALSE),""))</f>
        <v/>
      </c>
    </row>
    <row r="450" spans="13:18" x14ac:dyDescent="0.3">
      <c r="M450" s="18" t="str">
        <f>IF($K450="","",IFERROR(VLOOKUP(--SUBSTITUTE(SUBSTITUTE(TRIM($K450),"-","")," ",""),마스터시트!$A$2:$H$1946,2,FALSE),"미등록"))</f>
        <v/>
      </c>
      <c r="N450" s="53" t="str">
        <f>IF($K450="","",IFERROR(VLOOKUP(--SUBSTITUTE(SUBSTITUTE(TRIM($K450),"-","")," ",""),마스터시트!$A$2:$H$1946,3,FALSE),"미등록"))</f>
        <v/>
      </c>
      <c r="O450" s="18" t="str">
        <f>IF($K450="","",IFERROR(VLOOKUP(--SUBSTITUTE(SUBSTITUTE(TRIM($K450),"-","")," ",""),마스터시트!$A$2:$H$1946,4,FALSE),""))</f>
        <v/>
      </c>
      <c r="P450" s="18" t="str">
        <f>IF($K450="","",IFERROR(VLOOKUP(--SUBSTITUTE(SUBSTITUTE(TRIM($K450),"-","")," ",""),마스터시트!$A$2:$H$1946,5,FALSE),""))</f>
        <v/>
      </c>
      <c r="Q450" s="18" t="str">
        <f>IF($K450="","",IFERROR(VLOOKUP(--SUBSTITUTE(SUBSTITUTE(TRIM($K450),"-","")," ",""),마스터시트!$A$2:$H$1946,6,FALSE),""))</f>
        <v/>
      </c>
      <c r="R450" s="18" t="str">
        <f>IF($K450="","",IFERROR(VLOOKUP(--SUBSTITUTE(SUBSTITUTE(TRIM($K450),"-","")," ",""),마스터시트!$A$2:$H$1946,7,FALSE),""))</f>
        <v/>
      </c>
    </row>
    <row r="451" spans="13:18" x14ac:dyDescent="0.3">
      <c r="M451" s="18" t="str">
        <f>IF($K451="","",IFERROR(VLOOKUP(--SUBSTITUTE(SUBSTITUTE(TRIM($K451),"-","")," ",""),마스터시트!$A$2:$H$1946,2,FALSE),"미등록"))</f>
        <v/>
      </c>
      <c r="N451" s="53" t="str">
        <f>IF($K451="","",IFERROR(VLOOKUP(--SUBSTITUTE(SUBSTITUTE(TRIM($K451),"-","")," ",""),마스터시트!$A$2:$H$1946,3,FALSE),"미등록"))</f>
        <v/>
      </c>
      <c r="O451" s="18" t="str">
        <f>IF($K451="","",IFERROR(VLOOKUP(--SUBSTITUTE(SUBSTITUTE(TRIM($K451),"-","")," ",""),마스터시트!$A$2:$H$1946,4,FALSE),""))</f>
        <v/>
      </c>
      <c r="P451" s="18" t="str">
        <f>IF($K451="","",IFERROR(VLOOKUP(--SUBSTITUTE(SUBSTITUTE(TRIM($K451),"-","")," ",""),마스터시트!$A$2:$H$1946,5,FALSE),""))</f>
        <v/>
      </c>
      <c r="Q451" s="18" t="str">
        <f>IF($K451="","",IFERROR(VLOOKUP(--SUBSTITUTE(SUBSTITUTE(TRIM($K451),"-","")," ",""),마스터시트!$A$2:$H$1946,6,FALSE),""))</f>
        <v/>
      </c>
      <c r="R451" s="18" t="str">
        <f>IF($K451="","",IFERROR(VLOOKUP(--SUBSTITUTE(SUBSTITUTE(TRIM($K451),"-","")," ",""),마스터시트!$A$2:$H$1946,7,FALSE),""))</f>
        <v/>
      </c>
    </row>
    <row r="452" spans="13:18" x14ac:dyDescent="0.3">
      <c r="M452" s="18" t="str">
        <f>IF($K452="","",IFERROR(VLOOKUP(--SUBSTITUTE(SUBSTITUTE(TRIM($K452),"-","")," ",""),마스터시트!$A$2:$H$1946,2,FALSE),"미등록"))</f>
        <v/>
      </c>
      <c r="N452" s="53" t="str">
        <f>IF($K452="","",IFERROR(VLOOKUP(--SUBSTITUTE(SUBSTITUTE(TRIM($K452),"-","")," ",""),마스터시트!$A$2:$H$1946,3,FALSE),"미등록"))</f>
        <v/>
      </c>
      <c r="O452" s="18" t="str">
        <f>IF($K452="","",IFERROR(VLOOKUP(--SUBSTITUTE(SUBSTITUTE(TRIM($K452),"-","")," ",""),마스터시트!$A$2:$H$1946,4,FALSE),""))</f>
        <v/>
      </c>
      <c r="P452" s="18" t="str">
        <f>IF($K452="","",IFERROR(VLOOKUP(--SUBSTITUTE(SUBSTITUTE(TRIM($K452),"-","")," ",""),마스터시트!$A$2:$H$1946,5,FALSE),""))</f>
        <v/>
      </c>
      <c r="Q452" s="18" t="str">
        <f>IF($K452="","",IFERROR(VLOOKUP(--SUBSTITUTE(SUBSTITUTE(TRIM($K452),"-","")," ",""),마스터시트!$A$2:$H$1946,6,FALSE),""))</f>
        <v/>
      </c>
      <c r="R452" s="18" t="str">
        <f>IF($K452="","",IFERROR(VLOOKUP(--SUBSTITUTE(SUBSTITUTE(TRIM($K452),"-","")," ",""),마스터시트!$A$2:$H$1946,7,FALSE),""))</f>
        <v/>
      </c>
    </row>
    <row r="453" spans="13:18" x14ac:dyDescent="0.3">
      <c r="M453" s="18" t="str">
        <f>IF($K453="","",IFERROR(VLOOKUP(--SUBSTITUTE(SUBSTITUTE(TRIM($K453),"-","")," ",""),마스터시트!$A$2:$H$1946,2,FALSE),"미등록"))</f>
        <v/>
      </c>
      <c r="N453" s="53" t="str">
        <f>IF($K453="","",IFERROR(VLOOKUP(--SUBSTITUTE(SUBSTITUTE(TRIM($K453),"-","")," ",""),마스터시트!$A$2:$H$1946,3,FALSE),"미등록"))</f>
        <v/>
      </c>
      <c r="O453" s="18" t="str">
        <f>IF($K453="","",IFERROR(VLOOKUP(--SUBSTITUTE(SUBSTITUTE(TRIM($K453),"-","")," ",""),마스터시트!$A$2:$H$1946,4,FALSE),""))</f>
        <v/>
      </c>
      <c r="P453" s="18" t="str">
        <f>IF($K453="","",IFERROR(VLOOKUP(--SUBSTITUTE(SUBSTITUTE(TRIM($K453),"-","")," ",""),마스터시트!$A$2:$H$1946,5,FALSE),""))</f>
        <v/>
      </c>
      <c r="Q453" s="18" t="str">
        <f>IF($K453="","",IFERROR(VLOOKUP(--SUBSTITUTE(SUBSTITUTE(TRIM($K453),"-","")," ",""),마스터시트!$A$2:$H$1946,6,FALSE),""))</f>
        <v/>
      </c>
      <c r="R453" s="18" t="str">
        <f>IF($K453="","",IFERROR(VLOOKUP(--SUBSTITUTE(SUBSTITUTE(TRIM($K453),"-","")," ",""),마스터시트!$A$2:$H$1946,7,FALSE),""))</f>
        <v/>
      </c>
    </row>
    <row r="454" spans="13:18" x14ac:dyDescent="0.3">
      <c r="M454" s="18" t="str">
        <f>IF($K454="","",IFERROR(VLOOKUP(--SUBSTITUTE(SUBSTITUTE(TRIM($K454),"-","")," ",""),마스터시트!$A$2:$H$1946,2,FALSE),"미등록"))</f>
        <v/>
      </c>
      <c r="N454" s="53" t="str">
        <f>IF($K454="","",IFERROR(VLOOKUP(--SUBSTITUTE(SUBSTITUTE(TRIM($K454),"-","")," ",""),마스터시트!$A$2:$H$1946,3,FALSE),"미등록"))</f>
        <v/>
      </c>
      <c r="O454" s="18" t="str">
        <f>IF($K454="","",IFERROR(VLOOKUP(--SUBSTITUTE(SUBSTITUTE(TRIM($K454),"-","")," ",""),마스터시트!$A$2:$H$1946,4,FALSE),""))</f>
        <v/>
      </c>
      <c r="P454" s="18" t="str">
        <f>IF($K454="","",IFERROR(VLOOKUP(--SUBSTITUTE(SUBSTITUTE(TRIM($K454),"-","")," ",""),마스터시트!$A$2:$H$1946,5,FALSE),""))</f>
        <v/>
      </c>
      <c r="Q454" s="18" t="str">
        <f>IF($K454="","",IFERROR(VLOOKUP(--SUBSTITUTE(SUBSTITUTE(TRIM($K454),"-","")," ",""),마스터시트!$A$2:$H$1946,6,FALSE),""))</f>
        <v/>
      </c>
      <c r="R454" s="18" t="str">
        <f>IF($K454="","",IFERROR(VLOOKUP(--SUBSTITUTE(SUBSTITUTE(TRIM($K454),"-","")," ",""),마스터시트!$A$2:$H$1946,7,FALSE),""))</f>
        <v/>
      </c>
    </row>
    <row r="455" spans="13:18" x14ac:dyDescent="0.3">
      <c r="M455" s="18" t="str">
        <f>IF($K455="","",IFERROR(VLOOKUP(--SUBSTITUTE(SUBSTITUTE(TRIM($K455),"-","")," ",""),마스터시트!$A$2:$H$1946,2,FALSE),"미등록"))</f>
        <v/>
      </c>
      <c r="N455" s="53" t="str">
        <f>IF($K455="","",IFERROR(VLOOKUP(--SUBSTITUTE(SUBSTITUTE(TRIM($K455),"-","")," ",""),마스터시트!$A$2:$H$1946,3,FALSE),"미등록"))</f>
        <v/>
      </c>
      <c r="O455" s="18" t="str">
        <f>IF($K455="","",IFERROR(VLOOKUP(--SUBSTITUTE(SUBSTITUTE(TRIM($K455),"-","")," ",""),마스터시트!$A$2:$H$1946,4,FALSE),""))</f>
        <v/>
      </c>
      <c r="P455" s="18" t="str">
        <f>IF($K455="","",IFERROR(VLOOKUP(--SUBSTITUTE(SUBSTITUTE(TRIM($K455),"-","")," ",""),마스터시트!$A$2:$H$1946,5,FALSE),""))</f>
        <v/>
      </c>
      <c r="Q455" s="18" t="str">
        <f>IF($K455="","",IFERROR(VLOOKUP(--SUBSTITUTE(SUBSTITUTE(TRIM($K455),"-","")," ",""),마스터시트!$A$2:$H$1946,6,FALSE),""))</f>
        <v/>
      </c>
      <c r="R455" s="18" t="str">
        <f>IF($K455="","",IFERROR(VLOOKUP(--SUBSTITUTE(SUBSTITUTE(TRIM($K455),"-","")," ",""),마스터시트!$A$2:$H$1946,7,FALSE),""))</f>
        <v/>
      </c>
    </row>
    <row r="456" spans="13:18" x14ac:dyDescent="0.3">
      <c r="M456" s="18" t="str">
        <f>IF($K456="","",IFERROR(VLOOKUP(--SUBSTITUTE(SUBSTITUTE(TRIM($K456),"-","")," ",""),마스터시트!$A$2:$H$1946,2,FALSE),"미등록"))</f>
        <v/>
      </c>
      <c r="N456" s="53" t="str">
        <f>IF($K456="","",IFERROR(VLOOKUP(--SUBSTITUTE(SUBSTITUTE(TRIM($K456),"-","")," ",""),마스터시트!$A$2:$H$1946,3,FALSE),"미등록"))</f>
        <v/>
      </c>
      <c r="O456" s="18" t="str">
        <f>IF($K456="","",IFERROR(VLOOKUP(--SUBSTITUTE(SUBSTITUTE(TRIM($K456),"-","")," ",""),마스터시트!$A$2:$H$1946,4,FALSE),""))</f>
        <v/>
      </c>
      <c r="P456" s="18" t="str">
        <f>IF($K456="","",IFERROR(VLOOKUP(--SUBSTITUTE(SUBSTITUTE(TRIM($K456),"-","")," ",""),마스터시트!$A$2:$H$1946,5,FALSE),""))</f>
        <v/>
      </c>
      <c r="Q456" s="18" t="str">
        <f>IF($K456="","",IFERROR(VLOOKUP(--SUBSTITUTE(SUBSTITUTE(TRIM($K456),"-","")," ",""),마스터시트!$A$2:$H$1946,6,FALSE),""))</f>
        <v/>
      </c>
      <c r="R456" s="18" t="str">
        <f>IF($K456="","",IFERROR(VLOOKUP(--SUBSTITUTE(SUBSTITUTE(TRIM($K456),"-","")," ",""),마스터시트!$A$2:$H$1946,7,FALSE),""))</f>
        <v/>
      </c>
    </row>
    <row r="457" spans="13:18" x14ac:dyDescent="0.3">
      <c r="M457" s="18" t="str">
        <f>IF($K457="","",IFERROR(VLOOKUP(--SUBSTITUTE(SUBSTITUTE(TRIM($K457),"-","")," ",""),마스터시트!$A$2:$H$1946,2,FALSE),"미등록"))</f>
        <v/>
      </c>
      <c r="N457" s="53" t="str">
        <f>IF($K457="","",IFERROR(VLOOKUP(--SUBSTITUTE(SUBSTITUTE(TRIM($K457),"-","")," ",""),마스터시트!$A$2:$H$1946,3,FALSE),"미등록"))</f>
        <v/>
      </c>
      <c r="O457" s="18" t="str">
        <f>IF($K457="","",IFERROR(VLOOKUP(--SUBSTITUTE(SUBSTITUTE(TRIM($K457),"-","")," ",""),마스터시트!$A$2:$H$1946,4,FALSE),""))</f>
        <v/>
      </c>
      <c r="P457" s="18" t="str">
        <f>IF($K457="","",IFERROR(VLOOKUP(--SUBSTITUTE(SUBSTITUTE(TRIM($K457),"-","")," ",""),마스터시트!$A$2:$H$1946,5,FALSE),""))</f>
        <v/>
      </c>
      <c r="Q457" s="18" t="str">
        <f>IF($K457="","",IFERROR(VLOOKUP(--SUBSTITUTE(SUBSTITUTE(TRIM($K457),"-","")," ",""),마스터시트!$A$2:$H$1946,6,FALSE),""))</f>
        <v/>
      </c>
      <c r="R457" s="18" t="str">
        <f>IF($K457="","",IFERROR(VLOOKUP(--SUBSTITUTE(SUBSTITUTE(TRIM($K457),"-","")," ",""),마스터시트!$A$2:$H$1946,7,FALSE),""))</f>
        <v/>
      </c>
    </row>
    <row r="458" spans="13:18" x14ac:dyDescent="0.3">
      <c r="M458" s="18" t="str">
        <f>IF($K458="","",IFERROR(VLOOKUP(--SUBSTITUTE(SUBSTITUTE(TRIM($K458),"-","")," ",""),마스터시트!$A$2:$H$1946,2,FALSE),"미등록"))</f>
        <v/>
      </c>
      <c r="N458" s="53" t="str">
        <f>IF($K458="","",IFERROR(VLOOKUP(--SUBSTITUTE(SUBSTITUTE(TRIM($K458),"-","")," ",""),마스터시트!$A$2:$H$1946,3,FALSE),"미등록"))</f>
        <v/>
      </c>
      <c r="O458" s="18" t="str">
        <f>IF($K458="","",IFERROR(VLOOKUP(--SUBSTITUTE(SUBSTITUTE(TRIM($K458),"-","")," ",""),마스터시트!$A$2:$H$1946,4,FALSE),""))</f>
        <v/>
      </c>
      <c r="P458" s="18" t="str">
        <f>IF($K458="","",IFERROR(VLOOKUP(--SUBSTITUTE(SUBSTITUTE(TRIM($K458),"-","")," ",""),마스터시트!$A$2:$H$1946,5,FALSE),""))</f>
        <v/>
      </c>
      <c r="Q458" s="18" t="str">
        <f>IF($K458="","",IFERROR(VLOOKUP(--SUBSTITUTE(SUBSTITUTE(TRIM($K458),"-","")," ",""),마스터시트!$A$2:$H$1946,6,FALSE),""))</f>
        <v/>
      </c>
      <c r="R458" s="18" t="str">
        <f>IF($K458="","",IFERROR(VLOOKUP(--SUBSTITUTE(SUBSTITUTE(TRIM($K458),"-","")," ",""),마스터시트!$A$2:$H$1946,7,FALSE),""))</f>
        <v/>
      </c>
    </row>
    <row r="459" spans="13:18" x14ac:dyDescent="0.3">
      <c r="M459" s="18" t="str">
        <f>IF($K459="","",IFERROR(VLOOKUP(--SUBSTITUTE(SUBSTITUTE(TRIM($K459),"-","")," ",""),마스터시트!$A$2:$H$1946,2,FALSE),"미등록"))</f>
        <v/>
      </c>
      <c r="N459" s="53" t="str">
        <f>IF($K459="","",IFERROR(VLOOKUP(--SUBSTITUTE(SUBSTITUTE(TRIM($K459),"-","")," ",""),마스터시트!$A$2:$H$1946,3,FALSE),"미등록"))</f>
        <v/>
      </c>
      <c r="O459" s="18" t="str">
        <f>IF($K459="","",IFERROR(VLOOKUP(--SUBSTITUTE(SUBSTITUTE(TRIM($K459),"-","")," ",""),마스터시트!$A$2:$H$1946,4,FALSE),""))</f>
        <v/>
      </c>
      <c r="P459" s="18" t="str">
        <f>IF($K459="","",IFERROR(VLOOKUP(--SUBSTITUTE(SUBSTITUTE(TRIM($K459),"-","")," ",""),마스터시트!$A$2:$H$1946,5,FALSE),""))</f>
        <v/>
      </c>
      <c r="Q459" s="18" t="str">
        <f>IF($K459="","",IFERROR(VLOOKUP(--SUBSTITUTE(SUBSTITUTE(TRIM($K459),"-","")," ",""),마스터시트!$A$2:$H$1946,6,FALSE),""))</f>
        <v/>
      </c>
      <c r="R459" s="18" t="str">
        <f>IF($K459="","",IFERROR(VLOOKUP(--SUBSTITUTE(SUBSTITUTE(TRIM($K459),"-","")," ",""),마스터시트!$A$2:$H$1946,7,FALSE),""))</f>
        <v/>
      </c>
    </row>
    <row r="460" spans="13:18" x14ac:dyDescent="0.3">
      <c r="M460" s="18" t="str">
        <f>IF($K460="","",IFERROR(VLOOKUP(--SUBSTITUTE(SUBSTITUTE(TRIM($K460),"-","")," ",""),마스터시트!$A$2:$H$1946,2,FALSE),"미등록"))</f>
        <v/>
      </c>
      <c r="N460" s="53" t="str">
        <f>IF($K460="","",IFERROR(VLOOKUP(--SUBSTITUTE(SUBSTITUTE(TRIM($K460),"-","")," ",""),마스터시트!$A$2:$H$1946,3,FALSE),"미등록"))</f>
        <v/>
      </c>
      <c r="O460" s="18" t="str">
        <f>IF($K460="","",IFERROR(VLOOKUP(--SUBSTITUTE(SUBSTITUTE(TRIM($K460),"-","")," ",""),마스터시트!$A$2:$H$1946,4,FALSE),""))</f>
        <v/>
      </c>
      <c r="P460" s="18" t="str">
        <f>IF($K460="","",IFERROR(VLOOKUP(--SUBSTITUTE(SUBSTITUTE(TRIM($K460),"-","")," ",""),마스터시트!$A$2:$H$1946,5,FALSE),""))</f>
        <v/>
      </c>
      <c r="Q460" s="18" t="str">
        <f>IF($K460="","",IFERROR(VLOOKUP(--SUBSTITUTE(SUBSTITUTE(TRIM($K460),"-","")," ",""),마스터시트!$A$2:$H$1946,6,FALSE),""))</f>
        <v/>
      </c>
      <c r="R460" s="18" t="str">
        <f>IF($K460="","",IFERROR(VLOOKUP(--SUBSTITUTE(SUBSTITUTE(TRIM($K460),"-","")," ",""),마스터시트!$A$2:$H$1946,7,FALSE),""))</f>
        <v/>
      </c>
    </row>
    <row r="461" spans="13:18" x14ac:dyDescent="0.3">
      <c r="M461" s="18" t="str">
        <f>IF($K461="","",IFERROR(VLOOKUP(--SUBSTITUTE(SUBSTITUTE(TRIM($K461),"-","")," ",""),마스터시트!$A$2:$H$1946,2,FALSE),"미등록"))</f>
        <v/>
      </c>
      <c r="N461" s="53" t="str">
        <f>IF($K461="","",IFERROR(VLOOKUP(--SUBSTITUTE(SUBSTITUTE(TRIM($K461),"-","")," ",""),마스터시트!$A$2:$H$1946,3,FALSE),"미등록"))</f>
        <v/>
      </c>
      <c r="O461" s="18" t="str">
        <f>IF($K461="","",IFERROR(VLOOKUP(--SUBSTITUTE(SUBSTITUTE(TRIM($K461),"-","")," ",""),마스터시트!$A$2:$H$1946,4,FALSE),""))</f>
        <v/>
      </c>
      <c r="P461" s="18" t="str">
        <f>IF($K461="","",IFERROR(VLOOKUP(--SUBSTITUTE(SUBSTITUTE(TRIM($K461),"-","")," ",""),마스터시트!$A$2:$H$1946,5,FALSE),""))</f>
        <v/>
      </c>
      <c r="Q461" s="18" t="str">
        <f>IF($K461="","",IFERROR(VLOOKUP(--SUBSTITUTE(SUBSTITUTE(TRIM($K461),"-","")," ",""),마스터시트!$A$2:$H$1946,6,FALSE),""))</f>
        <v/>
      </c>
      <c r="R461" s="18" t="str">
        <f>IF($K461="","",IFERROR(VLOOKUP(--SUBSTITUTE(SUBSTITUTE(TRIM($K461),"-","")," ",""),마스터시트!$A$2:$H$1946,7,FALSE),""))</f>
        <v/>
      </c>
    </row>
    <row r="462" spans="13:18" x14ac:dyDescent="0.3">
      <c r="M462" s="18" t="str">
        <f>IF($K462="","",IFERROR(VLOOKUP(--SUBSTITUTE(SUBSTITUTE(TRIM($K462),"-","")," ",""),마스터시트!$A$2:$H$1946,2,FALSE),"미등록"))</f>
        <v/>
      </c>
      <c r="N462" s="53" t="str">
        <f>IF($K462="","",IFERROR(VLOOKUP(--SUBSTITUTE(SUBSTITUTE(TRIM($K462),"-","")," ",""),마스터시트!$A$2:$H$1946,3,FALSE),"미등록"))</f>
        <v/>
      </c>
      <c r="O462" s="18" t="str">
        <f>IF($K462="","",IFERROR(VLOOKUP(--SUBSTITUTE(SUBSTITUTE(TRIM($K462),"-","")," ",""),마스터시트!$A$2:$H$1946,4,FALSE),""))</f>
        <v/>
      </c>
      <c r="P462" s="18" t="str">
        <f>IF($K462="","",IFERROR(VLOOKUP(--SUBSTITUTE(SUBSTITUTE(TRIM($K462),"-","")," ",""),마스터시트!$A$2:$H$1946,5,FALSE),""))</f>
        <v/>
      </c>
      <c r="Q462" s="18" t="str">
        <f>IF($K462="","",IFERROR(VLOOKUP(--SUBSTITUTE(SUBSTITUTE(TRIM($K462),"-","")," ",""),마스터시트!$A$2:$H$1946,6,FALSE),""))</f>
        <v/>
      </c>
      <c r="R462" s="18" t="str">
        <f>IF($K462="","",IFERROR(VLOOKUP(--SUBSTITUTE(SUBSTITUTE(TRIM($K462),"-","")," ",""),마스터시트!$A$2:$H$1946,7,FALSE),""))</f>
        <v/>
      </c>
    </row>
    <row r="463" spans="13:18" x14ac:dyDescent="0.3">
      <c r="M463" s="18" t="str">
        <f>IF($K463="","",IFERROR(VLOOKUP(--SUBSTITUTE(SUBSTITUTE(TRIM($K463),"-","")," ",""),마스터시트!$A$2:$H$1946,2,FALSE),"미등록"))</f>
        <v/>
      </c>
      <c r="N463" s="53" t="str">
        <f>IF($K463="","",IFERROR(VLOOKUP(--SUBSTITUTE(SUBSTITUTE(TRIM($K463),"-","")," ",""),마스터시트!$A$2:$H$1946,3,FALSE),"미등록"))</f>
        <v/>
      </c>
      <c r="O463" s="18" t="str">
        <f>IF($K463="","",IFERROR(VLOOKUP(--SUBSTITUTE(SUBSTITUTE(TRIM($K463),"-","")," ",""),마스터시트!$A$2:$H$1946,4,FALSE),""))</f>
        <v/>
      </c>
      <c r="P463" s="18" t="str">
        <f>IF($K463="","",IFERROR(VLOOKUP(--SUBSTITUTE(SUBSTITUTE(TRIM($K463),"-","")," ",""),마스터시트!$A$2:$H$1946,5,FALSE),""))</f>
        <v/>
      </c>
      <c r="Q463" s="18" t="str">
        <f>IF($K463="","",IFERROR(VLOOKUP(--SUBSTITUTE(SUBSTITUTE(TRIM($K463),"-","")," ",""),마스터시트!$A$2:$H$1946,6,FALSE),""))</f>
        <v/>
      </c>
      <c r="R463" s="18" t="str">
        <f>IF($K463="","",IFERROR(VLOOKUP(--SUBSTITUTE(SUBSTITUTE(TRIM($K463),"-","")," ",""),마스터시트!$A$2:$H$1946,7,FALSE),""))</f>
        <v/>
      </c>
    </row>
    <row r="464" spans="13:18" x14ac:dyDescent="0.3">
      <c r="M464" s="18" t="str">
        <f>IF($K464="","",IFERROR(VLOOKUP(--SUBSTITUTE(SUBSTITUTE(TRIM($K464),"-","")," ",""),마스터시트!$A$2:$H$1946,2,FALSE),"미등록"))</f>
        <v/>
      </c>
      <c r="N464" s="53" t="str">
        <f>IF($K464="","",IFERROR(VLOOKUP(--SUBSTITUTE(SUBSTITUTE(TRIM($K464),"-","")," ",""),마스터시트!$A$2:$H$1946,3,FALSE),"미등록"))</f>
        <v/>
      </c>
      <c r="O464" s="18" t="str">
        <f>IF($K464="","",IFERROR(VLOOKUP(--SUBSTITUTE(SUBSTITUTE(TRIM($K464),"-","")," ",""),마스터시트!$A$2:$H$1946,4,FALSE),""))</f>
        <v/>
      </c>
      <c r="P464" s="18" t="str">
        <f>IF($K464="","",IFERROR(VLOOKUP(--SUBSTITUTE(SUBSTITUTE(TRIM($K464),"-","")," ",""),마스터시트!$A$2:$H$1946,5,FALSE),""))</f>
        <v/>
      </c>
      <c r="Q464" s="18" t="str">
        <f>IF($K464="","",IFERROR(VLOOKUP(--SUBSTITUTE(SUBSTITUTE(TRIM($K464),"-","")," ",""),마스터시트!$A$2:$H$1946,6,FALSE),""))</f>
        <v/>
      </c>
      <c r="R464" s="18" t="str">
        <f>IF($K464="","",IFERROR(VLOOKUP(--SUBSTITUTE(SUBSTITUTE(TRIM($K464),"-","")," ",""),마스터시트!$A$2:$H$1946,7,FALSE),""))</f>
        <v/>
      </c>
    </row>
    <row r="465" spans="13:18" x14ac:dyDescent="0.3">
      <c r="M465" s="18" t="str">
        <f>IF($K465="","",IFERROR(VLOOKUP(--SUBSTITUTE(SUBSTITUTE(TRIM($K465),"-","")," ",""),마스터시트!$A$2:$H$1946,2,FALSE),"미등록"))</f>
        <v/>
      </c>
      <c r="N465" s="53" t="str">
        <f>IF($K465="","",IFERROR(VLOOKUP(--SUBSTITUTE(SUBSTITUTE(TRIM($K465),"-","")," ",""),마스터시트!$A$2:$H$1946,3,FALSE),"미등록"))</f>
        <v/>
      </c>
      <c r="O465" s="18" t="str">
        <f>IF($K465="","",IFERROR(VLOOKUP(--SUBSTITUTE(SUBSTITUTE(TRIM($K465),"-","")," ",""),마스터시트!$A$2:$H$1946,4,FALSE),""))</f>
        <v/>
      </c>
      <c r="P465" s="18" t="str">
        <f>IF($K465="","",IFERROR(VLOOKUP(--SUBSTITUTE(SUBSTITUTE(TRIM($K465),"-","")," ",""),마스터시트!$A$2:$H$1946,5,FALSE),""))</f>
        <v/>
      </c>
      <c r="Q465" s="18" t="str">
        <f>IF($K465="","",IFERROR(VLOOKUP(--SUBSTITUTE(SUBSTITUTE(TRIM($K465),"-","")," ",""),마스터시트!$A$2:$H$1946,6,FALSE),""))</f>
        <v/>
      </c>
      <c r="R465" s="18" t="str">
        <f>IF($K465="","",IFERROR(VLOOKUP(--SUBSTITUTE(SUBSTITUTE(TRIM($K465),"-","")," ",""),마스터시트!$A$2:$H$1946,7,FALSE),""))</f>
        <v/>
      </c>
    </row>
    <row r="466" spans="13:18" x14ac:dyDescent="0.3">
      <c r="M466" s="18" t="str">
        <f>IF($K466="","",IFERROR(VLOOKUP(--SUBSTITUTE(SUBSTITUTE(TRIM($K466),"-","")," ",""),마스터시트!$A$2:$H$1946,2,FALSE),"미등록"))</f>
        <v/>
      </c>
      <c r="N466" s="53" t="str">
        <f>IF($K466="","",IFERROR(VLOOKUP(--SUBSTITUTE(SUBSTITUTE(TRIM($K466),"-","")," ",""),마스터시트!$A$2:$H$1946,3,FALSE),"미등록"))</f>
        <v/>
      </c>
      <c r="O466" s="18" t="str">
        <f>IF($K466="","",IFERROR(VLOOKUP(--SUBSTITUTE(SUBSTITUTE(TRIM($K466),"-","")," ",""),마스터시트!$A$2:$H$1946,4,FALSE),""))</f>
        <v/>
      </c>
      <c r="P466" s="18" t="str">
        <f>IF($K466="","",IFERROR(VLOOKUP(--SUBSTITUTE(SUBSTITUTE(TRIM($K466),"-","")," ",""),마스터시트!$A$2:$H$1946,5,FALSE),""))</f>
        <v/>
      </c>
      <c r="Q466" s="18" t="str">
        <f>IF($K466="","",IFERROR(VLOOKUP(--SUBSTITUTE(SUBSTITUTE(TRIM($K466),"-","")," ",""),마스터시트!$A$2:$H$1946,6,FALSE),""))</f>
        <v/>
      </c>
      <c r="R466" s="18" t="str">
        <f>IF($K466="","",IFERROR(VLOOKUP(--SUBSTITUTE(SUBSTITUTE(TRIM($K466),"-","")," ",""),마스터시트!$A$2:$H$1946,7,FALSE),""))</f>
        <v/>
      </c>
    </row>
    <row r="467" spans="13:18" x14ac:dyDescent="0.3">
      <c r="M467" s="18" t="str">
        <f>IF($K467="","",IFERROR(VLOOKUP(--SUBSTITUTE(SUBSTITUTE(TRIM($K467),"-","")," ",""),마스터시트!$A$2:$H$1946,2,FALSE),"미등록"))</f>
        <v/>
      </c>
      <c r="N467" s="53" t="str">
        <f>IF($K467="","",IFERROR(VLOOKUP(--SUBSTITUTE(SUBSTITUTE(TRIM($K467),"-","")," ",""),마스터시트!$A$2:$H$1946,3,FALSE),"미등록"))</f>
        <v/>
      </c>
      <c r="O467" s="18" t="str">
        <f>IF($K467="","",IFERROR(VLOOKUP(--SUBSTITUTE(SUBSTITUTE(TRIM($K467),"-","")," ",""),마스터시트!$A$2:$H$1946,4,FALSE),""))</f>
        <v/>
      </c>
      <c r="P467" s="18" t="str">
        <f>IF($K467="","",IFERROR(VLOOKUP(--SUBSTITUTE(SUBSTITUTE(TRIM($K467),"-","")," ",""),마스터시트!$A$2:$H$1946,5,FALSE),""))</f>
        <v/>
      </c>
      <c r="Q467" s="18" t="str">
        <f>IF($K467="","",IFERROR(VLOOKUP(--SUBSTITUTE(SUBSTITUTE(TRIM($K467),"-","")," ",""),마스터시트!$A$2:$H$1946,6,FALSE),""))</f>
        <v/>
      </c>
      <c r="R467" s="18" t="str">
        <f>IF($K467="","",IFERROR(VLOOKUP(--SUBSTITUTE(SUBSTITUTE(TRIM($K467),"-","")," ",""),마스터시트!$A$2:$H$1946,7,FALSE),""))</f>
        <v/>
      </c>
    </row>
    <row r="468" spans="13:18" x14ac:dyDescent="0.3">
      <c r="M468" s="18" t="str">
        <f>IF($K468="","",IFERROR(VLOOKUP(--SUBSTITUTE(SUBSTITUTE(TRIM($K468),"-","")," ",""),마스터시트!$A$2:$H$1946,2,FALSE),"미등록"))</f>
        <v/>
      </c>
      <c r="N468" s="53" t="str">
        <f>IF($K468="","",IFERROR(VLOOKUP(--SUBSTITUTE(SUBSTITUTE(TRIM($K468),"-","")," ",""),마스터시트!$A$2:$H$1946,3,FALSE),"미등록"))</f>
        <v/>
      </c>
      <c r="O468" s="18" t="str">
        <f>IF($K468="","",IFERROR(VLOOKUP(--SUBSTITUTE(SUBSTITUTE(TRIM($K468),"-","")," ",""),마스터시트!$A$2:$H$1946,4,FALSE),""))</f>
        <v/>
      </c>
      <c r="P468" s="18" t="str">
        <f>IF($K468="","",IFERROR(VLOOKUP(--SUBSTITUTE(SUBSTITUTE(TRIM($K468),"-","")," ",""),마스터시트!$A$2:$H$1946,5,FALSE),""))</f>
        <v/>
      </c>
      <c r="Q468" s="18" t="str">
        <f>IF($K468="","",IFERROR(VLOOKUP(--SUBSTITUTE(SUBSTITUTE(TRIM($K468),"-","")," ",""),마스터시트!$A$2:$H$1946,6,FALSE),""))</f>
        <v/>
      </c>
      <c r="R468" s="18" t="str">
        <f>IF($K468="","",IFERROR(VLOOKUP(--SUBSTITUTE(SUBSTITUTE(TRIM($K468),"-","")," ",""),마스터시트!$A$2:$H$1946,7,FALSE),""))</f>
        <v/>
      </c>
    </row>
    <row r="469" spans="13:18" x14ac:dyDescent="0.3">
      <c r="M469" s="18" t="str">
        <f>IF($K469="","",IFERROR(VLOOKUP(--SUBSTITUTE(SUBSTITUTE(TRIM($K469),"-","")," ",""),마스터시트!$A$2:$H$1946,2,FALSE),"미등록"))</f>
        <v/>
      </c>
      <c r="N469" s="53" t="str">
        <f>IF($K469="","",IFERROR(VLOOKUP(--SUBSTITUTE(SUBSTITUTE(TRIM($K469),"-","")," ",""),마스터시트!$A$2:$H$1946,3,FALSE),"미등록"))</f>
        <v/>
      </c>
      <c r="O469" s="18" t="str">
        <f>IF($K469="","",IFERROR(VLOOKUP(--SUBSTITUTE(SUBSTITUTE(TRIM($K469),"-","")," ",""),마스터시트!$A$2:$H$1946,4,FALSE),""))</f>
        <v/>
      </c>
      <c r="P469" s="18" t="str">
        <f>IF($K469="","",IFERROR(VLOOKUP(--SUBSTITUTE(SUBSTITUTE(TRIM($K469),"-","")," ",""),마스터시트!$A$2:$H$1946,5,FALSE),""))</f>
        <v/>
      </c>
      <c r="Q469" s="18" t="str">
        <f>IF($K469="","",IFERROR(VLOOKUP(--SUBSTITUTE(SUBSTITUTE(TRIM($K469),"-","")," ",""),마스터시트!$A$2:$H$1946,6,FALSE),""))</f>
        <v/>
      </c>
      <c r="R469" s="18" t="str">
        <f>IF($K469="","",IFERROR(VLOOKUP(--SUBSTITUTE(SUBSTITUTE(TRIM($K469),"-","")," ",""),마스터시트!$A$2:$H$1946,7,FALSE),""))</f>
        <v/>
      </c>
    </row>
    <row r="470" spans="13:18" x14ac:dyDescent="0.3">
      <c r="M470" s="18" t="str">
        <f>IF($K470="","",IFERROR(VLOOKUP(--SUBSTITUTE(SUBSTITUTE(TRIM($K470),"-","")," ",""),마스터시트!$A$2:$H$1946,2,FALSE),"미등록"))</f>
        <v/>
      </c>
      <c r="N470" s="53" t="str">
        <f>IF($K470="","",IFERROR(VLOOKUP(--SUBSTITUTE(SUBSTITUTE(TRIM($K470),"-","")," ",""),마스터시트!$A$2:$H$1946,3,FALSE),"미등록"))</f>
        <v/>
      </c>
      <c r="O470" s="18" t="str">
        <f>IF($K470="","",IFERROR(VLOOKUP(--SUBSTITUTE(SUBSTITUTE(TRIM($K470),"-","")," ",""),마스터시트!$A$2:$H$1946,4,FALSE),""))</f>
        <v/>
      </c>
      <c r="P470" s="18" t="str">
        <f>IF($K470="","",IFERROR(VLOOKUP(--SUBSTITUTE(SUBSTITUTE(TRIM($K470),"-","")," ",""),마스터시트!$A$2:$H$1946,5,FALSE),""))</f>
        <v/>
      </c>
      <c r="Q470" s="18" t="str">
        <f>IF($K470="","",IFERROR(VLOOKUP(--SUBSTITUTE(SUBSTITUTE(TRIM($K470),"-","")," ",""),마스터시트!$A$2:$H$1946,6,FALSE),""))</f>
        <v/>
      </c>
      <c r="R470" s="18" t="str">
        <f>IF($K470="","",IFERROR(VLOOKUP(--SUBSTITUTE(SUBSTITUTE(TRIM($K470),"-","")," ",""),마스터시트!$A$2:$H$1946,7,FALSE),""))</f>
        <v/>
      </c>
    </row>
    <row r="471" spans="13:18" x14ac:dyDescent="0.3">
      <c r="M471" s="18" t="str">
        <f>IF($K471="","",IFERROR(VLOOKUP(--SUBSTITUTE(SUBSTITUTE(TRIM($K471),"-","")," ",""),마스터시트!$A$2:$H$1946,2,FALSE),"미등록"))</f>
        <v/>
      </c>
      <c r="N471" s="53" t="str">
        <f>IF($K471="","",IFERROR(VLOOKUP(--SUBSTITUTE(SUBSTITUTE(TRIM($K471),"-","")," ",""),마스터시트!$A$2:$H$1946,3,FALSE),"미등록"))</f>
        <v/>
      </c>
      <c r="O471" s="18" t="str">
        <f>IF($K471="","",IFERROR(VLOOKUP(--SUBSTITUTE(SUBSTITUTE(TRIM($K471),"-","")," ",""),마스터시트!$A$2:$H$1946,4,FALSE),""))</f>
        <v/>
      </c>
      <c r="P471" s="18" t="str">
        <f>IF($K471="","",IFERROR(VLOOKUP(--SUBSTITUTE(SUBSTITUTE(TRIM($K471),"-","")," ",""),마스터시트!$A$2:$H$1946,5,FALSE),""))</f>
        <v/>
      </c>
      <c r="Q471" s="18" t="str">
        <f>IF($K471="","",IFERROR(VLOOKUP(--SUBSTITUTE(SUBSTITUTE(TRIM($K471),"-","")," ",""),마스터시트!$A$2:$H$1946,6,FALSE),""))</f>
        <v/>
      </c>
      <c r="R471" s="18" t="str">
        <f>IF($K471="","",IFERROR(VLOOKUP(--SUBSTITUTE(SUBSTITUTE(TRIM($K471),"-","")," ",""),마스터시트!$A$2:$H$1946,7,FALSE),""))</f>
        <v/>
      </c>
    </row>
    <row r="472" spans="13:18" x14ac:dyDescent="0.3">
      <c r="M472" s="18" t="str">
        <f>IF($K472="","",IFERROR(VLOOKUP(--SUBSTITUTE(SUBSTITUTE(TRIM($K472),"-","")," ",""),마스터시트!$A$2:$H$1946,2,FALSE),"미등록"))</f>
        <v/>
      </c>
      <c r="N472" s="53" t="str">
        <f>IF($K472="","",IFERROR(VLOOKUP(--SUBSTITUTE(SUBSTITUTE(TRIM($K472),"-","")," ",""),마스터시트!$A$2:$H$1946,3,FALSE),"미등록"))</f>
        <v/>
      </c>
      <c r="O472" s="18" t="str">
        <f>IF($K472="","",IFERROR(VLOOKUP(--SUBSTITUTE(SUBSTITUTE(TRIM($K472),"-","")," ",""),마스터시트!$A$2:$H$1946,4,FALSE),""))</f>
        <v/>
      </c>
      <c r="P472" s="18" t="str">
        <f>IF($K472="","",IFERROR(VLOOKUP(--SUBSTITUTE(SUBSTITUTE(TRIM($K472),"-","")," ",""),마스터시트!$A$2:$H$1946,5,FALSE),""))</f>
        <v/>
      </c>
      <c r="Q472" s="18" t="str">
        <f>IF($K472="","",IFERROR(VLOOKUP(--SUBSTITUTE(SUBSTITUTE(TRIM($K472),"-","")," ",""),마스터시트!$A$2:$H$1946,6,FALSE),""))</f>
        <v/>
      </c>
      <c r="R472" s="18" t="str">
        <f>IF($K472="","",IFERROR(VLOOKUP(--SUBSTITUTE(SUBSTITUTE(TRIM($K472),"-","")," ",""),마스터시트!$A$2:$H$1946,7,FALSE),""))</f>
        <v/>
      </c>
    </row>
    <row r="473" spans="13:18" x14ac:dyDescent="0.3">
      <c r="M473" s="18" t="str">
        <f>IF($K473="","",IFERROR(VLOOKUP(--SUBSTITUTE(SUBSTITUTE(TRIM($K473),"-","")," ",""),마스터시트!$A$2:$H$1946,2,FALSE),"미등록"))</f>
        <v/>
      </c>
      <c r="N473" s="53" t="str">
        <f>IF($K473="","",IFERROR(VLOOKUP(--SUBSTITUTE(SUBSTITUTE(TRIM($K473),"-","")," ",""),마스터시트!$A$2:$H$1946,3,FALSE),"미등록"))</f>
        <v/>
      </c>
      <c r="O473" s="18" t="str">
        <f>IF($K473="","",IFERROR(VLOOKUP(--SUBSTITUTE(SUBSTITUTE(TRIM($K473),"-","")," ",""),마스터시트!$A$2:$H$1946,4,FALSE),""))</f>
        <v/>
      </c>
      <c r="P473" s="18" t="str">
        <f>IF($K473="","",IFERROR(VLOOKUP(--SUBSTITUTE(SUBSTITUTE(TRIM($K473),"-","")," ",""),마스터시트!$A$2:$H$1946,5,FALSE),""))</f>
        <v/>
      </c>
      <c r="Q473" s="18" t="str">
        <f>IF($K473="","",IFERROR(VLOOKUP(--SUBSTITUTE(SUBSTITUTE(TRIM($K473),"-","")," ",""),마스터시트!$A$2:$H$1946,6,FALSE),""))</f>
        <v/>
      </c>
      <c r="R473" s="18" t="str">
        <f>IF($K473="","",IFERROR(VLOOKUP(--SUBSTITUTE(SUBSTITUTE(TRIM($K473),"-","")," ",""),마스터시트!$A$2:$H$1946,7,FALSE),""))</f>
        <v/>
      </c>
    </row>
    <row r="474" spans="13:18" x14ac:dyDescent="0.3">
      <c r="M474" s="18" t="str">
        <f>IF($K474="","",IFERROR(VLOOKUP(--SUBSTITUTE(SUBSTITUTE(TRIM($K474),"-","")," ",""),마스터시트!$A$2:$H$1946,2,FALSE),"미등록"))</f>
        <v/>
      </c>
      <c r="N474" s="53" t="str">
        <f>IF($K474="","",IFERROR(VLOOKUP(--SUBSTITUTE(SUBSTITUTE(TRIM($K474),"-","")," ",""),마스터시트!$A$2:$H$1946,3,FALSE),"미등록"))</f>
        <v/>
      </c>
      <c r="O474" s="18" t="str">
        <f>IF($K474="","",IFERROR(VLOOKUP(--SUBSTITUTE(SUBSTITUTE(TRIM($K474),"-","")," ",""),마스터시트!$A$2:$H$1946,4,FALSE),""))</f>
        <v/>
      </c>
      <c r="P474" s="18" t="str">
        <f>IF($K474="","",IFERROR(VLOOKUP(--SUBSTITUTE(SUBSTITUTE(TRIM($K474),"-","")," ",""),마스터시트!$A$2:$H$1946,5,FALSE),""))</f>
        <v/>
      </c>
      <c r="Q474" s="18" t="str">
        <f>IF($K474="","",IFERROR(VLOOKUP(--SUBSTITUTE(SUBSTITUTE(TRIM($K474),"-","")," ",""),마스터시트!$A$2:$H$1946,6,FALSE),""))</f>
        <v/>
      </c>
      <c r="R474" s="18" t="str">
        <f>IF($K474="","",IFERROR(VLOOKUP(--SUBSTITUTE(SUBSTITUTE(TRIM($K474),"-","")," ",""),마스터시트!$A$2:$H$1946,7,FALSE),""))</f>
        <v/>
      </c>
    </row>
    <row r="475" spans="13:18" x14ac:dyDescent="0.3">
      <c r="M475" s="18" t="str">
        <f>IF($K475="","",IFERROR(VLOOKUP(--SUBSTITUTE(SUBSTITUTE(TRIM($K475),"-","")," ",""),마스터시트!$A$2:$H$1946,2,FALSE),"미등록"))</f>
        <v/>
      </c>
      <c r="N475" s="53" t="str">
        <f>IF($K475="","",IFERROR(VLOOKUP(--SUBSTITUTE(SUBSTITUTE(TRIM($K475),"-","")," ",""),마스터시트!$A$2:$H$1946,3,FALSE),"미등록"))</f>
        <v/>
      </c>
      <c r="O475" s="18" t="str">
        <f>IF($K475="","",IFERROR(VLOOKUP(--SUBSTITUTE(SUBSTITUTE(TRIM($K475),"-","")," ",""),마스터시트!$A$2:$H$1946,4,FALSE),""))</f>
        <v/>
      </c>
      <c r="P475" s="18" t="str">
        <f>IF($K475="","",IFERROR(VLOOKUP(--SUBSTITUTE(SUBSTITUTE(TRIM($K475),"-","")," ",""),마스터시트!$A$2:$H$1946,5,FALSE),""))</f>
        <v/>
      </c>
      <c r="Q475" s="18" t="str">
        <f>IF($K475="","",IFERROR(VLOOKUP(--SUBSTITUTE(SUBSTITUTE(TRIM($K475),"-","")," ",""),마스터시트!$A$2:$H$1946,6,FALSE),""))</f>
        <v/>
      </c>
      <c r="R475" s="18" t="str">
        <f>IF($K475="","",IFERROR(VLOOKUP(--SUBSTITUTE(SUBSTITUTE(TRIM($K475),"-","")," ",""),마스터시트!$A$2:$H$1946,7,FALSE),""))</f>
        <v/>
      </c>
    </row>
    <row r="476" spans="13:18" x14ac:dyDescent="0.3">
      <c r="M476" s="18" t="str">
        <f>IF($K476="","",IFERROR(VLOOKUP(--SUBSTITUTE(SUBSTITUTE(TRIM($K476),"-","")," ",""),마스터시트!$A$2:$H$1946,2,FALSE),"미등록"))</f>
        <v/>
      </c>
      <c r="N476" s="53" t="str">
        <f>IF($K476="","",IFERROR(VLOOKUP(--SUBSTITUTE(SUBSTITUTE(TRIM($K476),"-","")," ",""),마스터시트!$A$2:$H$1946,3,FALSE),"미등록"))</f>
        <v/>
      </c>
      <c r="O476" s="18" t="str">
        <f>IF($K476="","",IFERROR(VLOOKUP(--SUBSTITUTE(SUBSTITUTE(TRIM($K476),"-","")," ",""),마스터시트!$A$2:$H$1946,4,FALSE),""))</f>
        <v/>
      </c>
      <c r="P476" s="18" t="str">
        <f>IF($K476="","",IFERROR(VLOOKUP(--SUBSTITUTE(SUBSTITUTE(TRIM($K476),"-","")," ",""),마스터시트!$A$2:$H$1946,5,FALSE),""))</f>
        <v/>
      </c>
      <c r="Q476" s="18" t="str">
        <f>IF($K476="","",IFERROR(VLOOKUP(--SUBSTITUTE(SUBSTITUTE(TRIM($K476),"-","")," ",""),마스터시트!$A$2:$H$1946,6,FALSE),""))</f>
        <v/>
      </c>
      <c r="R476" s="18" t="str">
        <f>IF($K476="","",IFERROR(VLOOKUP(--SUBSTITUTE(SUBSTITUTE(TRIM($K476),"-","")," ",""),마스터시트!$A$2:$H$1946,7,FALSE),""))</f>
        <v/>
      </c>
    </row>
    <row r="477" spans="13:18" x14ac:dyDescent="0.3">
      <c r="M477" s="18" t="str">
        <f>IF($K477="","",IFERROR(VLOOKUP(--SUBSTITUTE(SUBSTITUTE(TRIM($K477),"-","")," ",""),마스터시트!$A$2:$H$1946,2,FALSE),"미등록"))</f>
        <v/>
      </c>
      <c r="N477" s="53" t="str">
        <f>IF($K477="","",IFERROR(VLOOKUP(--SUBSTITUTE(SUBSTITUTE(TRIM($K477),"-","")," ",""),마스터시트!$A$2:$H$1946,3,FALSE),"미등록"))</f>
        <v/>
      </c>
      <c r="O477" s="18" t="str">
        <f>IF($K477="","",IFERROR(VLOOKUP(--SUBSTITUTE(SUBSTITUTE(TRIM($K477),"-","")," ",""),마스터시트!$A$2:$H$1946,4,FALSE),""))</f>
        <v/>
      </c>
      <c r="P477" s="18" t="str">
        <f>IF($K477="","",IFERROR(VLOOKUP(--SUBSTITUTE(SUBSTITUTE(TRIM($K477),"-","")," ",""),마스터시트!$A$2:$H$1946,5,FALSE),""))</f>
        <v/>
      </c>
      <c r="Q477" s="18" t="str">
        <f>IF($K477="","",IFERROR(VLOOKUP(--SUBSTITUTE(SUBSTITUTE(TRIM($K477),"-","")," ",""),마스터시트!$A$2:$H$1946,6,FALSE),""))</f>
        <v/>
      </c>
      <c r="R477" s="18" t="str">
        <f>IF($K477="","",IFERROR(VLOOKUP(--SUBSTITUTE(SUBSTITUTE(TRIM($K477),"-","")," ",""),마스터시트!$A$2:$H$1946,7,FALSE),""))</f>
        <v/>
      </c>
    </row>
    <row r="478" spans="13:18" x14ac:dyDescent="0.3">
      <c r="M478" s="18" t="str">
        <f>IF($K478="","",IFERROR(VLOOKUP(--SUBSTITUTE(SUBSTITUTE(TRIM($K478),"-","")," ",""),마스터시트!$A$2:$H$1946,2,FALSE),"미등록"))</f>
        <v/>
      </c>
      <c r="N478" s="53" t="str">
        <f>IF($K478="","",IFERROR(VLOOKUP(--SUBSTITUTE(SUBSTITUTE(TRIM($K478),"-","")," ",""),마스터시트!$A$2:$H$1946,3,FALSE),"미등록"))</f>
        <v/>
      </c>
      <c r="O478" s="18" t="str">
        <f>IF($K478="","",IFERROR(VLOOKUP(--SUBSTITUTE(SUBSTITUTE(TRIM($K478),"-","")," ",""),마스터시트!$A$2:$H$1946,4,FALSE),""))</f>
        <v/>
      </c>
      <c r="P478" s="18" t="str">
        <f>IF($K478="","",IFERROR(VLOOKUP(--SUBSTITUTE(SUBSTITUTE(TRIM($K478),"-","")," ",""),마스터시트!$A$2:$H$1946,5,FALSE),""))</f>
        <v/>
      </c>
      <c r="Q478" s="18" t="str">
        <f>IF($K478="","",IFERROR(VLOOKUP(--SUBSTITUTE(SUBSTITUTE(TRIM($K478),"-","")," ",""),마스터시트!$A$2:$H$1946,6,FALSE),""))</f>
        <v/>
      </c>
      <c r="R478" s="18" t="str">
        <f>IF($K478="","",IFERROR(VLOOKUP(--SUBSTITUTE(SUBSTITUTE(TRIM($K478),"-","")," ",""),마스터시트!$A$2:$H$1946,7,FALSE),""))</f>
        <v/>
      </c>
    </row>
    <row r="479" spans="13:18" x14ac:dyDescent="0.3">
      <c r="M479" s="18" t="str">
        <f>IF($K479="","",IFERROR(VLOOKUP(--SUBSTITUTE(SUBSTITUTE(TRIM($K479),"-","")," ",""),마스터시트!$A$2:$H$1946,2,FALSE),"미등록"))</f>
        <v/>
      </c>
      <c r="N479" s="53" t="str">
        <f>IF($K479="","",IFERROR(VLOOKUP(--SUBSTITUTE(SUBSTITUTE(TRIM($K479),"-","")," ",""),마스터시트!$A$2:$H$1946,3,FALSE),"미등록"))</f>
        <v/>
      </c>
      <c r="O479" s="18" t="str">
        <f>IF($K479="","",IFERROR(VLOOKUP(--SUBSTITUTE(SUBSTITUTE(TRIM($K479),"-","")," ",""),마스터시트!$A$2:$H$1946,4,FALSE),""))</f>
        <v/>
      </c>
      <c r="P479" s="18" t="str">
        <f>IF($K479="","",IFERROR(VLOOKUP(--SUBSTITUTE(SUBSTITUTE(TRIM($K479),"-","")," ",""),마스터시트!$A$2:$H$1946,5,FALSE),""))</f>
        <v/>
      </c>
      <c r="Q479" s="18" t="str">
        <f>IF($K479="","",IFERROR(VLOOKUP(--SUBSTITUTE(SUBSTITUTE(TRIM($K479),"-","")," ",""),마스터시트!$A$2:$H$1946,6,FALSE),""))</f>
        <v/>
      </c>
      <c r="R479" s="18" t="str">
        <f>IF($K479="","",IFERROR(VLOOKUP(--SUBSTITUTE(SUBSTITUTE(TRIM($K479),"-","")," ",""),마스터시트!$A$2:$H$1946,7,FALSE),""))</f>
        <v/>
      </c>
    </row>
    <row r="480" spans="13:18" x14ac:dyDescent="0.3">
      <c r="M480" s="18" t="str">
        <f>IF($K480="","",IFERROR(VLOOKUP(--SUBSTITUTE(SUBSTITUTE(TRIM($K480),"-","")," ",""),마스터시트!$A$2:$H$1946,2,FALSE),"미등록"))</f>
        <v/>
      </c>
      <c r="N480" s="53" t="str">
        <f>IF($K480="","",IFERROR(VLOOKUP(--SUBSTITUTE(SUBSTITUTE(TRIM($K480),"-","")," ",""),마스터시트!$A$2:$H$1946,3,FALSE),"미등록"))</f>
        <v/>
      </c>
      <c r="O480" s="18" t="str">
        <f>IF($K480="","",IFERROR(VLOOKUP(--SUBSTITUTE(SUBSTITUTE(TRIM($K480),"-","")," ",""),마스터시트!$A$2:$H$1946,4,FALSE),""))</f>
        <v/>
      </c>
      <c r="P480" s="18" t="str">
        <f>IF($K480="","",IFERROR(VLOOKUP(--SUBSTITUTE(SUBSTITUTE(TRIM($K480),"-","")," ",""),마스터시트!$A$2:$H$1946,5,FALSE),""))</f>
        <v/>
      </c>
      <c r="Q480" s="18" t="str">
        <f>IF($K480="","",IFERROR(VLOOKUP(--SUBSTITUTE(SUBSTITUTE(TRIM($K480),"-","")," ",""),마스터시트!$A$2:$H$1946,6,FALSE),""))</f>
        <v/>
      </c>
      <c r="R480" s="18" t="str">
        <f>IF($K480="","",IFERROR(VLOOKUP(--SUBSTITUTE(SUBSTITUTE(TRIM($K480),"-","")," ",""),마스터시트!$A$2:$H$1946,7,FALSE),""))</f>
        <v/>
      </c>
    </row>
    <row r="481" spans="13:18" x14ac:dyDescent="0.3">
      <c r="M481" s="18" t="str">
        <f>IF($K481="","",IFERROR(VLOOKUP(--SUBSTITUTE(SUBSTITUTE(TRIM($K481),"-","")," ",""),마스터시트!$A$2:$H$1946,2,FALSE),"미등록"))</f>
        <v/>
      </c>
      <c r="N481" s="53" t="str">
        <f>IF($K481="","",IFERROR(VLOOKUP(--SUBSTITUTE(SUBSTITUTE(TRIM($K481),"-","")," ",""),마스터시트!$A$2:$H$1946,3,FALSE),"미등록"))</f>
        <v/>
      </c>
      <c r="O481" s="18" t="str">
        <f>IF($K481="","",IFERROR(VLOOKUP(--SUBSTITUTE(SUBSTITUTE(TRIM($K481),"-","")," ",""),마스터시트!$A$2:$H$1946,4,FALSE),""))</f>
        <v/>
      </c>
      <c r="P481" s="18" t="str">
        <f>IF($K481="","",IFERROR(VLOOKUP(--SUBSTITUTE(SUBSTITUTE(TRIM($K481),"-","")," ",""),마스터시트!$A$2:$H$1946,5,FALSE),""))</f>
        <v/>
      </c>
      <c r="Q481" s="18" t="str">
        <f>IF($K481="","",IFERROR(VLOOKUP(--SUBSTITUTE(SUBSTITUTE(TRIM($K481),"-","")," ",""),마스터시트!$A$2:$H$1946,6,FALSE),""))</f>
        <v/>
      </c>
      <c r="R481" s="18" t="str">
        <f>IF($K481="","",IFERROR(VLOOKUP(--SUBSTITUTE(SUBSTITUTE(TRIM($K481),"-","")," ",""),마스터시트!$A$2:$H$1946,7,FALSE),""))</f>
        <v/>
      </c>
    </row>
    <row r="482" spans="13:18" x14ac:dyDescent="0.3">
      <c r="M482" s="18" t="str">
        <f>IF($K482="","",IFERROR(VLOOKUP(--SUBSTITUTE(SUBSTITUTE(TRIM($K482),"-","")," ",""),마스터시트!$A$2:$H$1946,2,FALSE),"미등록"))</f>
        <v/>
      </c>
      <c r="N482" s="53" t="str">
        <f>IF($K482="","",IFERROR(VLOOKUP(--SUBSTITUTE(SUBSTITUTE(TRIM($K482),"-","")," ",""),마스터시트!$A$2:$H$1946,3,FALSE),"미등록"))</f>
        <v/>
      </c>
      <c r="O482" s="18" t="str">
        <f>IF($K482="","",IFERROR(VLOOKUP(--SUBSTITUTE(SUBSTITUTE(TRIM($K482),"-","")," ",""),마스터시트!$A$2:$H$1946,4,FALSE),""))</f>
        <v/>
      </c>
      <c r="P482" s="18" t="str">
        <f>IF($K482="","",IFERROR(VLOOKUP(--SUBSTITUTE(SUBSTITUTE(TRIM($K482),"-","")," ",""),마스터시트!$A$2:$H$1946,5,FALSE),""))</f>
        <v/>
      </c>
      <c r="Q482" s="18" t="str">
        <f>IF($K482="","",IFERROR(VLOOKUP(--SUBSTITUTE(SUBSTITUTE(TRIM($K482),"-","")," ",""),마스터시트!$A$2:$H$1946,6,FALSE),""))</f>
        <v/>
      </c>
      <c r="R482" s="18" t="str">
        <f>IF($K482="","",IFERROR(VLOOKUP(--SUBSTITUTE(SUBSTITUTE(TRIM($K482),"-","")," ",""),마스터시트!$A$2:$H$1946,7,FALSE),""))</f>
        <v/>
      </c>
    </row>
    <row r="483" spans="13:18" x14ac:dyDescent="0.3">
      <c r="M483" s="18" t="str">
        <f>IF($K483="","",IFERROR(VLOOKUP(--SUBSTITUTE(SUBSTITUTE(TRIM($K483),"-","")," ",""),마스터시트!$A$2:$H$1946,2,FALSE),"미등록"))</f>
        <v/>
      </c>
      <c r="N483" s="53" t="str">
        <f>IF($K483="","",IFERROR(VLOOKUP(--SUBSTITUTE(SUBSTITUTE(TRIM($K483),"-","")," ",""),마스터시트!$A$2:$H$1946,3,FALSE),"미등록"))</f>
        <v/>
      </c>
      <c r="O483" s="18" t="str">
        <f>IF($K483="","",IFERROR(VLOOKUP(--SUBSTITUTE(SUBSTITUTE(TRIM($K483),"-","")," ",""),마스터시트!$A$2:$H$1946,4,FALSE),""))</f>
        <v/>
      </c>
      <c r="P483" s="18" t="str">
        <f>IF($K483="","",IFERROR(VLOOKUP(--SUBSTITUTE(SUBSTITUTE(TRIM($K483),"-","")," ",""),마스터시트!$A$2:$H$1946,5,FALSE),""))</f>
        <v/>
      </c>
      <c r="Q483" s="18" t="str">
        <f>IF($K483="","",IFERROR(VLOOKUP(--SUBSTITUTE(SUBSTITUTE(TRIM($K483),"-","")," ",""),마스터시트!$A$2:$H$1946,6,FALSE),""))</f>
        <v/>
      </c>
      <c r="R483" s="18" t="str">
        <f>IF($K483="","",IFERROR(VLOOKUP(--SUBSTITUTE(SUBSTITUTE(TRIM($K483),"-","")," ",""),마스터시트!$A$2:$H$1946,7,FALSE),""))</f>
        <v/>
      </c>
    </row>
    <row r="484" spans="13:18" x14ac:dyDescent="0.3">
      <c r="M484" s="18" t="str">
        <f>IF($K484="","",IFERROR(VLOOKUP(--SUBSTITUTE(SUBSTITUTE(TRIM($K484),"-","")," ",""),마스터시트!$A$2:$H$1946,2,FALSE),"미등록"))</f>
        <v/>
      </c>
      <c r="N484" s="53" t="str">
        <f>IF($K484="","",IFERROR(VLOOKUP(--SUBSTITUTE(SUBSTITUTE(TRIM($K484),"-","")," ",""),마스터시트!$A$2:$H$1946,3,FALSE),"미등록"))</f>
        <v/>
      </c>
      <c r="O484" s="18" t="str">
        <f>IF($K484="","",IFERROR(VLOOKUP(--SUBSTITUTE(SUBSTITUTE(TRIM($K484),"-","")," ",""),마스터시트!$A$2:$H$1946,4,FALSE),""))</f>
        <v/>
      </c>
      <c r="P484" s="18" t="str">
        <f>IF($K484="","",IFERROR(VLOOKUP(--SUBSTITUTE(SUBSTITUTE(TRIM($K484),"-","")," ",""),마스터시트!$A$2:$H$1946,5,FALSE),""))</f>
        <v/>
      </c>
      <c r="Q484" s="18" t="str">
        <f>IF($K484="","",IFERROR(VLOOKUP(--SUBSTITUTE(SUBSTITUTE(TRIM($K484),"-","")," ",""),마스터시트!$A$2:$H$1946,6,FALSE),""))</f>
        <v/>
      </c>
      <c r="R484" s="18" t="str">
        <f>IF($K484="","",IFERROR(VLOOKUP(--SUBSTITUTE(SUBSTITUTE(TRIM($K484),"-","")," ",""),마스터시트!$A$2:$H$1946,7,FALSE),""))</f>
        <v/>
      </c>
    </row>
    <row r="485" spans="13:18" x14ac:dyDescent="0.3">
      <c r="M485" s="18" t="str">
        <f>IF($K485="","",IFERROR(VLOOKUP(--SUBSTITUTE(SUBSTITUTE(TRIM($K485),"-","")," ",""),마스터시트!$A$2:$H$1946,2,FALSE),"미등록"))</f>
        <v/>
      </c>
      <c r="N485" s="53" t="str">
        <f>IF($K485="","",IFERROR(VLOOKUP(--SUBSTITUTE(SUBSTITUTE(TRIM($K485),"-","")," ",""),마스터시트!$A$2:$H$1946,3,FALSE),"미등록"))</f>
        <v/>
      </c>
      <c r="O485" s="18" t="str">
        <f>IF($K485="","",IFERROR(VLOOKUP(--SUBSTITUTE(SUBSTITUTE(TRIM($K485),"-","")," ",""),마스터시트!$A$2:$H$1946,4,FALSE),""))</f>
        <v/>
      </c>
      <c r="P485" s="18" t="str">
        <f>IF($K485="","",IFERROR(VLOOKUP(--SUBSTITUTE(SUBSTITUTE(TRIM($K485),"-","")," ",""),마스터시트!$A$2:$H$1946,5,FALSE),""))</f>
        <v/>
      </c>
      <c r="Q485" s="18" t="str">
        <f>IF($K485="","",IFERROR(VLOOKUP(--SUBSTITUTE(SUBSTITUTE(TRIM($K485),"-","")," ",""),마스터시트!$A$2:$H$1946,6,FALSE),""))</f>
        <v/>
      </c>
      <c r="R485" s="18" t="str">
        <f>IF($K485="","",IFERROR(VLOOKUP(--SUBSTITUTE(SUBSTITUTE(TRIM($K485),"-","")," ",""),마스터시트!$A$2:$H$1946,7,FALSE),""))</f>
        <v/>
      </c>
    </row>
    <row r="486" spans="13:18" x14ac:dyDescent="0.3">
      <c r="M486" s="18" t="str">
        <f>IF($K486="","",IFERROR(VLOOKUP(--SUBSTITUTE(SUBSTITUTE(TRIM($K486),"-","")," ",""),마스터시트!$A$2:$H$1946,2,FALSE),"미등록"))</f>
        <v/>
      </c>
      <c r="N486" s="53" t="str">
        <f>IF($K486="","",IFERROR(VLOOKUP(--SUBSTITUTE(SUBSTITUTE(TRIM($K486),"-","")," ",""),마스터시트!$A$2:$H$1946,3,FALSE),"미등록"))</f>
        <v/>
      </c>
      <c r="O486" s="18" t="str">
        <f>IF($K486="","",IFERROR(VLOOKUP(--SUBSTITUTE(SUBSTITUTE(TRIM($K486),"-","")," ",""),마스터시트!$A$2:$H$1946,4,FALSE),""))</f>
        <v/>
      </c>
      <c r="P486" s="18" t="str">
        <f>IF($K486="","",IFERROR(VLOOKUP(--SUBSTITUTE(SUBSTITUTE(TRIM($K486),"-","")," ",""),마스터시트!$A$2:$H$1946,5,FALSE),""))</f>
        <v/>
      </c>
      <c r="Q486" s="18" t="str">
        <f>IF($K486="","",IFERROR(VLOOKUP(--SUBSTITUTE(SUBSTITUTE(TRIM($K486),"-","")," ",""),마스터시트!$A$2:$H$1946,6,FALSE),""))</f>
        <v/>
      </c>
      <c r="R486" s="18" t="str">
        <f>IF($K486="","",IFERROR(VLOOKUP(--SUBSTITUTE(SUBSTITUTE(TRIM($K486),"-","")," ",""),마스터시트!$A$2:$H$1946,7,FALSE),""))</f>
        <v/>
      </c>
    </row>
    <row r="487" spans="13:18" x14ac:dyDescent="0.3">
      <c r="M487" s="18" t="str">
        <f>IF($K487="","",IFERROR(VLOOKUP(--SUBSTITUTE(SUBSTITUTE(TRIM($K487),"-","")," ",""),마스터시트!$A$2:$H$1946,2,FALSE),"미등록"))</f>
        <v/>
      </c>
      <c r="N487" s="53" t="str">
        <f>IF($K487="","",IFERROR(VLOOKUP(--SUBSTITUTE(SUBSTITUTE(TRIM($K487),"-","")," ",""),마스터시트!$A$2:$H$1946,3,FALSE),"미등록"))</f>
        <v/>
      </c>
      <c r="O487" s="18" t="str">
        <f>IF($K487="","",IFERROR(VLOOKUP(--SUBSTITUTE(SUBSTITUTE(TRIM($K487),"-","")," ",""),마스터시트!$A$2:$H$1946,4,FALSE),""))</f>
        <v/>
      </c>
      <c r="P487" s="18" t="str">
        <f>IF($K487="","",IFERROR(VLOOKUP(--SUBSTITUTE(SUBSTITUTE(TRIM($K487),"-","")," ",""),마스터시트!$A$2:$H$1946,5,FALSE),""))</f>
        <v/>
      </c>
      <c r="Q487" s="18" t="str">
        <f>IF($K487="","",IFERROR(VLOOKUP(--SUBSTITUTE(SUBSTITUTE(TRIM($K487),"-","")," ",""),마스터시트!$A$2:$H$1946,6,FALSE),""))</f>
        <v/>
      </c>
      <c r="R487" s="18" t="str">
        <f>IF($K487="","",IFERROR(VLOOKUP(--SUBSTITUTE(SUBSTITUTE(TRIM($K487),"-","")," ",""),마스터시트!$A$2:$H$1946,7,FALSE),""))</f>
        <v/>
      </c>
    </row>
    <row r="488" spans="13:18" x14ac:dyDescent="0.3">
      <c r="M488" s="18" t="str">
        <f>IF($K488="","",IFERROR(VLOOKUP(--SUBSTITUTE(SUBSTITUTE(TRIM($K488),"-","")," ",""),마스터시트!$A$2:$H$1946,2,FALSE),"미등록"))</f>
        <v/>
      </c>
      <c r="N488" s="53" t="str">
        <f>IF($K488="","",IFERROR(VLOOKUP(--SUBSTITUTE(SUBSTITUTE(TRIM($K488),"-","")," ",""),마스터시트!$A$2:$H$1946,3,FALSE),"미등록"))</f>
        <v/>
      </c>
      <c r="O488" s="18" t="str">
        <f>IF($K488="","",IFERROR(VLOOKUP(--SUBSTITUTE(SUBSTITUTE(TRIM($K488),"-","")," ",""),마스터시트!$A$2:$H$1946,4,FALSE),""))</f>
        <v/>
      </c>
      <c r="P488" s="18" t="str">
        <f>IF($K488="","",IFERROR(VLOOKUP(--SUBSTITUTE(SUBSTITUTE(TRIM($K488),"-","")," ",""),마스터시트!$A$2:$H$1946,5,FALSE),""))</f>
        <v/>
      </c>
      <c r="Q488" s="18" t="str">
        <f>IF($K488="","",IFERROR(VLOOKUP(--SUBSTITUTE(SUBSTITUTE(TRIM($K488),"-","")," ",""),마스터시트!$A$2:$H$1946,6,FALSE),""))</f>
        <v/>
      </c>
      <c r="R488" s="18" t="str">
        <f>IF($K488="","",IFERROR(VLOOKUP(--SUBSTITUTE(SUBSTITUTE(TRIM($K488),"-","")," ",""),마스터시트!$A$2:$H$1946,7,FALSE),""))</f>
        <v/>
      </c>
    </row>
    <row r="489" spans="13:18" x14ac:dyDescent="0.3">
      <c r="M489" s="18" t="str">
        <f>IF($K489="","",IFERROR(VLOOKUP(--SUBSTITUTE(SUBSTITUTE(TRIM($K489),"-","")," ",""),마스터시트!$A$2:$H$1946,2,FALSE),"미등록"))</f>
        <v/>
      </c>
      <c r="N489" s="53" t="str">
        <f>IF($K489="","",IFERROR(VLOOKUP(--SUBSTITUTE(SUBSTITUTE(TRIM($K489),"-","")," ",""),마스터시트!$A$2:$H$1946,3,FALSE),"미등록"))</f>
        <v/>
      </c>
      <c r="O489" s="18" t="str">
        <f>IF($K489="","",IFERROR(VLOOKUP(--SUBSTITUTE(SUBSTITUTE(TRIM($K489),"-","")," ",""),마스터시트!$A$2:$H$1946,4,FALSE),""))</f>
        <v/>
      </c>
      <c r="P489" s="18" t="str">
        <f>IF($K489="","",IFERROR(VLOOKUP(--SUBSTITUTE(SUBSTITUTE(TRIM($K489),"-","")," ",""),마스터시트!$A$2:$H$1946,5,FALSE),""))</f>
        <v/>
      </c>
      <c r="Q489" s="18" t="str">
        <f>IF($K489="","",IFERROR(VLOOKUP(--SUBSTITUTE(SUBSTITUTE(TRIM($K489),"-","")," ",""),마스터시트!$A$2:$H$1946,6,FALSE),""))</f>
        <v/>
      </c>
      <c r="R489" s="18" t="str">
        <f>IF($K489="","",IFERROR(VLOOKUP(--SUBSTITUTE(SUBSTITUTE(TRIM($K489),"-","")," ",""),마스터시트!$A$2:$H$1946,7,FALSE),""))</f>
        <v/>
      </c>
    </row>
    <row r="490" spans="13:18" x14ac:dyDescent="0.3">
      <c r="M490" s="18" t="str">
        <f>IF($K490="","",IFERROR(VLOOKUP(--SUBSTITUTE(SUBSTITUTE(TRIM($K490),"-","")," ",""),마스터시트!$A$2:$H$1946,2,FALSE),"미등록"))</f>
        <v/>
      </c>
      <c r="N490" s="53" t="str">
        <f>IF($K490="","",IFERROR(VLOOKUP(--SUBSTITUTE(SUBSTITUTE(TRIM($K490),"-","")," ",""),마스터시트!$A$2:$H$1946,3,FALSE),"미등록"))</f>
        <v/>
      </c>
      <c r="O490" s="18" t="str">
        <f>IF($K490="","",IFERROR(VLOOKUP(--SUBSTITUTE(SUBSTITUTE(TRIM($K490),"-","")," ",""),마스터시트!$A$2:$H$1946,4,FALSE),""))</f>
        <v/>
      </c>
      <c r="P490" s="18" t="str">
        <f>IF($K490="","",IFERROR(VLOOKUP(--SUBSTITUTE(SUBSTITUTE(TRIM($K490),"-","")," ",""),마스터시트!$A$2:$H$1946,5,FALSE),""))</f>
        <v/>
      </c>
      <c r="Q490" s="18" t="str">
        <f>IF($K490="","",IFERROR(VLOOKUP(--SUBSTITUTE(SUBSTITUTE(TRIM($K490),"-","")," ",""),마스터시트!$A$2:$H$1946,6,FALSE),""))</f>
        <v/>
      </c>
      <c r="R490" s="18" t="str">
        <f>IF($K490="","",IFERROR(VLOOKUP(--SUBSTITUTE(SUBSTITUTE(TRIM($K490),"-","")," ",""),마스터시트!$A$2:$H$1946,7,FALSE),""))</f>
        <v/>
      </c>
    </row>
    <row r="491" spans="13:18" x14ac:dyDescent="0.3">
      <c r="M491" s="18" t="str">
        <f>IF($K491="","",IFERROR(VLOOKUP(--SUBSTITUTE(SUBSTITUTE(TRIM($K491),"-","")," ",""),마스터시트!$A$2:$H$1946,2,FALSE),"미등록"))</f>
        <v/>
      </c>
      <c r="N491" s="53" t="str">
        <f>IF($K491="","",IFERROR(VLOOKUP(--SUBSTITUTE(SUBSTITUTE(TRIM($K491),"-","")," ",""),마스터시트!$A$2:$H$1946,3,FALSE),"미등록"))</f>
        <v/>
      </c>
      <c r="O491" s="18" t="str">
        <f>IF($K491="","",IFERROR(VLOOKUP(--SUBSTITUTE(SUBSTITUTE(TRIM($K491),"-","")," ",""),마스터시트!$A$2:$H$1946,4,FALSE),""))</f>
        <v/>
      </c>
      <c r="P491" s="18" t="str">
        <f>IF($K491="","",IFERROR(VLOOKUP(--SUBSTITUTE(SUBSTITUTE(TRIM($K491),"-","")," ",""),마스터시트!$A$2:$H$1946,5,FALSE),""))</f>
        <v/>
      </c>
      <c r="Q491" s="18" t="str">
        <f>IF($K491="","",IFERROR(VLOOKUP(--SUBSTITUTE(SUBSTITUTE(TRIM($K491),"-","")," ",""),마스터시트!$A$2:$H$1946,6,FALSE),""))</f>
        <v/>
      </c>
      <c r="R491" s="18" t="str">
        <f>IF($K491="","",IFERROR(VLOOKUP(--SUBSTITUTE(SUBSTITUTE(TRIM($K491),"-","")," ",""),마스터시트!$A$2:$H$1946,7,FALSE),""))</f>
        <v/>
      </c>
    </row>
    <row r="492" spans="13:18" x14ac:dyDescent="0.3">
      <c r="M492" s="18" t="str">
        <f>IF($K492="","",IFERROR(VLOOKUP(--SUBSTITUTE(SUBSTITUTE(TRIM($K492),"-","")," ",""),마스터시트!$A$2:$H$1946,2,FALSE),"미등록"))</f>
        <v/>
      </c>
      <c r="N492" s="53" t="str">
        <f>IF($K492="","",IFERROR(VLOOKUP(--SUBSTITUTE(SUBSTITUTE(TRIM($K492),"-","")," ",""),마스터시트!$A$2:$H$1946,3,FALSE),"미등록"))</f>
        <v/>
      </c>
      <c r="O492" s="18" t="str">
        <f>IF($K492="","",IFERROR(VLOOKUP(--SUBSTITUTE(SUBSTITUTE(TRIM($K492),"-","")," ",""),마스터시트!$A$2:$H$1946,4,FALSE),""))</f>
        <v/>
      </c>
      <c r="P492" s="18" t="str">
        <f>IF($K492="","",IFERROR(VLOOKUP(--SUBSTITUTE(SUBSTITUTE(TRIM($K492),"-","")," ",""),마스터시트!$A$2:$H$1946,5,FALSE),""))</f>
        <v/>
      </c>
      <c r="Q492" s="18" t="str">
        <f>IF($K492="","",IFERROR(VLOOKUP(--SUBSTITUTE(SUBSTITUTE(TRIM($K492),"-","")," ",""),마스터시트!$A$2:$H$1946,6,FALSE),""))</f>
        <v/>
      </c>
      <c r="R492" s="18" t="str">
        <f>IF($K492="","",IFERROR(VLOOKUP(--SUBSTITUTE(SUBSTITUTE(TRIM($K492),"-","")," ",""),마스터시트!$A$2:$H$1946,7,FALSE),""))</f>
        <v/>
      </c>
    </row>
    <row r="493" spans="13:18" x14ac:dyDescent="0.3">
      <c r="M493" s="18" t="str">
        <f>IF($K493="","",IFERROR(VLOOKUP(--SUBSTITUTE(SUBSTITUTE(TRIM($K493),"-","")," ",""),마스터시트!$A$2:$H$1946,2,FALSE),"미등록"))</f>
        <v/>
      </c>
      <c r="N493" s="53" t="str">
        <f>IF($K493="","",IFERROR(VLOOKUP(--SUBSTITUTE(SUBSTITUTE(TRIM($K493),"-","")," ",""),마스터시트!$A$2:$H$1946,3,FALSE),"미등록"))</f>
        <v/>
      </c>
      <c r="O493" s="18" t="str">
        <f>IF($K493="","",IFERROR(VLOOKUP(--SUBSTITUTE(SUBSTITUTE(TRIM($K493),"-","")," ",""),마스터시트!$A$2:$H$1946,4,FALSE),""))</f>
        <v/>
      </c>
      <c r="P493" s="18" t="str">
        <f>IF($K493="","",IFERROR(VLOOKUP(--SUBSTITUTE(SUBSTITUTE(TRIM($K493),"-","")," ",""),마스터시트!$A$2:$H$1946,5,FALSE),""))</f>
        <v/>
      </c>
      <c r="Q493" s="18" t="str">
        <f>IF($K493="","",IFERROR(VLOOKUP(--SUBSTITUTE(SUBSTITUTE(TRIM($K493),"-","")," ",""),마스터시트!$A$2:$H$1946,6,FALSE),""))</f>
        <v/>
      </c>
      <c r="R493" s="18" t="str">
        <f>IF($K493="","",IFERROR(VLOOKUP(--SUBSTITUTE(SUBSTITUTE(TRIM($K493),"-","")," ",""),마스터시트!$A$2:$H$1946,7,FALSE),""))</f>
        <v/>
      </c>
    </row>
    <row r="494" spans="13:18" x14ac:dyDescent="0.3">
      <c r="M494" s="18" t="str">
        <f>IF($K494="","",IFERROR(VLOOKUP(--SUBSTITUTE(SUBSTITUTE(TRIM($K494),"-","")," ",""),마스터시트!$A$2:$H$1946,2,FALSE),"미등록"))</f>
        <v/>
      </c>
      <c r="N494" s="53" t="str">
        <f>IF($K494="","",IFERROR(VLOOKUP(--SUBSTITUTE(SUBSTITUTE(TRIM($K494),"-","")," ",""),마스터시트!$A$2:$H$1946,3,FALSE),"미등록"))</f>
        <v/>
      </c>
      <c r="O494" s="18" t="str">
        <f>IF($K494="","",IFERROR(VLOOKUP(--SUBSTITUTE(SUBSTITUTE(TRIM($K494),"-","")," ",""),마스터시트!$A$2:$H$1946,4,FALSE),""))</f>
        <v/>
      </c>
      <c r="P494" s="18" t="str">
        <f>IF($K494="","",IFERROR(VLOOKUP(--SUBSTITUTE(SUBSTITUTE(TRIM($K494),"-","")," ",""),마스터시트!$A$2:$H$1946,5,FALSE),""))</f>
        <v/>
      </c>
      <c r="Q494" s="18" t="str">
        <f>IF($K494="","",IFERROR(VLOOKUP(--SUBSTITUTE(SUBSTITUTE(TRIM($K494),"-","")," ",""),마스터시트!$A$2:$H$1946,6,FALSE),""))</f>
        <v/>
      </c>
      <c r="R494" s="18" t="str">
        <f>IF($K494="","",IFERROR(VLOOKUP(--SUBSTITUTE(SUBSTITUTE(TRIM($K494),"-","")," ",""),마스터시트!$A$2:$H$1946,7,FALSE),""))</f>
        <v/>
      </c>
    </row>
    <row r="495" spans="13:18" x14ac:dyDescent="0.3">
      <c r="M495" s="18" t="str">
        <f>IF($K495="","",IFERROR(VLOOKUP(--SUBSTITUTE(SUBSTITUTE(TRIM($K495),"-","")," ",""),마스터시트!$A$2:$H$1946,2,FALSE),"미등록"))</f>
        <v/>
      </c>
      <c r="N495" s="53" t="str">
        <f>IF($K495="","",IFERROR(VLOOKUP(--SUBSTITUTE(SUBSTITUTE(TRIM($K495),"-","")," ",""),마스터시트!$A$2:$H$1946,3,FALSE),"미등록"))</f>
        <v/>
      </c>
      <c r="O495" s="18" t="str">
        <f>IF($K495="","",IFERROR(VLOOKUP(--SUBSTITUTE(SUBSTITUTE(TRIM($K495),"-","")," ",""),마스터시트!$A$2:$H$1946,4,FALSE),""))</f>
        <v/>
      </c>
      <c r="P495" s="18" t="str">
        <f>IF($K495="","",IFERROR(VLOOKUP(--SUBSTITUTE(SUBSTITUTE(TRIM($K495),"-","")," ",""),마스터시트!$A$2:$H$1946,5,FALSE),""))</f>
        <v/>
      </c>
      <c r="Q495" s="18" t="str">
        <f>IF($K495="","",IFERROR(VLOOKUP(--SUBSTITUTE(SUBSTITUTE(TRIM($K495),"-","")," ",""),마스터시트!$A$2:$H$1946,6,FALSE),""))</f>
        <v/>
      </c>
      <c r="R495" s="18" t="str">
        <f>IF($K495="","",IFERROR(VLOOKUP(--SUBSTITUTE(SUBSTITUTE(TRIM($K495),"-","")," ",""),마스터시트!$A$2:$H$1946,7,FALSE),""))</f>
        <v/>
      </c>
    </row>
    <row r="496" spans="13:18" x14ac:dyDescent="0.3">
      <c r="M496" s="18" t="str">
        <f>IF($K496="","",IFERROR(VLOOKUP(--SUBSTITUTE(SUBSTITUTE(TRIM($K496),"-","")," ",""),마스터시트!$A$2:$H$1946,2,FALSE),"미등록"))</f>
        <v/>
      </c>
      <c r="N496" s="53" t="str">
        <f>IF($K496="","",IFERROR(VLOOKUP(--SUBSTITUTE(SUBSTITUTE(TRIM($K496),"-","")," ",""),마스터시트!$A$2:$H$1946,3,FALSE),"미등록"))</f>
        <v/>
      </c>
      <c r="O496" s="18" t="str">
        <f>IF($K496="","",IFERROR(VLOOKUP(--SUBSTITUTE(SUBSTITUTE(TRIM($K496),"-","")," ",""),마스터시트!$A$2:$H$1946,4,FALSE),""))</f>
        <v/>
      </c>
      <c r="P496" s="18" t="str">
        <f>IF($K496="","",IFERROR(VLOOKUP(--SUBSTITUTE(SUBSTITUTE(TRIM($K496),"-","")," ",""),마스터시트!$A$2:$H$1946,5,FALSE),""))</f>
        <v/>
      </c>
      <c r="Q496" s="18" t="str">
        <f>IF($K496="","",IFERROR(VLOOKUP(--SUBSTITUTE(SUBSTITUTE(TRIM($K496),"-","")," ",""),마스터시트!$A$2:$H$1946,6,FALSE),""))</f>
        <v/>
      </c>
      <c r="R496" s="18" t="str">
        <f>IF($K496="","",IFERROR(VLOOKUP(--SUBSTITUTE(SUBSTITUTE(TRIM($K496),"-","")," ",""),마스터시트!$A$2:$H$1946,7,FALSE),""))</f>
        <v/>
      </c>
    </row>
    <row r="497" spans="13:18" x14ac:dyDescent="0.3">
      <c r="M497" s="18" t="str">
        <f>IF($K497="","",IFERROR(VLOOKUP(--SUBSTITUTE(SUBSTITUTE(TRIM($K497),"-","")," ",""),마스터시트!$A$2:$H$1946,2,FALSE),"미등록"))</f>
        <v/>
      </c>
      <c r="N497" s="53" t="str">
        <f>IF($K497="","",IFERROR(VLOOKUP(--SUBSTITUTE(SUBSTITUTE(TRIM($K497),"-","")," ",""),마스터시트!$A$2:$H$1946,3,FALSE),"미등록"))</f>
        <v/>
      </c>
      <c r="O497" s="18" t="str">
        <f>IF($K497="","",IFERROR(VLOOKUP(--SUBSTITUTE(SUBSTITUTE(TRIM($K497),"-","")," ",""),마스터시트!$A$2:$H$1946,4,FALSE),""))</f>
        <v/>
      </c>
      <c r="P497" s="18" t="str">
        <f>IF($K497="","",IFERROR(VLOOKUP(--SUBSTITUTE(SUBSTITUTE(TRIM($K497),"-","")," ",""),마스터시트!$A$2:$H$1946,5,FALSE),""))</f>
        <v/>
      </c>
      <c r="Q497" s="18" t="str">
        <f>IF($K497="","",IFERROR(VLOOKUP(--SUBSTITUTE(SUBSTITUTE(TRIM($K497),"-","")," ",""),마스터시트!$A$2:$H$1946,6,FALSE),""))</f>
        <v/>
      </c>
      <c r="R497" s="18" t="str">
        <f>IF($K497="","",IFERROR(VLOOKUP(--SUBSTITUTE(SUBSTITUTE(TRIM($K497),"-","")," ",""),마스터시트!$A$2:$H$1946,7,FALSE),""))</f>
        <v/>
      </c>
    </row>
    <row r="498" spans="13:18" x14ac:dyDescent="0.3">
      <c r="M498" s="18" t="str">
        <f>IF($K498="","",IFERROR(VLOOKUP(--SUBSTITUTE(SUBSTITUTE(TRIM($K498),"-","")," ",""),마스터시트!$A$2:$H$1946,2,FALSE),"미등록"))</f>
        <v/>
      </c>
      <c r="N498" s="53" t="str">
        <f>IF($K498="","",IFERROR(VLOOKUP(--SUBSTITUTE(SUBSTITUTE(TRIM($K498),"-","")," ",""),마스터시트!$A$2:$H$1946,3,FALSE),"미등록"))</f>
        <v/>
      </c>
      <c r="O498" s="18" t="str">
        <f>IF($K498="","",IFERROR(VLOOKUP(--SUBSTITUTE(SUBSTITUTE(TRIM($K498),"-","")," ",""),마스터시트!$A$2:$H$1946,4,FALSE),""))</f>
        <v/>
      </c>
      <c r="P498" s="18" t="str">
        <f>IF($K498="","",IFERROR(VLOOKUP(--SUBSTITUTE(SUBSTITUTE(TRIM($K498),"-","")," ",""),마스터시트!$A$2:$H$1946,5,FALSE),""))</f>
        <v/>
      </c>
      <c r="Q498" s="18" t="str">
        <f>IF($K498="","",IFERROR(VLOOKUP(--SUBSTITUTE(SUBSTITUTE(TRIM($K498),"-","")," ",""),마스터시트!$A$2:$H$1946,6,FALSE),""))</f>
        <v/>
      </c>
      <c r="R498" s="18" t="str">
        <f>IF($K498="","",IFERROR(VLOOKUP(--SUBSTITUTE(SUBSTITUTE(TRIM($K498),"-","")," ",""),마스터시트!$A$2:$H$1946,7,FALSE),""))</f>
        <v/>
      </c>
    </row>
    <row r="499" spans="13:18" x14ac:dyDescent="0.3">
      <c r="M499" s="18" t="str">
        <f>IF($K499="","",IFERROR(VLOOKUP(--SUBSTITUTE(SUBSTITUTE(TRIM($K499),"-","")," ",""),마스터시트!$A$2:$H$1946,2,FALSE),"미등록"))</f>
        <v/>
      </c>
      <c r="N499" s="53" t="str">
        <f>IF($K499="","",IFERROR(VLOOKUP(--SUBSTITUTE(SUBSTITUTE(TRIM($K499),"-","")," ",""),마스터시트!$A$2:$H$1946,3,FALSE),"미등록"))</f>
        <v/>
      </c>
      <c r="O499" s="18" t="str">
        <f>IF($K499="","",IFERROR(VLOOKUP(--SUBSTITUTE(SUBSTITUTE(TRIM($K499),"-","")," ",""),마스터시트!$A$2:$H$1946,4,FALSE),""))</f>
        <v/>
      </c>
      <c r="P499" s="18" t="str">
        <f>IF($K499="","",IFERROR(VLOOKUP(--SUBSTITUTE(SUBSTITUTE(TRIM($K499),"-","")," ",""),마스터시트!$A$2:$H$1946,5,FALSE),""))</f>
        <v/>
      </c>
      <c r="Q499" s="18" t="str">
        <f>IF($K499="","",IFERROR(VLOOKUP(--SUBSTITUTE(SUBSTITUTE(TRIM($K499),"-","")," ",""),마스터시트!$A$2:$H$1946,6,FALSE),""))</f>
        <v/>
      </c>
      <c r="R499" s="18" t="str">
        <f>IF($K499="","",IFERROR(VLOOKUP(--SUBSTITUTE(SUBSTITUTE(TRIM($K499),"-","")," ",""),마스터시트!$A$2:$H$1946,7,FALSE),""))</f>
        <v/>
      </c>
    </row>
    <row r="500" spans="13:18" x14ac:dyDescent="0.3">
      <c r="M500" s="18" t="str">
        <f>IF($K500="","",IFERROR(VLOOKUP(--SUBSTITUTE(SUBSTITUTE(TRIM($K500),"-","")," ",""),마스터시트!$A$2:$H$1946,2,FALSE),"미등록"))</f>
        <v/>
      </c>
      <c r="N500" s="53" t="str">
        <f>IF($K500="","",IFERROR(VLOOKUP(--SUBSTITUTE(SUBSTITUTE(TRIM($K500),"-","")," ",""),마스터시트!$A$2:$H$1946,3,FALSE),"미등록"))</f>
        <v/>
      </c>
      <c r="O500" s="18" t="str">
        <f>IF($K500="","",IFERROR(VLOOKUP(--SUBSTITUTE(SUBSTITUTE(TRIM($K500),"-","")," ",""),마스터시트!$A$2:$H$1946,4,FALSE),""))</f>
        <v/>
      </c>
      <c r="P500" s="18" t="str">
        <f>IF($K500="","",IFERROR(VLOOKUP(--SUBSTITUTE(SUBSTITUTE(TRIM($K500),"-","")," ",""),마스터시트!$A$2:$H$1946,5,FALSE),""))</f>
        <v/>
      </c>
      <c r="Q500" s="18" t="str">
        <f>IF($K500="","",IFERROR(VLOOKUP(--SUBSTITUTE(SUBSTITUTE(TRIM($K500),"-","")," ",""),마스터시트!$A$2:$H$1946,6,FALSE),""))</f>
        <v/>
      </c>
      <c r="R500" s="18" t="str">
        <f>IF($K500="","",IFERROR(VLOOKUP(--SUBSTITUTE(SUBSTITUTE(TRIM($K500),"-","")," ",""),마스터시트!$A$2:$H$1946,7,FALSE),""))</f>
        <v/>
      </c>
    </row>
    <row r="501" spans="13:18" x14ac:dyDescent="0.3">
      <c r="M501" s="18" t="str">
        <f>IF($K501="","",IFERROR(VLOOKUP(--SUBSTITUTE(SUBSTITUTE(TRIM($K501),"-","")," ",""),마스터시트!$A$2:$H$1946,2,FALSE),"미등록"))</f>
        <v/>
      </c>
      <c r="N501" s="53" t="str">
        <f>IF($K501="","",IFERROR(VLOOKUP(--SUBSTITUTE(SUBSTITUTE(TRIM($K501),"-","")," ",""),마스터시트!$A$2:$H$1946,3,FALSE),"미등록"))</f>
        <v/>
      </c>
      <c r="O501" s="18" t="str">
        <f>IF($K501="","",IFERROR(VLOOKUP(--SUBSTITUTE(SUBSTITUTE(TRIM($K501),"-","")," ",""),마스터시트!$A$2:$H$1946,4,FALSE),""))</f>
        <v/>
      </c>
      <c r="P501" s="18" t="str">
        <f>IF($K501="","",IFERROR(VLOOKUP(--SUBSTITUTE(SUBSTITUTE(TRIM($K501),"-","")," ",""),마스터시트!$A$2:$H$1946,5,FALSE),""))</f>
        <v/>
      </c>
      <c r="Q501" s="18" t="str">
        <f>IF($K501="","",IFERROR(VLOOKUP(--SUBSTITUTE(SUBSTITUTE(TRIM($K501),"-","")," ",""),마스터시트!$A$2:$H$1946,6,FALSE),""))</f>
        <v/>
      </c>
      <c r="R501" s="18" t="str">
        <f>IF($K501="","",IFERROR(VLOOKUP(--SUBSTITUTE(SUBSTITUTE(TRIM($K501),"-","")," ",""),마스터시트!$A$2:$H$1946,7,FALSE),""))</f>
        <v/>
      </c>
    </row>
    <row r="502" spans="13:18" x14ac:dyDescent="0.3">
      <c r="M502" s="18" t="str">
        <f>IF($K502="","",IFERROR(VLOOKUP(--SUBSTITUTE(SUBSTITUTE(TRIM($K502),"-","")," ",""),마스터시트!$A$2:$H$1946,2,FALSE),"미등록"))</f>
        <v/>
      </c>
      <c r="N502" s="53" t="str">
        <f>IF($K502="","",IFERROR(VLOOKUP(--SUBSTITUTE(SUBSTITUTE(TRIM($K502),"-","")," ",""),마스터시트!$A$2:$H$1946,3,FALSE),"미등록"))</f>
        <v/>
      </c>
      <c r="O502" s="18" t="str">
        <f>IF($K502="","",IFERROR(VLOOKUP(--SUBSTITUTE(SUBSTITUTE(TRIM($K502),"-","")," ",""),마스터시트!$A$2:$H$1946,4,FALSE),""))</f>
        <v/>
      </c>
      <c r="P502" s="18" t="str">
        <f>IF($K502="","",IFERROR(VLOOKUP(--SUBSTITUTE(SUBSTITUTE(TRIM($K502),"-","")," ",""),마스터시트!$A$2:$H$1946,5,FALSE),""))</f>
        <v/>
      </c>
      <c r="Q502" s="18" t="str">
        <f>IF($K502="","",IFERROR(VLOOKUP(--SUBSTITUTE(SUBSTITUTE(TRIM($K502),"-","")," ",""),마스터시트!$A$2:$H$1946,6,FALSE),""))</f>
        <v/>
      </c>
      <c r="R502" s="18" t="str">
        <f>IF($K502="","",IFERROR(VLOOKUP(--SUBSTITUTE(SUBSTITUTE(TRIM($K502),"-","")," ",""),마스터시트!$A$2:$H$1946,7,FALSE),""))</f>
        <v/>
      </c>
    </row>
    <row r="503" spans="13:18" x14ac:dyDescent="0.3">
      <c r="M503" s="18" t="str">
        <f>IF($K503="","",IFERROR(VLOOKUP(--SUBSTITUTE(SUBSTITUTE(TRIM($K503),"-","")," ",""),마스터시트!$A$2:$H$1946,2,FALSE),"미등록"))</f>
        <v/>
      </c>
      <c r="N503" s="53" t="str">
        <f>IF($K503="","",IFERROR(VLOOKUP(--SUBSTITUTE(SUBSTITUTE(TRIM($K503),"-","")," ",""),마스터시트!$A$2:$H$1946,3,FALSE),"미등록"))</f>
        <v/>
      </c>
      <c r="O503" s="18" t="str">
        <f>IF($K503="","",IFERROR(VLOOKUP(--SUBSTITUTE(SUBSTITUTE(TRIM($K503),"-","")," ",""),마스터시트!$A$2:$H$1946,4,FALSE),""))</f>
        <v/>
      </c>
      <c r="P503" s="18" t="str">
        <f>IF($K503="","",IFERROR(VLOOKUP(--SUBSTITUTE(SUBSTITUTE(TRIM($K503),"-","")," ",""),마스터시트!$A$2:$H$1946,5,FALSE),""))</f>
        <v/>
      </c>
      <c r="Q503" s="18" t="str">
        <f>IF($K503="","",IFERROR(VLOOKUP(--SUBSTITUTE(SUBSTITUTE(TRIM($K503),"-","")," ",""),마스터시트!$A$2:$H$1946,6,FALSE),""))</f>
        <v/>
      </c>
      <c r="R503" s="18" t="str">
        <f>IF($K503="","",IFERROR(VLOOKUP(--SUBSTITUTE(SUBSTITUTE(TRIM($K503),"-","")," ",""),마스터시트!$A$2:$H$1946,7,FALSE),""))</f>
        <v/>
      </c>
    </row>
    <row r="504" spans="13:18" x14ac:dyDescent="0.3">
      <c r="M504" s="18" t="str">
        <f>IF($K504="","",IFERROR(VLOOKUP(--SUBSTITUTE(SUBSTITUTE(TRIM($K504),"-","")," ",""),마스터시트!$A$2:$H$1946,2,FALSE),"미등록"))</f>
        <v/>
      </c>
      <c r="N504" s="53" t="str">
        <f>IF($K504="","",IFERROR(VLOOKUP(--SUBSTITUTE(SUBSTITUTE(TRIM($K504),"-","")," ",""),마스터시트!$A$2:$H$1946,3,FALSE),"미등록"))</f>
        <v/>
      </c>
      <c r="O504" s="18" t="str">
        <f>IF($K504="","",IFERROR(VLOOKUP(--SUBSTITUTE(SUBSTITUTE(TRIM($K504),"-","")," ",""),마스터시트!$A$2:$H$1946,4,FALSE),""))</f>
        <v/>
      </c>
      <c r="P504" s="18" t="str">
        <f>IF($K504="","",IFERROR(VLOOKUP(--SUBSTITUTE(SUBSTITUTE(TRIM($K504),"-","")," ",""),마스터시트!$A$2:$H$1946,5,FALSE),""))</f>
        <v/>
      </c>
      <c r="Q504" s="18" t="str">
        <f>IF($K504="","",IFERROR(VLOOKUP(--SUBSTITUTE(SUBSTITUTE(TRIM($K504),"-","")," ",""),마스터시트!$A$2:$H$1946,6,FALSE),""))</f>
        <v/>
      </c>
      <c r="R504" s="18" t="str">
        <f>IF($K504="","",IFERROR(VLOOKUP(--SUBSTITUTE(SUBSTITUTE(TRIM($K504),"-","")," ",""),마스터시트!$A$2:$H$1946,7,FALSE),""))</f>
        <v/>
      </c>
    </row>
    <row r="505" spans="13:18" x14ac:dyDescent="0.3">
      <c r="M505" s="18" t="str">
        <f>IF($K505="","",IFERROR(VLOOKUP(--SUBSTITUTE(SUBSTITUTE(TRIM($K505),"-","")," ",""),마스터시트!$A$2:$H$1946,2,FALSE),"미등록"))</f>
        <v/>
      </c>
      <c r="N505" s="53" t="str">
        <f>IF($K505="","",IFERROR(VLOOKUP(--SUBSTITUTE(SUBSTITUTE(TRIM($K505),"-","")," ",""),마스터시트!$A$2:$H$1946,3,FALSE),"미등록"))</f>
        <v/>
      </c>
      <c r="O505" s="18" t="str">
        <f>IF($K505="","",IFERROR(VLOOKUP(--SUBSTITUTE(SUBSTITUTE(TRIM($K505),"-","")," ",""),마스터시트!$A$2:$H$1946,4,FALSE),""))</f>
        <v/>
      </c>
      <c r="P505" s="18" t="str">
        <f>IF($K505="","",IFERROR(VLOOKUP(--SUBSTITUTE(SUBSTITUTE(TRIM($K505),"-","")," ",""),마스터시트!$A$2:$H$1946,5,FALSE),""))</f>
        <v/>
      </c>
      <c r="Q505" s="18" t="str">
        <f>IF($K505="","",IFERROR(VLOOKUP(--SUBSTITUTE(SUBSTITUTE(TRIM($K505),"-","")," ",""),마스터시트!$A$2:$H$1946,6,FALSE),""))</f>
        <v/>
      </c>
      <c r="R505" s="18" t="str">
        <f>IF($K505="","",IFERROR(VLOOKUP(--SUBSTITUTE(SUBSTITUTE(TRIM($K505),"-","")," ",""),마스터시트!$A$2:$H$1946,7,FALSE),""))</f>
        <v/>
      </c>
    </row>
    <row r="506" spans="13:18" x14ac:dyDescent="0.3">
      <c r="M506" s="18" t="str">
        <f>IF($K506="","",IFERROR(VLOOKUP(--SUBSTITUTE(SUBSTITUTE(TRIM($K506),"-","")," ",""),마스터시트!$A$2:$H$1946,2,FALSE),"미등록"))</f>
        <v/>
      </c>
      <c r="N506" s="53" t="str">
        <f>IF($K506="","",IFERROR(VLOOKUP(--SUBSTITUTE(SUBSTITUTE(TRIM($K506),"-","")," ",""),마스터시트!$A$2:$H$1946,3,FALSE),"미등록"))</f>
        <v/>
      </c>
      <c r="O506" s="18" t="str">
        <f>IF($K506="","",IFERROR(VLOOKUP(--SUBSTITUTE(SUBSTITUTE(TRIM($K506),"-","")," ",""),마스터시트!$A$2:$H$1946,4,FALSE),""))</f>
        <v/>
      </c>
      <c r="P506" s="18" t="str">
        <f>IF($K506="","",IFERROR(VLOOKUP(--SUBSTITUTE(SUBSTITUTE(TRIM($K506),"-","")," ",""),마스터시트!$A$2:$H$1946,5,FALSE),""))</f>
        <v/>
      </c>
      <c r="Q506" s="18" t="str">
        <f>IF($K506="","",IFERROR(VLOOKUP(--SUBSTITUTE(SUBSTITUTE(TRIM($K506),"-","")," ",""),마스터시트!$A$2:$H$1946,6,FALSE),""))</f>
        <v/>
      </c>
      <c r="R506" s="18" t="str">
        <f>IF($K506="","",IFERROR(VLOOKUP(--SUBSTITUTE(SUBSTITUTE(TRIM($K506),"-","")," ",""),마스터시트!$A$2:$H$1946,7,FALSE),""))</f>
        <v/>
      </c>
    </row>
    <row r="507" spans="13:18" x14ac:dyDescent="0.3">
      <c r="M507" s="18" t="str">
        <f>IF($K507="","",IFERROR(VLOOKUP(--SUBSTITUTE(SUBSTITUTE(TRIM($K507),"-","")," ",""),마스터시트!$A$2:$H$1946,2,FALSE),"미등록"))</f>
        <v/>
      </c>
      <c r="N507" s="53" t="str">
        <f>IF($K507="","",IFERROR(VLOOKUP(--SUBSTITUTE(SUBSTITUTE(TRIM($K507),"-","")," ",""),마스터시트!$A$2:$H$1946,3,FALSE),"미등록"))</f>
        <v/>
      </c>
      <c r="O507" s="18" t="str">
        <f>IF($K507="","",IFERROR(VLOOKUP(--SUBSTITUTE(SUBSTITUTE(TRIM($K507),"-","")," ",""),마스터시트!$A$2:$H$1946,4,FALSE),""))</f>
        <v/>
      </c>
      <c r="P507" s="18" t="str">
        <f>IF($K507="","",IFERROR(VLOOKUP(--SUBSTITUTE(SUBSTITUTE(TRIM($K507),"-","")," ",""),마스터시트!$A$2:$H$1946,5,FALSE),""))</f>
        <v/>
      </c>
      <c r="Q507" s="18" t="str">
        <f>IF($K507="","",IFERROR(VLOOKUP(--SUBSTITUTE(SUBSTITUTE(TRIM($K507),"-","")," ",""),마스터시트!$A$2:$H$1946,6,FALSE),""))</f>
        <v/>
      </c>
      <c r="R507" s="18" t="str">
        <f>IF($K507="","",IFERROR(VLOOKUP(--SUBSTITUTE(SUBSTITUTE(TRIM($K507),"-","")," ",""),마스터시트!$A$2:$H$1946,7,FALSE),""))</f>
        <v/>
      </c>
    </row>
    <row r="508" spans="13:18" x14ac:dyDescent="0.3">
      <c r="M508" s="18" t="str">
        <f>IF($K508="","",IFERROR(VLOOKUP(--SUBSTITUTE(SUBSTITUTE(TRIM($K508),"-","")," ",""),마스터시트!$A$2:$H$1946,2,FALSE),"미등록"))</f>
        <v/>
      </c>
      <c r="N508" s="53" t="str">
        <f>IF($K508="","",IFERROR(VLOOKUP(--SUBSTITUTE(SUBSTITUTE(TRIM($K508),"-","")," ",""),마스터시트!$A$2:$H$1946,3,FALSE),"미등록"))</f>
        <v/>
      </c>
      <c r="O508" s="18" t="str">
        <f>IF($K508="","",IFERROR(VLOOKUP(--SUBSTITUTE(SUBSTITUTE(TRIM($K508),"-","")," ",""),마스터시트!$A$2:$H$1946,4,FALSE),""))</f>
        <v/>
      </c>
      <c r="P508" s="18" t="str">
        <f>IF($K508="","",IFERROR(VLOOKUP(--SUBSTITUTE(SUBSTITUTE(TRIM($K508),"-","")," ",""),마스터시트!$A$2:$H$1946,5,FALSE),""))</f>
        <v/>
      </c>
      <c r="Q508" s="18" t="str">
        <f>IF($K508="","",IFERROR(VLOOKUP(--SUBSTITUTE(SUBSTITUTE(TRIM($K508),"-","")," ",""),마스터시트!$A$2:$H$1946,6,FALSE),""))</f>
        <v/>
      </c>
      <c r="R508" s="18" t="str">
        <f>IF($K508="","",IFERROR(VLOOKUP(--SUBSTITUTE(SUBSTITUTE(TRIM($K508),"-","")," ",""),마스터시트!$A$2:$H$1946,7,FALSE),""))</f>
        <v/>
      </c>
    </row>
    <row r="509" spans="13:18" x14ac:dyDescent="0.3">
      <c r="M509" s="18" t="str">
        <f>IF($K509="","",IFERROR(VLOOKUP(--SUBSTITUTE(SUBSTITUTE(TRIM($K509),"-","")," ",""),마스터시트!$A$2:$H$1946,2,FALSE),"미등록"))</f>
        <v/>
      </c>
      <c r="N509" s="53" t="str">
        <f>IF($K509="","",IFERROR(VLOOKUP(--SUBSTITUTE(SUBSTITUTE(TRIM($K509),"-","")," ",""),마스터시트!$A$2:$H$1946,3,FALSE),"미등록"))</f>
        <v/>
      </c>
      <c r="O509" s="18" t="str">
        <f>IF($K509="","",IFERROR(VLOOKUP(--SUBSTITUTE(SUBSTITUTE(TRIM($K509),"-","")," ",""),마스터시트!$A$2:$H$1946,4,FALSE),""))</f>
        <v/>
      </c>
      <c r="P509" s="18" t="str">
        <f>IF($K509="","",IFERROR(VLOOKUP(--SUBSTITUTE(SUBSTITUTE(TRIM($K509),"-","")," ",""),마스터시트!$A$2:$H$1946,5,FALSE),""))</f>
        <v/>
      </c>
      <c r="Q509" s="18" t="str">
        <f>IF($K509="","",IFERROR(VLOOKUP(--SUBSTITUTE(SUBSTITUTE(TRIM($K509),"-","")," ",""),마스터시트!$A$2:$H$1946,6,FALSE),""))</f>
        <v/>
      </c>
      <c r="R509" s="18" t="str">
        <f>IF($K509="","",IFERROR(VLOOKUP(--SUBSTITUTE(SUBSTITUTE(TRIM($K509),"-","")," ",""),마스터시트!$A$2:$H$1946,7,FALSE),""))</f>
        <v/>
      </c>
    </row>
    <row r="510" spans="13:18" x14ac:dyDescent="0.3">
      <c r="M510" s="18" t="str">
        <f>IF($K510="","",IFERROR(VLOOKUP(--SUBSTITUTE(SUBSTITUTE(TRIM($K510),"-","")," ",""),마스터시트!$A$2:$H$1946,2,FALSE),"미등록"))</f>
        <v/>
      </c>
      <c r="N510" s="53" t="str">
        <f>IF($K510="","",IFERROR(VLOOKUP(--SUBSTITUTE(SUBSTITUTE(TRIM($K510),"-","")," ",""),마스터시트!$A$2:$H$1946,3,FALSE),"미등록"))</f>
        <v/>
      </c>
      <c r="O510" s="18" t="str">
        <f>IF($K510="","",IFERROR(VLOOKUP(--SUBSTITUTE(SUBSTITUTE(TRIM($K510),"-","")," ",""),마스터시트!$A$2:$H$1946,4,FALSE),""))</f>
        <v/>
      </c>
      <c r="P510" s="18" t="str">
        <f>IF($K510="","",IFERROR(VLOOKUP(--SUBSTITUTE(SUBSTITUTE(TRIM($K510),"-","")," ",""),마스터시트!$A$2:$H$1946,5,FALSE),""))</f>
        <v/>
      </c>
      <c r="Q510" s="18" t="str">
        <f>IF($K510="","",IFERROR(VLOOKUP(--SUBSTITUTE(SUBSTITUTE(TRIM($K510),"-","")," ",""),마스터시트!$A$2:$H$1946,6,FALSE),""))</f>
        <v/>
      </c>
      <c r="R510" s="18" t="str">
        <f>IF($K510="","",IFERROR(VLOOKUP(--SUBSTITUTE(SUBSTITUTE(TRIM($K510),"-","")," ",""),마스터시트!$A$2:$H$1946,7,FALSE),""))</f>
        <v/>
      </c>
    </row>
    <row r="511" spans="13:18" x14ac:dyDescent="0.3">
      <c r="M511" s="18" t="str">
        <f>IF($K511="","",IFERROR(VLOOKUP(--SUBSTITUTE(SUBSTITUTE(TRIM($K511),"-","")," ",""),마스터시트!$A$2:$H$1946,2,FALSE),"미등록"))</f>
        <v/>
      </c>
      <c r="N511" s="53" t="str">
        <f>IF($K511="","",IFERROR(VLOOKUP(--SUBSTITUTE(SUBSTITUTE(TRIM($K511),"-","")," ",""),마스터시트!$A$2:$H$1946,3,FALSE),"미등록"))</f>
        <v/>
      </c>
      <c r="O511" s="18" t="str">
        <f>IF($K511="","",IFERROR(VLOOKUP(--SUBSTITUTE(SUBSTITUTE(TRIM($K511),"-","")," ",""),마스터시트!$A$2:$H$1946,4,FALSE),""))</f>
        <v/>
      </c>
      <c r="P511" s="18" t="str">
        <f>IF($K511="","",IFERROR(VLOOKUP(--SUBSTITUTE(SUBSTITUTE(TRIM($K511),"-","")," ",""),마스터시트!$A$2:$H$1946,5,FALSE),""))</f>
        <v/>
      </c>
      <c r="Q511" s="18" t="str">
        <f>IF($K511="","",IFERROR(VLOOKUP(--SUBSTITUTE(SUBSTITUTE(TRIM($K511),"-","")," ",""),마스터시트!$A$2:$H$1946,6,FALSE),""))</f>
        <v/>
      </c>
      <c r="R511" s="18" t="str">
        <f>IF($K511="","",IFERROR(VLOOKUP(--SUBSTITUTE(SUBSTITUTE(TRIM($K511),"-","")," ",""),마스터시트!$A$2:$H$1946,7,FALSE),""))</f>
        <v/>
      </c>
    </row>
    <row r="512" spans="13:18" x14ac:dyDescent="0.3">
      <c r="M512" s="18" t="str">
        <f>IF($K512="","",IFERROR(VLOOKUP(--SUBSTITUTE(SUBSTITUTE(TRIM($K512),"-","")," ",""),마스터시트!$A$2:$H$1946,2,FALSE),"미등록"))</f>
        <v/>
      </c>
      <c r="N512" s="53" t="str">
        <f>IF($K512="","",IFERROR(VLOOKUP(--SUBSTITUTE(SUBSTITUTE(TRIM($K512),"-","")," ",""),마스터시트!$A$2:$H$1946,3,FALSE),"미등록"))</f>
        <v/>
      </c>
      <c r="O512" s="18" t="str">
        <f>IF($K512="","",IFERROR(VLOOKUP(--SUBSTITUTE(SUBSTITUTE(TRIM($K512),"-","")," ",""),마스터시트!$A$2:$H$1946,4,FALSE),""))</f>
        <v/>
      </c>
      <c r="P512" s="18" t="str">
        <f>IF($K512="","",IFERROR(VLOOKUP(--SUBSTITUTE(SUBSTITUTE(TRIM($K512),"-","")," ",""),마스터시트!$A$2:$H$1946,5,FALSE),""))</f>
        <v/>
      </c>
      <c r="Q512" s="18" t="str">
        <f>IF($K512="","",IFERROR(VLOOKUP(--SUBSTITUTE(SUBSTITUTE(TRIM($K512),"-","")," ",""),마스터시트!$A$2:$H$1946,6,FALSE),""))</f>
        <v/>
      </c>
      <c r="R512" s="18" t="str">
        <f>IF($K512="","",IFERROR(VLOOKUP(--SUBSTITUTE(SUBSTITUTE(TRIM($K512),"-","")," ",""),마스터시트!$A$2:$H$1946,7,FALSE),""))</f>
        <v/>
      </c>
    </row>
    <row r="513" spans="13:18" x14ac:dyDescent="0.3">
      <c r="M513" s="18" t="str">
        <f>IF($K513="","",IFERROR(VLOOKUP(--SUBSTITUTE(SUBSTITUTE(TRIM($K513),"-","")," ",""),마스터시트!$A$2:$H$1946,2,FALSE),"미등록"))</f>
        <v/>
      </c>
      <c r="N513" s="53" t="str">
        <f>IF($K513="","",IFERROR(VLOOKUP(--SUBSTITUTE(SUBSTITUTE(TRIM($K513),"-","")," ",""),마스터시트!$A$2:$H$1946,3,FALSE),"미등록"))</f>
        <v/>
      </c>
      <c r="O513" s="18" t="str">
        <f>IF($K513="","",IFERROR(VLOOKUP(--SUBSTITUTE(SUBSTITUTE(TRIM($K513),"-","")," ",""),마스터시트!$A$2:$H$1946,4,FALSE),""))</f>
        <v/>
      </c>
      <c r="P513" s="18" t="str">
        <f>IF($K513="","",IFERROR(VLOOKUP(--SUBSTITUTE(SUBSTITUTE(TRIM($K513),"-","")," ",""),마스터시트!$A$2:$H$1946,5,FALSE),""))</f>
        <v/>
      </c>
      <c r="Q513" s="18" t="str">
        <f>IF($K513="","",IFERROR(VLOOKUP(--SUBSTITUTE(SUBSTITUTE(TRIM($K513),"-","")," ",""),마스터시트!$A$2:$H$1946,6,FALSE),""))</f>
        <v/>
      </c>
      <c r="R513" s="18" t="str">
        <f>IF($K513="","",IFERROR(VLOOKUP(--SUBSTITUTE(SUBSTITUTE(TRIM($K513),"-","")," ",""),마스터시트!$A$2:$H$1946,7,FALSE),""))</f>
        <v/>
      </c>
    </row>
    <row r="514" spans="13:18" x14ac:dyDescent="0.3">
      <c r="M514" s="18" t="str">
        <f>IF($K514="","",IFERROR(VLOOKUP(--SUBSTITUTE(SUBSTITUTE(TRIM($K514),"-","")," ",""),마스터시트!$A$2:$H$1946,2,FALSE),"미등록"))</f>
        <v/>
      </c>
      <c r="N514" s="53" t="str">
        <f>IF($K514="","",IFERROR(VLOOKUP(--SUBSTITUTE(SUBSTITUTE(TRIM($K514),"-","")," ",""),마스터시트!$A$2:$H$1946,3,FALSE),"미등록"))</f>
        <v/>
      </c>
      <c r="O514" s="18" t="str">
        <f>IF($K514="","",IFERROR(VLOOKUP(--SUBSTITUTE(SUBSTITUTE(TRIM($K514),"-","")," ",""),마스터시트!$A$2:$H$1946,4,FALSE),""))</f>
        <v/>
      </c>
      <c r="P514" s="18" t="str">
        <f>IF($K514="","",IFERROR(VLOOKUP(--SUBSTITUTE(SUBSTITUTE(TRIM($K514),"-","")," ",""),마스터시트!$A$2:$H$1946,5,FALSE),""))</f>
        <v/>
      </c>
      <c r="Q514" s="18" t="str">
        <f>IF($K514="","",IFERROR(VLOOKUP(--SUBSTITUTE(SUBSTITUTE(TRIM($K514),"-","")," ",""),마스터시트!$A$2:$H$1946,6,FALSE),""))</f>
        <v/>
      </c>
      <c r="R514" s="18" t="str">
        <f>IF($K514="","",IFERROR(VLOOKUP(--SUBSTITUTE(SUBSTITUTE(TRIM($K514),"-","")," ",""),마스터시트!$A$2:$H$1946,7,FALSE),""))</f>
        <v/>
      </c>
    </row>
    <row r="515" spans="13:18" x14ac:dyDescent="0.3">
      <c r="M515" s="18" t="str">
        <f>IF($K515="","",IFERROR(VLOOKUP(--SUBSTITUTE(SUBSTITUTE(TRIM($K515),"-","")," ",""),마스터시트!$A$2:$H$1946,2,FALSE),"미등록"))</f>
        <v/>
      </c>
      <c r="N515" s="53" t="str">
        <f>IF($K515="","",IFERROR(VLOOKUP(--SUBSTITUTE(SUBSTITUTE(TRIM($K515),"-","")," ",""),마스터시트!$A$2:$H$1946,3,FALSE),"미등록"))</f>
        <v/>
      </c>
      <c r="O515" s="18" t="str">
        <f>IF($K515="","",IFERROR(VLOOKUP(--SUBSTITUTE(SUBSTITUTE(TRIM($K515),"-","")," ",""),마스터시트!$A$2:$H$1946,4,FALSE),""))</f>
        <v/>
      </c>
      <c r="P515" s="18" t="str">
        <f>IF($K515="","",IFERROR(VLOOKUP(--SUBSTITUTE(SUBSTITUTE(TRIM($K515),"-","")," ",""),마스터시트!$A$2:$H$1946,5,FALSE),""))</f>
        <v/>
      </c>
      <c r="Q515" s="18" t="str">
        <f>IF($K515="","",IFERROR(VLOOKUP(--SUBSTITUTE(SUBSTITUTE(TRIM($K515),"-","")," ",""),마스터시트!$A$2:$H$1946,6,FALSE),""))</f>
        <v/>
      </c>
      <c r="R515" s="18" t="str">
        <f>IF($K515="","",IFERROR(VLOOKUP(--SUBSTITUTE(SUBSTITUTE(TRIM($K515),"-","")," ",""),마스터시트!$A$2:$H$1946,7,FALSE),""))</f>
        <v/>
      </c>
    </row>
    <row r="516" spans="13:18" x14ac:dyDescent="0.3">
      <c r="M516" s="18" t="str">
        <f>IF($K516="","",IFERROR(VLOOKUP(--SUBSTITUTE(SUBSTITUTE(TRIM($K516),"-","")," ",""),마스터시트!$A$2:$H$1946,2,FALSE),"미등록"))</f>
        <v/>
      </c>
      <c r="N516" s="53" t="str">
        <f>IF($K516="","",IFERROR(VLOOKUP(--SUBSTITUTE(SUBSTITUTE(TRIM($K516),"-","")," ",""),마스터시트!$A$2:$H$1946,3,FALSE),"미등록"))</f>
        <v/>
      </c>
      <c r="O516" s="18" t="str">
        <f>IF($K516="","",IFERROR(VLOOKUP(--SUBSTITUTE(SUBSTITUTE(TRIM($K516),"-","")," ",""),마스터시트!$A$2:$H$1946,4,FALSE),""))</f>
        <v/>
      </c>
      <c r="P516" s="18" t="str">
        <f>IF($K516="","",IFERROR(VLOOKUP(--SUBSTITUTE(SUBSTITUTE(TRIM($K516),"-","")," ",""),마스터시트!$A$2:$H$1946,5,FALSE),""))</f>
        <v/>
      </c>
      <c r="Q516" s="18" t="str">
        <f>IF($K516="","",IFERROR(VLOOKUP(--SUBSTITUTE(SUBSTITUTE(TRIM($K516),"-","")," ",""),마스터시트!$A$2:$H$1946,6,FALSE),""))</f>
        <v/>
      </c>
      <c r="R516" s="18" t="str">
        <f>IF($K516="","",IFERROR(VLOOKUP(--SUBSTITUTE(SUBSTITUTE(TRIM($K516),"-","")," ",""),마스터시트!$A$2:$H$1946,7,FALSE),""))</f>
        <v/>
      </c>
    </row>
    <row r="517" spans="13:18" x14ac:dyDescent="0.3">
      <c r="M517" s="18" t="str">
        <f>IF($K517="","",IFERROR(VLOOKUP(--SUBSTITUTE(SUBSTITUTE(TRIM($K517),"-","")," ",""),마스터시트!$A$2:$H$1946,2,FALSE),"미등록"))</f>
        <v/>
      </c>
      <c r="N517" s="53" t="str">
        <f>IF($K517="","",IFERROR(VLOOKUP(--SUBSTITUTE(SUBSTITUTE(TRIM($K517),"-","")," ",""),마스터시트!$A$2:$H$1946,3,FALSE),"미등록"))</f>
        <v/>
      </c>
      <c r="O517" s="18" t="str">
        <f>IF($K517="","",IFERROR(VLOOKUP(--SUBSTITUTE(SUBSTITUTE(TRIM($K517),"-","")," ",""),마스터시트!$A$2:$H$1946,4,FALSE),""))</f>
        <v/>
      </c>
      <c r="P517" s="18" t="str">
        <f>IF($K517="","",IFERROR(VLOOKUP(--SUBSTITUTE(SUBSTITUTE(TRIM($K517),"-","")," ",""),마스터시트!$A$2:$H$1946,5,FALSE),""))</f>
        <v/>
      </c>
      <c r="Q517" s="18" t="str">
        <f>IF($K517="","",IFERROR(VLOOKUP(--SUBSTITUTE(SUBSTITUTE(TRIM($K517),"-","")," ",""),마스터시트!$A$2:$H$1946,6,FALSE),""))</f>
        <v/>
      </c>
      <c r="R517" s="18" t="str">
        <f>IF($K517="","",IFERROR(VLOOKUP(--SUBSTITUTE(SUBSTITUTE(TRIM($K517),"-","")," ",""),마스터시트!$A$2:$H$1946,7,FALSE),""))</f>
        <v/>
      </c>
    </row>
    <row r="518" spans="13:18" x14ac:dyDescent="0.3">
      <c r="M518" s="18" t="str">
        <f>IF($K518="","",IFERROR(VLOOKUP(--SUBSTITUTE(SUBSTITUTE(TRIM($K518),"-","")," ",""),마스터시트!$A$2:$H$1946,2,FALSE),"미등록"))</f>
        <v/>
      </c>
      <c r="N518" s="53" t="str">
        <f>IF($K518="","",IFERROR(VLOOKUP(--SUBSTITUTE(SUBSTITUTE(TRIM($K518),"-","")," ",""),마스터시트!$A$2:$H$1946,3,FALSE),"미등록"))</f>
        <v/>
      </c>
      <c r="O518" s="18" t="str">
        <f>IF($K518="","",IFERROR(VLOOKUP(--SUBSTITUTE(SUBSTITUTE(TRIM($K518),"-","")," ",""),마스터시트!$A$2:$H$1946,4,FALSE),""))</f>
        <v/>
      </c>
      <c r="P518" s="18" t="str">
        <f>IF($K518="","",IFERROR(VLOOKUP(--SUBSTITUTE(SUBSTITUTE(TRIM($K518),"-","")," ",""),마스터시트!$A$2:$H$1946,5,FALSE),""))</f>
        <v/>
      </c>
      <c r="Q518" s="18" t="str">
        <f>IF($K518="","",IFERROR(VLOOKUP(--SUBSTITUTE(SUBSTITUTE(TRIM($K518),"-","")," ",""),마스터시트!$A$2:$H$1946,6,FALSE),""))</f>
        <v/>
      </c>
      <c r="R518" s="18" t="str">
        <f>IF($K518="","",IFERROR(VLOOKUP(--SUBSTITUTE(SUBSTITUTE(TRIM($K518),"-","")," ",""),마스터시트!$A$2:$H$1946,7,FALSE),""))</f>
        <v/>
      </c>
    </row>
    <row r="519" spans="13:18" x14ac:dyDescent="0.3">
      <c r="M519" s="18" t="str">
        <f>IF($K519="","",IFERROR(VLOOKUP(--SUBSTITUTE(SUBSTITUTE(TRIM($K519),"-","")," ",""),마스터시트!$A$2:$H$1946,2,FALSE),"미등록"))</f>
        <v/>
      </c>
      <c r="N519" s="53" t="str">
        <f>IF($K519="","",IFERROR(VLOOKUP(--SUBSTITUTE(SUBSTITUTE(TRIM($K519),"-","")," ",""),마스터시트!$A$2:$H$1946,3,FALSE),"미등록"))</f>
        <v/>
      </c>
      <c r="O519" s="18" t="str">
        <f>IF($K519="","",IFERROR(VLOOKUP(--SUBSTITUTE(SUBSTITUTE(TRIM($K519),"-","")," ",""),마스터시트!$A$2:$H$1946,4,FALSE),""))</f>
        <v/>
      </c>
      <c r="P519" s="18" t="str">
        <f>IF($K519="","",IFERROR(VLOOKUP(--SUBSTITUTE(SUBSTITUTE(TRIM($K519),"-","")," ",""),마스터시트!$A$2:$H$1946,5,FALSE),""))</f>
        <v/>
      </c>
      <c r="Q519" s="18" t="str">
        <f>IF($K519="","",IFERROR(VLOOKUP(--SUBSTITUTE(SUBSTITUTE(TRIM($K519),"-","")," ",""),마스터시트!$A$2:$H$1946,6,FALSE),""))</f>
        <v/>
      </c>
      <c r="R519" s="18" t="str">
        <f>IF($K519="","",IFERROR(VLOOKUP(--SUBSTITUTE(SUBSTITUTE(TRIM($K519),"-","")," ",""),마스터시트!$A$2:$H$1946,7,FALSE),""))</f>
        <v/>
      </c>
    </row>
    <row r="520" spans="13:18" x14ac:dyDescent="0.3">
      <c r="M520" s="18" t="str">
        <f>IF($K520="","",IFERROR(VLOOKUP(--SUBSTITUTE(SUBSTITUTE(TRIM($K520),"-","")," ",""),마스터시트!$A$2:$H$1946,2,FALSE),"미등록"))</f>
        <v/>
      </c>
      <c r="N520" s="53" t="str">
        <f>IF($K520="","",IFERROR(VLOOKUP(--SUBSTITUTE(SUBSTITUTE(TRIM($K520),"-","")," ",""),마스터시트!$A$2:$H$1946,3,FALSE),"미등록"))</f>
        <v/>
      </c>
      <c r="O520" s="18" t="str">
        <f>IF($K520="","",IFERROR(VLOOKUP(--SUBSTITUTE(SUBSTITUTE(TRIM($K520),"-","")," ",""),마스터시트!$A$2:$H$1946,4,FALSE),""))</f>
        <v/>
      </c>
      <c r="P520" s="18" t="str">
        <f>IF($K520="","",IFERROR(VLOOKUP(--SUBSTITUTE(SUBSTITUTE(TRIM($K520),"-","")," ",""),마스터시트!$A$2:$H$1946,5,FALSE),""))</f>
        <v/>
      </c>
      <c r="Q520" s="18" t="str">
        <f>IF($K520="","",IFERROR(VLOOKUP(--SUBSTITUTE(SUBSTITUTE(TRIM($K520),"-","")," ",""),마스터시트!$A$2:$H$1946,6,FALSE),""))</f>
        <v/>
      </c>
      <c r="R520" s="18" t="str">
        <f>IF($K520="","",IFERROR(VLOOKUP(--SUBSTITUTE(SUBSTITUTE(TRIM($K520),"-","")," ",""),마스터시트!$A$2:$H$1946,7,FALSE),""))</f>
        <v/>
      </c>
    </row>
    <row r="521" spans="13:18" x14ac:dyDescent="0.3">
      <c r="M521" s="18" t="str">
        <f>IF($K521="","",IFERROR(VLOOKUP(--SUBSTITUTE(SUBSTITUTE(TRIM($K521),"-","")," ",""),마스터시트!$A$2:$H$1946,2,FALSE),"미등록"))</f>
        <v/>
      </c>
      <c r="N521" s="53" t="str">
        <f>IF($K521="","",IFERROR(VLOOKUP(--SUBSTITUTE(SUBSTITUTE(TRIM($K521),"-","")," ",""),마스터시트!$A$2:$H$1946,3,FALSE),"미등록"))</f>
        <v/>
      </c>
      <c r="O521" s="18" t="str">
        <f>IF($K521="","",IFERROR(VLOOKUP(--SUBSTITUTE(SUBSTITUTE(TRIM($K521),"-","")," ",""),마스터시트!$A$2:$H$1946,4,FALSE),""))</f>
        <v/>
      </c>
      <c r="P521" s="18" t="str">
        <f>IF($K521="","",IFERROR(VLOOKUP(--SUBSTITUTE(SUBSTITUTE(TRIM($K521),"-","")," ",""),마스터시트!$A$2:$H$1946,5,FALSE),""))</f>
        <v/>
      </c>
      <c r="Q521" s="18" t="str">
        <f>IF($K521="","",IFERROR(VLOOKUP(--SUBSTITUTE(SUBSTITUTE(TRIM($K521),"-","")," ",""),마스터시트!$A$2:$H$1946,6,FALSE),""))</f>
        <v/>
      </c>
      <c r="R521" s="18" t="str">
        <f>IF($K521="","",IFERROR(VLOOKUP(--SUBSTITUTE(SUBSTITUTE(TRIM($K521),"-","")," ",""),마스터시트!$A$2:$H$1946,7,FALSE),""))</f>
        <v/>
      </c>
    </row>
    <row r="522" spans="13:18" x14ac:dyDescent="0.3">
      <c r="M522" s="18" t="str">
        <f>IF($K522="","",IFERROR(VLOOKUP(--SUBSTITUTE(SUBSTITUTE(TRIM($K522),"-","")," ",""),마스터시트!$A$2:$H$1946,2,FALSE),"미등록"))</f>
        <v/>
      </c>
      <c r="N522" s="53" t="str">
        <f>IF($K522="","",IFERROR(VLOOKUP(--SUBSTITUTE(SUBSTITUTE(TRIM($K522),"-","")," ",""),마스터시트!$A$2:$H$1946,3,FALSE),"미등록"))</f>
        <v/>
      </c>
      <c r="O522" s="18" t="str">
        <f>IF($K522="","",IFERROR(VLOOKUP(--SUBSTITUTE(SUBSTITUTE(TRIM($K522),"-","")," ",""),마스터시트!$A$2:$H$1946,4,FALSE),""))</f>
        <v/>
      </c>
      <c r="P522" s="18" t="str">
        <f>IF($K522="","",IFERROR(VLOOKUP(--SUBSTITUTE(SUBSTITUTE(TRIM($K522),"-","")," ",""),마스터시트!$A$2:$H$1946,5,FALSE),""))</f>
        <v/>
      </c>
      <c r="Q522" s="18" t="str">
        <f>IF($K522="","",IFERROR(VLOOKUP(--SUBSTITUTE(SUBSTITUTE(TRIM($K522),"-","")," ",""),마스터시트!$A$2:$H$1946,6,FALSE),""))</f>
        <v/>
      </c>
      <c r="R522" s="18" t="str">
        <f>IF($K522="","",IFERROR(VLOOKUP(--SUBSTITUTE(SUBSTITUTE(TRIM($K522),"-","")," ",""),마스터시트!$A$2:$H$1946,7,FALSE),""))</f>
        <v/>
      </c>
    </row>
    <row r="523" spans="13:18" x14ac:dyDescent="0.3">
      <c r="M523" s="18" t="str">
        <f>IF($K523="","",IFERROR(VLOOKUP(--SUBSTITUTE(SUBSTITUTE(TRIM($K523),"-","")," ",""),마스터시트!$A$2:$H$1946,2,FALSE),"미등록"))</f>
        <v/>
      </c>
      <c r="N523" s="53" t="str">
        <f>IF($K523="","",IFERROR(VLOOKUP(--SUBSTITUTE(SUBSTITUTE(TRIM($K523),"-","")," ",""),마스터시트!$A$2:$H$1946,3,FALSE),"미등록"))</f>
        <v/>
      </c>
      <c r="O523" s="18" t="str">
        <f>IF($K523="","",IFERROR(VLOOKUP(--SUBSTITUTE(SUBSTITUTE(TRIM($K523),"-","")," ",""),마스터시트!$A$2:$H$1946,4,FALSE),""))</f>
        <v/>
      </c>
      <c r="P523" s="18" t="str">
        <f>IF($K523="","",IFERROR(VLOOKUP(--SUBSTITUTE(SUBSTITUTE(TRIM($K523),"-","")," ",""),마스터시트!$A$2:$H$1946,5,FALSE),""))</f>
        <v/>
      </c>
      <c r="Q523" s="18" t="str">
        <f>IF($K523="","",IFERROR(VLOOKUP(--SUBSTITUTE(SUBSTITUTE(TRIM($K523),"-","")," ",""),마스터시트!$A$2:$H$1946,6,FALSE),""))</f>
        <v/>
      </c>
      <c r="R523" s="18" t="str">
        <f>IF($K523="","",IFERROR(VLOOKUP(--SUBSTITUTE(SUBSTITUTE(TRIM($K523),"-","")," ",""),마스터시트!$A$2:$H$1946,7,FALSE),""))</f>
        <v/>
      </c>
    </row>
    <row r="524" spans="13:18" x14ac:dyDescent="0.3">
      <c r="M524" s="18" t="str">
        <f>IF($K524="","",IFERROR(VLOOKUP(--SUBSTITUTE(SUBSTITUTE(TRIM($K524),"-","")," ",""),마스터시트!$A$2:$H$1946,2,FALSE),"미등록"))</f>
        <v/>
      </c>
      <c r="N524" s="53" t="str">
        <f>IF($K524="","",IFERROR(VLOOKUP(--SUBSTITUTE(SUBSTITUTE(TRIM($K524),"-","")," ",""),마스터시트!$A$2:$H$1946,3,FALSE),"미등록"))</f>
        <v/>
      </c>
      <c r="O524" s="18" t="str">
        <f>IF($K524="","",IFERROR(VLOOKUP(--SUBSTITUTE(SUBSTITUTE(TRIM($K524),"-","")," ",""),마스터시트!$A$2:$H$1946,4,FALSE),""))</f>
        <v/>
      </c>
      <c r="P524" s="18" t="str">
        <f>IF($K524="","",IFERROR(VLOOKUP(--SUBSTITUTE(SUBSTITUTE(TRIM($K524),"-","")," ",""),마스터시트!$A$2:$H$1946,5,FALSE),""))</f>
        <v/>
      </c>
      <c r="Q524" s="18" t="str">
        <f>IF($K524="","",IFERROR(VLOOKUP(--SUBSTITUTE(SUBSTITUTE(TRIM($K524),"-","")," ",""),마스터시트!$A$2:$H$1946,6,FALSE),""))</f>
        <v/>
      </c>
      <c r="R524" s="18" t="str">
        <f>IF($K524="","",IFERROR(VLOOKUP(--SUBSTITUTE(SUBSTITUTE(TRIM($K524),"-","")," ",""),마스터시트!$A$2:$H$1946,7,FALSE),""))</f>
        <v/>
      </c>
    </row>
    <row r="525" spans="13:18" x14ac:dyDescent="0.3">
      <c r="M525" s="18" t="str">
        <f>IF($K525="","",IFERROR(VLOOKUP(--SUBSTITUTE(SUBSTITUTE(TRIM($K525),"-","")," ",""),마스터시트!$A$2:$H$1946,2,FALSE),"미등록"))</f>
        <v/>
      </c>
      <c r="N525" s="53" t="str">
        <f>IF($K525="","",IFERROR(VLOOKUP(--SUBSTITUTE(SUBSTITUTE(TRIM($K525),"-","")," ",""),마스터시트!$A$2:$H$1946,3,FALSE),"미등록"))</f>
        <v/>
      </c>
      <c r="O525" s="18" t="str">
        <f>IF($K525="","",IFERROR(VLOOKUP(--SUBSTITUTE(SUBSTITUTE(TRIM($K525),"-","")," ",""),마스터시트!$A$2:$H$1946,4,FALSE),""))</f>
        <v/>
      </c>
      <c r="P525" s="18" t="str">
        <f>IF($K525="","",IFERROR(VLOOKUP(--SUBSTITUTE(SUBSTITUTE(TRIM($K525),"-","")," ",""),마스터시트!$A$2:$H$1946,5,FALSE),""))</f>
        <v/>
      </c>
      <c r="Q525" s="18" t="str">
        <f>IF($K525="","",IFERROR(VLOOKUP(--SUBSTITUTE(SUBSTITUTE(TRIM($K525),"-","")," ",""),마스터시트!$A$2:$H$1946,6,FALSE),""))</f>
        <v/>
      </c>
      <c r="R525" s="18" t="str">
        <f>IF($K525="","",IFERROR(VLOOKUP(--SUBSTITUTE(SUBSTITUTE(TRIM($K525),"-","")," ",""),마스터시트!$A$2:$H$1946,7,FALSE),""))</f>
        <v/>
      </c>
    </row>
    <row r="526" spans="13:18" x14ac:dyDescent="0.3">
      <c r="M526" s="18" t="str">
        <f>IF($K526="","",IFERROR(VLOOKUP(--SUBSTITUTE(SUBSTITUTE(TRIM($K526),"-","")," ",""),마스터시트!$A$2:$H$1946,2,FALSE),"미등록"))</f>
        <v/>
      </c>
      <c r="N526" s="53" t="str">
        <f>IF($K526="","",IFERROR(VLOOKUP(--SUBSTITUTE(SUBSTITUTE(TRIM($K526),"-","")," ",""),마스터시트!$A$2:$H$1946,3,FALSE),"미등록"))</f>
        <v/>
      </c>
      <c r="O526" s="18" t="str">
        <f>IF($K526="","",IFERROR(VLOOKUP(--SUBSTITUTE(SUBSTITUTE(TRIM($K526),"-","")," ",""),마스터시트!$A$2:$H$1946,4,FALSE),""))</f>
        <v/>
      </c>
      <c r="P526" s="18" t="str">
        <f>IF($K526="","",IFERROR(VLOOKUP(--SUBSTITUTE(SUBSTITUTE(TRIM($K526),"-","")," ",""),마스터시트!$A$2:$H$1946,5,FALSE),""))</f>
        <v/>
      </c>
      <c r="Q526" s="18" t="str">
        <f>IF($K526="","",IFERROR(VLOOKUP(--SUBSTITUTE(SUBSTITUTE(TRIM($K526),"-","")," ",""),마스터시트!$A$2:$H$1946,6,FALSE),""))</f>
        <v/>
      </c>
      <c r="R526" s="18" t="str">
        <f>IF($K526="","",IFERROR(VLOOKUP(--SUBSTITUTE(SUBSTITUTE(TRIM($K526),"-","")," ",""),마스터시트!$A$2:$H$1946,7,FALSE),""))</f>
        <v/>
      </c>
    </row>
    <row r="527" spans="13:18" x14ac:dyDescent="0.3">
      <c r="M527" s="18" t="str">
        <f>IF($K527="","",IFERROR(VLOOKUP(--SUBSTITUTE(SUBSTITUTE(TRIM($K527),"-","")," ",""),마스터시트!$A$2:$H$1946,2,FALSE),"미등록"))</f>
        <v/>
      </c>
      <c r="N527" s="53" t="str">
        <f>IF($K527="","",IFERROR(VLOOKUP(--SUBSTITUTE(SUBSTITUTE(TRIM($K527),"-","")," ",""),마스터시트!$A$2:$H$1946,3,FALSE),"미등록"))</f>
        <v/>
      </c>
      <c r="O527" s="18" t="str">
        <f>IF($K527="","",IFERROR(VLOOKUP(--SUBSTITUTE(SUBSTITUTE(TRIM($K527),"-","")," ",""),마스터시트!$A$2:$H$1946,4,FALSE),""))</f>
        <v/>
      </c>
      <c r="P527" s="18" t="str">
        <f>IF($K527="","",IFERROR(VLOOKUP(--SUBSTITUTE(SUBSTITUTE(TRIM($K527),"-","")," ",""),마스터시트!$A$2:$H$1946,5,FALSE),""))</f>
        <v/>
      </c>
      <c r="Q527" s="18" t="str">
        <f>IF($K527="","",IFERROR(VLOOKUP(--SUBSTITUTE(SUBSTITUTE(TRIM($K527),"-","")," ",""),마스터시트!$A$2:$H$1946,6,FALSE),""))</f>
        <v/>
      </c>
      <c r="R527" s="18" t="str">
        <f>IF($K527="","",IFERROR(VLOOKUP(--SUBSTITUTE(SUBSTITUTE(TRIM($K527),"-","")," ",""),마스터시트!$A$2:$H$1946,7,FALSE),""))</f>
        <v/>
      </c>
    </row>
    <row r="528" spans="13:18" x14ac:dyDescent="0.3">
      <c r="M528" s="18" t="str">
        <f>IF($K528="","",IFERROR(VLOOKUP(--SUBSTITUTE(SUBSTITUTE(TRIM($K528),"-","")," ",""),마스터시트!$A$2:$H$1946,2,FALSE),"미등록"))</f>
        <v/>
      </c>
      <c r="N528" s="53" t="str">
        <f>IF($K528="","",IFERROR(VLOOKUP(--SUBSTITUTE(SUBSTITUTE(TRIM($K528),"-","")," ",""),마스터시트!$A$2:$H$1946,3,FALSE),"미등록"))</f>
        <v/>
      </c>
      <c r="O528" s="18" t="str">
        <f>IF($K528="","",IFERROR(VLOOKUP(--SUBSTITUTE(SUBSTITUTE(TRIM($K528),"-","")," ",""),마스터시트!$A$2:$H$1946,4,FALSE),""))</f>
        <v/>
      </c>
      <c r="P528" s="18" t="str">
        <f>IF($K528="","",IFERROR(VLOOKUP(--SUBSTITUTE(SUBSTITUTE(TRIM($K528),"-","")," ",""),마스터시트!$A$2:$H$1946,5,FALSE),""))</f>
        <v/>
      </c>
      <c r="Q528" s="18" t="str">
        <f>IF($K528="","",IFERROR(VLOOKUP(--SUBSTITUTE(SUBSTITUTE(TRIM($K528),"-","")," ",""),마스터시트!$A$2:$H$1946,6,FALSE),""))</f>
        <v/>
      </c>
      <c r="R528" s="18" t="str">
        <f>IF($K528="","",IFERROR(VLOOKUP(--SUBSTITUTE(SUBSTITUTE(TRIM($K528),"-","")," ",""),마스터시트!$A$2:$H$1946,7,FALSE),""))</f>
        <v/>
      </c>
    </row>
    <row r="529" spans="13:18" x14ac:dyDescent="0.3">
      <c r="M529" s="18" t="str">
        <f>IF($K529="","",IFERROR(VLOOKUP(--SUBSTITUTE(SUBSTITUTE(TRIM($K529),"-","")," ",""),마스터시트!$A$2:$H$1946,2,FALSE),"미등록"))</f>
        <v/>
      </c>
      <c r="N529" s="53" t="str">
        <f>IF($K529="","",IFERROR(VLOOKUP(--SUBSTITUTE(SUBSTITUTE(TRIM($K529),"-","")," ",""),마스터시트!$A$2:$H$1946,3,FALSE),"미등록"))</f>
        <v/>
      </c>
      <c r="O529" s="18" t="str">
        <f>IF($K529="","",IFERROR(VLOOKUP(--SUBSTITUTE(SUBSTITUTE(TRIM($K529),"-","")," ",""),마스터시트!$A$2:$H$1946,4,FALSE),""))</f>
        <v/>
      </c>
      <c r="P529" s="18" t="str">
        <f>IF($K529="","",IFERROR(VLOOKUP(--SUBSTITUTE(SUBSTITUTE(TRIM($K529),"-","")," ",""),마스터시트!$A$2:$H$1946,5,FALSE),""))</f>
        <v/>
      </c>
      <c r="Q529" s="18" t="str">
        <f>IF($K529="","",IFERROR(VLOOKUP(--SUBSTITUTE(SUBSTITUTE(TRIM($K529),"-","")," ",""),마스터시트!$A$2:$H$1946,6,FALSE),""))</f>
        <v/>
      </c>
      <c r="R529" s="18" t="str">
        <f>IF($K529="","",IFERROR(VLOOKUP(--SUBSTITUTE(SUBSTITUTE(TRIM($K529),"-","")," ",""),마스터시트!$A$2:$H$1946,7,FALSE),""))</f>
        <v/>
      </c>
    </row>
    <row r="530" spans="13:18" x14ac:dyDescent="0.3">
      <c r="M530" s="18" t="str">
        <f>IF($K530="","",IFERROR(VLOOKUP(--SUBSTITUTE(SUBSTITUTE(TRIM($K530),"-","")," ",""),마스터시트!$A$2:$H$1946,2,FALSE),"미등록"))</f>
        <v/>
      </c>
      <c r="N530" s="53" t="str">
        <f>IF($K530="","",IFERROR(VLOOKUP(--SUBSTITUTE(SUBSTITUTE(TRIM($K530),"-","")," ",""),마스터시트!$A$2:$H$1946,3,FALSE),"미등록"))</f>
        <v/>
      </c>
      <c r="O530" s="18" t="str">
        <f>IF($K530="","",IFERROR(VLOOKUP(--SUBSTITUTE(SUBSTITUTE(TRIM($K530),"-","")," ",""),마스터시트!$A$2:$H$1946,4,FALSE),""))</f>
        <v/>
      </c>
      <c r="P530" s="18" t="str">
        <f>IF($K530="","",IFERROR(VLOOKUP(--SUBSTITUTE(SUBSTITUTE(TRIM($K530),"-","")," ",""),마스터시트!$A$2:$H$1946,5,FALSE),""))</f>
        <v/>
      </c>
      <c r="Q530" s="18" t="str">
        <f>IF($K530="","",IFERROR(VLOOKUP(--SUBSTITUTE(SUBSTITUTE(TRIM($K530),"-","")," ",""),마스터시트!$A$2:$H$1946,6,FALSE),""))</f>
        <v/>
      </c>
      <c r="R530" s="18" t="str">
        <f>IF($K530="","",IFERROR(VLOOKUP(--SUBSTITUTE(SUBSTITUTE(TRIM($K530),"-","")," ",""),마스터시트!$A$2:$H$1946,7,FALSE),""))</f>
        <v/>
      </c>
    </row>
    <row r="531" spans="13:18" x14ac:dyDescent="0.3">
      <c r="M531" s="18" t="str">
        <f>IF($K531="","",IFERROR(VLOOKUP(--SUBSTITUTE(SUBSTITUTE(TRIM($K531),"-","")," ",""),마스터시트!$A$2:$H$1946,2,FALSE),"미등록"))</f>
        <v/>
      </c>
      <c r="N531" s="53" t="str">
        <f>IF($K531="","",IFERROR(VLOOKUP(--SUBSTITUTE(SUBSTITUTE(TRIM($K531),"-","")," ",""),마스터시트!$A$2:$H$1946,3,FALSE),"미등록"))</f>
        <v/>
      </c>
      <c r="O531" s="18" t="str">
        <f>IF($K531="","",IFERROR(VLOOKUP(--SUBSTITUTE(SUBSTITUTE(TRIM($K531),"-","")," ",""),마스터시트!$A$2:$H$1946,4,FALSE),""))</f>
        <v/>
      </c>
      <c r="P531" s="18" t="str">
        <f>IF($K531="","",IFERROR(VLOOKUP(--SUBSTITUTE(SUBSTITUTE(TRIM($K531),"-","")," ",""),마스터시트!$A$2:$H$1946,5,FALSE),""))</f>
        <v/>
      </c>
      <c r="Q531" s="18" t="str">
        <f>IF($K531="","",IFERROR(VLOOKUP(--SUBSTITUTE(SUBSTITUTE(TRIM($K531),"-","")," ",""),마스터시트!$A$2:$H$1946,6,FALSE),""))</f>
        <v/>
      </c>
      <c r="R531" s="18" t="str">
        <f>IF($K531="","",IFERROR(VLOOKUP(--SUBSTITUTE(SUBSTITUTE(TRIM($K531),"-","")," ",""),마스터시트!$A$2:$H$1946,7,FALSE),""))</f>
        <v/>
      </c>
    </row>
    <row r="532" spans="13:18" x14ac:dyDescent="0.3">
      <c r="M532" s="18" t="str">
        <f>IF($K532="","",IFERROR(VLOOKUP(--SUBSTITUTE(SUBSTITUTE(TRIM($K532),"-","")," ",""),마스터시트!$A$2:$H$1946,2,FALSE),"미등록"))</f>
        <v/>
      </c>
      <c r="N532" s="53" t="str">
        <f>IF($K532="","",IFERROR(VLOOKUP(--SUBSTITUTE(SUBSTITUTE(TRIM($K532),"-","")," ",""),마스터시트!$A$2:$H$1946,3,FALSE),"미등록"))</f>
        <v/>
      </c>
      <c r="O532" s="18" t="str">
        <f>IF($K532="","",IFERROR(VLOOKUP(--SUBSTITUTE(SUBSTITUTE(TRIM($K532),"-","")," ",""),마스터시트!$A$2:$H$1946,4,FALSE),""))</f>
        <v/>
      </c>
      <c r="P532" s="18" t="str">
        <f>IF($K532="","",IFERROR(VLOOKUP(--SUBSTITUTE(SUBSTITUTE(TRIM($K532),"-","")," ",""),마스터시트!$A$2:$H$1946,5,FALSE),""))</f>
        <v/>
      </c>
      <c r="Q532" s="18" t="str">
        <f>IF($K532="","",IFERROR(VLOOKUP(--SUBSTITUTE(SUBSTITUTE(TRIM($K532),"-","")," ",""),마스터시트!$A$2:$H$1946,6,FALSE),""))</f>
        <v/>
      </c>
      <c r="R532" s="18" t="str">
        <f>IF($K532="","",IFERROR(VLOOKUP(--SUBSTITUTE(SUBSTITUTE(TRIM($K532),"-","")," ",""),마스터시트!$A$2:$H$1946,7,FALSE),""))</f>
        <v/>
      </c>
    </row>
    <row r="533" spans="13:18" x14ac:dyDescent="0.3">
      <c r="M533" s="18" t="str">
        <f>IF($K533="","",IFERROR(VLOOKUP(--SUBSTITUTE(SUBSTITUTE(TRIM($K533),"-","")," ",""),마스터시트!$A$2:$H$1946,2,FALSE),"미등록"))</f>
        <v/>
      </c>
      <c r="N533" s="53" t="str">
        <f>IF($K533="","",IFERROR(VLOOKUP(--SUBSTITUTE(SUBSTITUTE(TRIM($K533),"-","")," ",""),마스터시트!$A$2:$H$1946,3,FALSE),"미등록"))</f>
        <v/>
      </c>
      <c r="O533" s="18" t="str">
        <f>IF($K533="","",IFERROR(VLOOKUP(--SUBSTITUTE(SUBSTITUTE(TRIM($K533),"-","")," ",""),마스터시트!$A$2:$H$1946,4,FALSE),""))</f>
        <v/>
      </c>
      <c r="P533" s="18" t="str">
        <f>IF($K533="","",IFERROR(VLOOKUP(--SUBSTITUTE(SUBSTITUTE(TRIM($K533),"-","")," ",""),마스터시트!$A$2:$H$1946,5,FALSE),""))</f>
        <v/>
      </c>
      <c r="Q533" s="18" t="str">
        <f>IF($K533="","",IFERROR(VLOOKUP(--SUBSTITUTE(SUBSTITUTE(TRIM($K533),"-","")," ",""),마스터시트!$A$2:$H$1946,6,FALSE),""))</f>
        <v/>
      </c>
      <c r="R533" s="18" t="str">
        <f>IF($K533="","",IFERROR(VLOOKUP(--SUBSTITUTE(SUBSTITUTE(TRIM($K533),"-","")," ",""),마스터시트!$A$2:$H$1946,7,FALSE),""))</f>
        <v/>
      </c>
    </row>
    <row r="534" spans="13:18" x14ac:dyDescent="0.3">
      <c r="M534" s="18" t="str">
        <f>IF($K534="","",IFERROR(VLOOKUP(--SUBSTITUTE(SUBSTITUTE(TRIM($K534),"-","")," ",""),마스터시트!$A$2:$H$1946,2,FALSE),"미등록"))</f>
        <v/>
      </c>
      <c r="N534" s="53" t="str">
        <f>IF($K534="","",IFERROR(VLOOKUP(--SUBSTITUTE(SUBSTITUTE(TRIM($K534),"-","")," ",""),마스터시트!$A$2:$H$1946,3,FALSE),"미등록"))</f>
        <v/>
      </c>
      <c r="O534" s="18" t="str">
        <f>IF($K534="","",IFERROR(VLOOKUP(--SUBSTITUTE(SUBSTITUTE(TRIM($K534),"-","")," ",""),마스터시트!$A$2:$H$1946,4,FALSE),""))</f>
        <v/>
      </c>
      <c r="P534" s="18" t="str">
        <f>IF($K534="","",IFERROR(VLOOKUP(--SUBSTITUTE(SUBSTITUTE(TRIM($K534),"-","")," ",""),마스터시트!$A$2:$H$1946,5,FALSE),""))</f>
        <v/>
      </c>
      <c r="Q534" s="18" t="str">
        <f>IF($K534="","",IFERROR(VLOOKUP(--SUBSTITUTE(SUBSTITUTE(TRIM($K534),"-","")," ",""),마스터시트!$A$2:$H$1946,6,FALSE),""))</f>
        <v/>
      </c>
      <c r="R534" s="18" t="str">
        <f>IF($K534="","",IFERROR(VLOOKUP(--SUBSTITUTE(SUBSTITUTE(TRIM($K534),"-","")," ",""),마스터시트!$A$2:$H$1946,7,FALSE),""))</f>
        <v/>
      </c>
    </row>
    <row r="535" spans="13:18" x14ac:dyDescent="0.3">
      <c r="M535" s="18" t="str">
        <f>IF($K535="","",IFERROR(VLOOKUP(--SUBSTITUTE(SUBSTITUTE(TRIM($K535),"-","")," ",""),마스터시트!$A$2:$H$1946,2,FALSE),"미등록"))</f>
        <v/>
      </c>
      <c r="N535" s="53" t="str">
        <f>IF($K535="","",IFERROR(VLOOKUP(--SUBSTITUTE(SUBSTITUTE(TRIM($K535),"-","")," ",""),마스터시트!$A$2:$H$1946,3,FALSE),"미등록"))</f>
        <v/>
      </c>
      <c r="O535" s="18" t="str">
        <f>IF($K535="","",IFERROR(VLOOKUP(--SUBSTITUTE(SUBSTITUTE(TRIM($K535),"-","")," ",""),마스터시트!$A$2:$H$1946,4,FALSE),""))</f>
        <v/>
      </c>
      <c r="P535" s="18" t="str">
        <f>IF($K535="","",IFERROR(VLOOKUP(--SUBSTITUTE(SUBSTITUTE(TRIM($K535),"-","")," ",""),마스터시트!$A$2:$H$1946,5,FALSE),""))</f>
        <v/>
      </c>
      <c r="Q535" s="18" t="str">
        <f>IF($K535="","",IFERROR(VLOOKUP(--SUBSTITUTE(SUBSTITUTE(TRIM($K535),"-","")," ",""),마스터시트!$A$2:$H$1946,6,FALSE),""))</f>
        <v/>
      </c>
      <c r="R535" s="18" t="str">
        <f>IF($K535="","",IFERROR(VLOOKUP(--SUBSTITUTE(SUBSTITUTE(TRIM($K535),"-","")," ",""),마스터시트!$A$2:$H$1946,7,FALSE),""))</f>
        <v/>
      </c>
    </row>
    <row r="536" spans="13:18" x14ac:dyDescent="0.3">
      <c r="M536" s="18" t="str">
        <f>IF($K536="","",IFERROR(VLOOKUP(--SUBSTITUTE(SUBSTITUTE(TRIM($K536),"-","")," ",""),마스터시트!$A$2:$H$1946,2,FALSE),"미등록"))</f>
        <v/>
      </c>
      <c r="N536" s="53" t="str">
        <f>IF($K536="","",IFERROR(VLOOKUP(--SUBSTITUTE(SUBSTITUTE(TRIM($K536),"-","")," ",""),마스터시트!$A$2:$H$1946,3,FALSE),"미등록"))</f>
        <v/>
      </c>
      <c r="O536" s="18" t="str">
        <f>IF($K536="","",IFERROR(VLOOKUP(--SUBSTITUTE(SUBSTITUTE(TRIM($K536),"-","")," ",""),마스터시트!$A$2:$H$1946,4,FALSE),""))</f>
        <v/>
      </c>
      <c r="P536" s="18" t="str">
        <f>IF($K536="","",IFERROR(VLOOKUP(--SUBSTITUTE(SUBSTITUTE(TRIM($K536),"-","")," ",""),마스터시트!$A$2:$H$1946,5,FALSE),""))</f>
        <v/>
      </c>
      <c r="Q536" s="18" t="str">
        <f>IF($K536="","",IFERROR(VLOOKUP(--SUBSTITUTE(SUBSTITUTE(TRIM($K536),"-","")," ",""),마스터시트!$A$2:$H$1946,6,FALSE),""))</f>
        <v/>
      </c>
      <c r="R536" s="18" t="str">
        <f>IF($K536="","",IFERROR(VLOOKUP(--SUBSTITUTE(SUBSTITUTE(TRIM($K536),"-","")," ",""),마스터시트!$A$2:$H$1946,7,FALSE),""))</f>
        <v/>
      </c>
    </row>
    <row r="537" spans="13:18" x14ac:dyDescent="0.3">
      <c r="M537" s="18" t="str">
        <f>IF($K537="","",IFERROR(VLOOKUP(--SUBSTITUTE(SUBSTITUTE(TRIM($K537),"-","")," ",""),마스터시트!$A$2:$H$1946,2,FALSE),"미등록"))</f>
        <v/>
      </c>
      <c r="N537" s="53" t="str">
        <f>IF($K537="","",IFERROR(VLOOKUP(--SUBSTITUTE(SUBSTITUTE(TRIM($K537),"-","")," ",""),마스터시트!$A$2:$H$1946,3,FALSE),"미등록"))</f>
        <v/>
      </c>
      <c r="O537" s="18" t="str">
        <f>IF($K537="","",IFERROR(VLOOKUP(--SUBSTITUTE(SUBSTITUTE(TRIM($K537),"-","")," ",""),마스터시트!$A$2:$H$1946,4,FALSE),""))</f>
        <v/>
      </c>
      <c r="P537" s="18" t="str">
        <f>IF($K537="","",IFERROR(VLOOKUP(--SUBSTITUTE(SUBSTITUTE(TRIM($K537),"-","")," ",""),마스터시트!$A$2:$H$1946,5,FALSE),""))</f>
        <v/>
      </c>
      <c r="Q537" s="18" t="str">
        <f>IF($K537="","",IFERROR(VLOOKUP(--SUBSTITUTE(SUBSTITUTE(TRIM($K537),"-","")," ",""),마스터시트!$A$2:$H$1946,6,FALSE),""))</f>
        <v/>
      </c>
      <c r="R537" s="18" t="str">
        <f>IF($K537="","",IFERROR(VLOOKUP(--SUBSTITUTE(SUBSTITUTE(TRIM($K537),"-","")," ",""),마스터시트!$A$2:$H$1946,7,FALSE),""))</f>
        <v/>
      </c>
    </row>
    <row r="538" spans="13:18" x14ac:dyDescent="0.3">
      <c r="M538" s="18" t="str">
        <f>IF($K538="","",IFERROR(VLOOKUP(--SUBSTITUTE(SUBSTITUTE(TRIM($K538),"-","")," ",""),마스터시트!$A$2:$H$1946,2,FALSE),"미등록"))</f>
        <v/>
      </c>
      <c r="N538" s="53" t="str">
        <f>IF($K538="","",IFERROR(VLOOKUP(--SUBSTITUTE(SUBSTITUTE(TRIM($K538),"-","")," ",""),마스터시트!$A$2:$H$1946,3,FALSE),"미등록"))</f>
        <v/>
      </c>
      <c r="O538" s="18" t="str">
        <f>IF($K538="","",IFERROR(VLOOKUP(--SUBSTITUTE(SUBSTITUTE(TRIM($K538),"-","")," ",""),마스터시트!$A$2:$H$1946,4,FALSE),""))</f>
        <v/>
      </c>
      <c r="P538" s="18" t="str">
        <f>IF($K538="","",IFERROR(VLOOKUP(--SUBSTITUTE(SUBSTITUTE(TRIM($K538),"-","")," ",""),마스터시트!$A$2:$H$1946,5,FALSE),""))</f>
        <v/>
      </c>
      <c r="Q538" s="18" t="str">
        <f>IF($K538="","",IFERROR(VLOOKUP(--SUBSTITUTE(SUBSTITUTE(TRIM($K538),"-","")," ",""),마스터시트!$A$2:$H$1946,6,FALSE),""))</f>
        <v/>
      </c>
      <c r="R538" s="18" t="str">
        <f>IF($K538="","",IFERROR(VLOOKUP(--SUBSTITUTE(SUBSTITUTE(TRIM($K538),"-","")," ",""),마스터시트!$A$2:$H$1946,7,FALSE),""))</f>
        <v/>
      </c>
    </row>
    <row r="539" spans="13:18" x14ac:dyDescent="0.3">
      <c r="M539" s="18" t="str">
        <f>IF($K539="","",IFERROR(VLOOKUP(--SUBSTITUTE(SUBSTITUTE(TRIM($K539),"-","")," ",""),마스터시트!$A$2:$H$1946,2,FALSE),"미등록"))</f>
        <v/>
      </c>
      <c r="N539" s="53" t="str">
        <f>IF($K539="","",IFERROR(VLOOKUP(--SUBSTITUTE(SUBSTITUTE(TRIM($K539),"-","")," ",""),마스터시트!$A$2:$H$1946,3,FALSE),"미등록"))</f>
        <v/>
      </c>
      <c r="O539" s="18" t="str">
        <f>IF($K539="","",IFERROR(VLOOKUP(--SUBSTITUTE(SUBSTITUTE(TRIM($K539),"-","")," ",""),마스터시트!$A$2:$H$1946,4,FALSE),""))</f>
        <v/>
      </c>
      <c r="P539" s="18" t="str">
        <f>IF($K539="","",IFERROR(VLOOKUP(--SUBSTITUTE(SUBSTITUTE(TRIM($K539),"-","")," ",""),마스터시트!$A$2:$H$1946,5,FALSE),""))</f>
        <v/>
      </c>
      <c r="Q539" s="18" t="str">
        <f>IF($K539="","",IFERROR(VLOOKUP(--SUBSTITUTE(SUBSTITUTE(TRIM($K539),"-","")," ",""),마스터시트!$A$2:$H$1946,6,FALSE),""))</f>
        <v/>
      </c>
      <c r="R539" s="18" t="str">
        <f>IF($K539="","",IFERROR(VLOOKUP(--SUBSTITUTE(SUBSTITUTE(TRIM($K539),"-","")," ",""),마스터시트!$A$2:$H$1946,7,FALSE),""))</f>
        <v/>
      </c>
    </row>
    <row r="540" spans="13:18" x14ac:dyDescent="0.3">
      <c r="M540" s="18" t="str">
        <f>IF($K540="","",IFERROR(VLOOKUP(--SUBSTITUTE(SUBSTITUTE(TRIM($K540),"-","")," ",""),마스터시트!$A$2:$H$1946,2,FALSE),"미등록"))</f>
        <v/>
      </c>
      <c r="N540" s="53" t="str">
        <f>IF($K540="","",IFERROR(VLOOKUP(--SUBSTITUTE(SUBSTITUTE(TRIM($K540),"-","")," ",""),마스터시트!$A$2:$H$1946,3,FALSE),"미등록"))</f>
        <v/>
      </c>
      <c r="O540" s="18" t="str">
        <f>IF($K540="","",IFERROR(VLOOKUP(--SUBSTITUTE(SUBSTITUTE(TRIM($K540),"-","")," ",""),마스터시트!$A$2:$H$1946,4,FALSE),""))</f>
        <v/>
      </c>
      <c r="P540" s="18" t="str">
        <f>IF($K540="","",IFERROR(VLOOKUP(--SUBSTITUTE(SUBSTITUTE(TRIM($K540),"-","")," ",""),마스터시트!$A$2:$H$1946,5,FALSE),""))</f>
        <v/>
      </c>
      <c r="Q540" s="18" t="str">
        <f>IF($K540="","",IFERROR(VLOOKUP(--SUBSTITUTE(SUBSTITUTE(TRIM($K540),"-","")," ",""),마스터시트!$A$2:$H$1946,6,FALSE),""))</f>
        <v/>
      </c>
      <c r="R540" s="18" t="str">
        <f>IF($K540="","",IFERROR(VLOOKUP(--SUBSTITUTE(SUBSTITUTE(TRIM($K540),"-","")," ",""),마스터시트!$A$2:$H$1946,7,FALSE),""))</f>
        <v/>
      </c>
    </row>
    <row r="541" spans="13:18" x14ac:dyDescent="0.3">
      <c r="M541" s="18" t="str">
        <f>IF($K541="","",IFERROR(VLOOKUP(--SUBSTITUTE(SUBSTITUTE(TRIM($K541),"-","")," ",""),마스터시트!$A$2:$H$1946,2,FALSE),"미등록"))</f>
        <v/>
      </c>
      <c r="N541" s="53" t="str">
        <f>IF($K541="","",IFERROR(VLOOKUP(--SUBSTITUTE(SUBSTITUTE(TRIM($K541),"-","")," ",""),마스터시트!$A$2:$H$1946,3,FALSE),"미등록"))</f>
        <v/>
      </c>
      <c r="O541" s="18" t="str">
        <f>IF($K541="","",IFERROR(VLOOKUP(--SUBSTITUTE(SUBSTITUTE(TRIM($K541),"-","")," ",""),마스터시트!$A$2:$H$1946,4,FALSE),""))</f>
        <v/>
      </c>
      <c r="P541" s="18" t="str">
        <f>IF($K541="","",IFERROR(VLOOKUP(--SUBSTITUTE(SUBSTITUTE(TRIM($K541),"-","")," ",""),마스터시트!$A$2:$H$1946,5,FALSE),""))</f>
        <v/>
      </c>
      <c r="Q541" s="18" t="str">
        <f>IF($K541="","",IFERROR(VLOOKUP(--SUBSTITUTE(SUBSTITUTE(TRIM($K541),"-","")," ",""),마스터시트!$A$2:$H$1946,6,FALSE),""))</f>
        <v/>
      </c>
      <c r="R541" s="18" t="str">
        <f>IF($K541="","",IFERROR(VLOOKUP(--SUBSTITUTE(SUBSTITUTE(TRIM($K541),"-","")," ",""),마스터시트!$A$2:$H$1946,7,FALSE),""))</f>
        <v/>
      </c>
    </row>
    <row r="542" spans="13:18" x14ac:dyDescent="0.3">
      <c r="M542" s="18" t="str">
        <f>IF($K542="","",IFERROR(VLOOKUP(--SUBSTITUTE(SUBSTITUTE(TRIM($K542),"-","")," ",""),마스터시트!$A$2:$H$1946,2,FALSE),"미등록"))</f>
        <v/>
      </c>
      <c r="N542" s="53" t="str">
        <f>IF($K542="","",IFERROR(VLOOKUP(--SUBSTITUTE(SUBSTITUTE(TRIM($K542),"-","")," ",""),마스터시트!$A$2:$H$1946,3,FALSE),"미등록"))</f>
        <v/>
      </c>
      <c r="O542" s="18" t="str">
        <f>IF($K542="","",IFERROR(VLOOKUP(--SUBSTITUTE(SUBSTITUTE(TRIM($K542),"-","")," ",""),마스터시트!$A$2:$H$1946,4,FALSE),""))</f>
        <v/>
      </c>
      <c r="P542" s="18" t="str">
        <f>IF($K542="","",IFERROR(VLOOKUP(--SUBSTITUTE(SUBSTITUTE(TRIM($K542),"-","")," ",""),마스터시트!$A$2:$H$1946,5,FALSE),""))</f>
        <v/>
      </c>
      <c r="Q542" s="18" t="str">
        <f>IF($K542="","",IFERROR(VLOOKUP(--SUBSTITUTE(SUBSTITUTE(TRIM($K542),"-","")," ",""),마스터시트!$A$2:$H$1946,6,FALSE),""))</f>
        <v/>
      </c>
      <c r="R542" s="18" t="str">
        <f>IF($K542="","",IFERROR(VLOOKUP(--SUBSTITUTE(SUBSTITUTE(TRIM($K542),"-","")," ",""),마스터시트!$A$2:$H$1946,7,FALSE),""))</f>
        <v/>
      </c>
    </row>
    <row r="543" spans="13:18" x14ac:dyDescent="0.3">
      <c r="M543" s="18" t="str">
        <f>IF($K543="","",IFERROR(VLOOKUP(--SUBSTITUTE(SUBSTITUTE(TRIM($K543),"-","")," ",""),마스터시트!$A$2:$H$1946,2,FALSE),"미등록"))</f>
        <v/>
      </c>
      <c r="N543" s="53" t="str">
        <f>IF($K543="","",IFERROR(VLOOKUP(--SUBSTITUTE(SUBSTITUTE(TRIM($K543),"-","")," ",""),마스터시트!$A$2:$H$1946,3,FALSE),"미등록"))</f>
        <v/>
      </c>
      <c r="O543" s="18" t="str">
        <f>IF($K543="","",IFERROR(VLOOKUP(--SUBSTITUTE(SUBSTITUTE(TRIM($K543),"-","")," ",""),마스터시트!$A$2:$H$1946,4,FALSE),""))</f>
        <v/>
      </c>
      <c r="P543" s="18" t="str">
        <f>IF($K543="","",IFERROR(VLOOKUP(--SUBSTITUTE(SUBSTITUTE(TRIM($K543),"-","")," ",""),마스터시트!$A$2:$H$1946,5,FALSE),""))</f>
        <v/>
      </c>
      <c r="Q543" s="18" t="str">
        <f>IF($K543="","",IFERROR(VLOOKUP(--SUBSTITUTE(SUBSTITUTE(TRIM($K543),"-","")," ",""),마스터시트!$A$2:$H$1946,6,FALSE),""))</f>
        <v/>
      </c>
      <c r="R543" s="18" t="str">
        <f>IF($K543="","",IFERROR(VLOOKUP(--SUBSTITUTE(SUBSTITUTE(TRIM($K543),"-","")," ",""),마스터시트!$A$2:$H$1946,7,FALSE),""))</f>
        <v/>
      </c>
    </row>
    <row r="544" spans="13:18" x14ac:dyDescent="0.3">
      <c r="M544" s="18" t="str">
        <f>IF($K544="","",IFERROR(VLOOKUP(--SUBSTITUTE(SUBSTITUTE(TRIM($K544),"-","")," ",""),마스터시트!$A$2:$H$1946,2,FALSE),"미등록"))</f>
        <v/>
      </c>
      <c r="N544" s="53" t="str">
        <f>IF($K544="","",IFERROR(VLOOKUP(--SUBSTITUTE(SUBSTITUTE(TRIM($K544),"-","")," ",""),마스터시트!$A$2:$H$1946,3,FALSE),"미등록"))</f>
        <v/>
      </c>
      <c r="O544" s="18" t="str">
        <f>IF($K544="","",IFERROR(VLOOKUP(--SUBSTITUTE(SUBSTITUTE(TRIM($K544),"-","")," ",""),마스터시트!$A$2:$H$1946,4,FALSE),""))</f>
        <v/>
      </c>
      <c r="P544" s="18" t="str">
        <f>IF($K544="","",IFERROR(VLOOKUP(--SUBSTITUTE(SUBSTITUTE(TRIM($K544),"-","")," ",""),마스터시트!$A$2:$H$1946,5,FALSE),""))</f>
        <v/>
      </c>
      <c r="Q544" s="18" t="str">
        <f>IF($K544="","",IFERROR(VLOOKUP(--SUBSTITUTE(SUBSTITUTE(TRIM($K544),"-","")," ",""),마스터시트!$A$2:$H$1946,6,FALSE),""))</f>
        <v/>
      </c>
      <c r="R544" s="18" t="str">
        <f>IF($K544="","",IFERROR(VLOOKUP(--SUBSTITUTE(SUBSTITUTE(TRIM($K544),"-","")," ",""),마스터시트!$A$2:$H$1946,7,FALSE),""))</f>
        <v/>
      </c>
    </row>
    <row r="545" spans="13:18" x14ac:dyDescent="0.3">
      <c r="M545" s="18" t="str">
        <f>IF($K545="","",IFERROR(VLOOKUP(--SUBSTITUTE(SUBSTITUTE(TRIM($K545),"-","")," ",""),마스터시트!$A$2:$H$1946,2,FALSE),"미등록"))</f>
        <v/>
      </c>
      <c r="N545" s="53" t="str">
        <f>IF($K545="","",IFERROR(VLOOKUP(--SUBSTITUTE(SUBSTITUTE(TRIM($K545),"-","")," ",""),마스터시트!$A$2:$H$1946,3,FALSE),"미등록"))</f>
        <v/>
      </c>
      <c r="O545" s="18" t="str">
        <f>IF($K545="","",IFERROR(VLOOKUP(--SUBSTITUTE(SUBSTITUTE(TRIM($K545),"-","")," ",""),마스터시트!$A$2:$H$1946,4,FALSE),""))</f>
        <v/>
      </c>
      <c r="P545" s="18" t="str">
        <f>IF($K545="","",IFERROR(VLOOKUP(--SUBSTITUTE(SUBSTITUTE(TRIM($K545),"-","")," ",""),마스터시트!$A$2:$H$1946,5,FALSE),""))</f>
        <v/>
      </c>
      <c r="Q545" s="18" t="str">
        <f>IF($K545="","",IFERROR(VLOOKUP(--SUBSTITUTE(SUBSTITUTE(TRIM($K545),"-","")," ",""),마스터시트!$A$2:$H$1946,6,FALSE),""))</f>
        <v/>
      </c>
      <c r="R545" s="18" t="str">
        <f>IF($K545="","",IFERROR(VLOOKUP(--SUBSTITUTE(SUBSTITUTE(TRIM($K545),"-","")," ",""),마스터시트!$A$2:$H$1946,7,FALSE),""))</f>
        <v/>
      </c>
    </row>
    <row r="546" spans="13:18" x14ac:dyDescent="0.3">
      <c r="M546" s="18" t="str">
        <f>IF($K546="","",IFERROR(VLOOKUP(--SUBSTITUTE(SUBSTITUTE(TRIM($K546),"-","")," ",""),마스터시트!$A$2:$H$1946,2,FALSE),"미등록"))</f>
        <v/>
      </c>
      <c r="N546" s="53" t="str">
        <f>IF($K546="","",IFERROR(VLOOKUP(--SUBSTITUTE(SUBSTITUTE(TRIM($K546),"-","")," ",""),마스터시트!$A$2:$H$1946,3,FALSE),"미등록"))</f>
        <v/>
      </c>
      <c r="O546" s="18" t="str">
        <f>IF($K546="","",IFERROR(VLOOKUP(--SUBSTITUTE(SUBSTITUTE(TRIM($K546),"-","")," ",""),마스터시트!$A$2:$H$1946,4,FALSE),""))</f>
        <v/>
      </c>
      <c r="P546" s="18" t="str">
        <f>IF($K546="","",IFERROR(VLOOKUP(--SUBSTITUTE(SUBSTITUTE(TRIM($K546),"-","")," ",""),마스터시트!$A$2:$H$1946,5,FALSE),""))</f>
        <v/>
      </c>
      <c r="Q546" s="18" t="str">
        <f>IF($K546="","",IFERROR(VLOOKUP(--SUBSTITUTE(SUBSTITUTE(TRIM($K546),"-","")," ",""),마스터시트!$A$2:$H$1946,6,FALSE),""))</f>
        <v/>
      </c>
      <c r="R546" s="18" t="str">
        <f>IF($K546="","",IFERROR(VLOOKUP(--SUBSTITUTE(SUBSTITUTE(TRIM($K546),"-","")," ",""),마스터시트!$A$2:$H$1946,7,FALSE),""))</f>
        <v/>
      </c>
    </row>
    <row r="547" spans="13:18" x14ac:dyDescent="0.3">
      <c r="M547" s="18" t="str">
        <f>IF($K547="","",IFERROR(VLOOKUP(--SUBSTITUTE(SUBSTITUTE(TRIM($K547),"-","")," ",""),마스터시트!$A$2:$H$1946,2,FALSE),"미등록"))</f>
        <v/>
      </c>
      <c r="N547" s="53" t="str">
        <f>IF($K547="","",IFERROR(VLOOKUP(--SUBSTITUTE(SUBSTITUTE(TRIM($K547),"-","")," ",""),마스터시트!$A$2:$H$1946,3,FALSE),"미등록"))</f>
        <v/>
      </c>
      <c r="O547" s="18" t="str">
        <f>IF($K547="","",IFERROR(VLOOKUP(--SUBSTITUTE(SUBSTITUTE(TRIM($K547),"-","")," ",""),마스터시트!$A$2:$H$1946,4,FALSE),""))</f>
        <v/>
      </c>
      <c r="P547" s="18" t="str">
        <f>IF($K547="","",IFERROR(VLOOKUP(--SUBSTITUTE(SUBSTITUTE(TRIM($K547),"-","")," ",""),마스터시트!$A$2:$H$1946,5,FALSE),""))</f>
        <v/>
      </c>
      <c r="Q547" s="18" t="str">
        <f>IF($K547="","",IFERROR(VLOOKUP(--SUBSTITUTE(SUBSTITUTE(TRIM($K547),"-","")," ",""),마스터시트!$A$2:$H$1946,6,FALSE),""))</f>
        <v/>
      </c>
      <c r="R547" s="18" t="str">
        <f>IF($K547="","",IFERROR(VLOOKUP(--SUBSTITUTE(SUBSTITUTE(TRIM($K547),"-","")," ",""),마스터시트!$A$2:$H$1946,7,FALSE),""))</f>
        <v/>
      </c>
    </row>
    <row r="548" spans="13:18" x14ac:dyDescent="0.3">
      <c r="M548" s="18" t="str">
        <f>IF($K548="","",IFERROR(VLOOKUP(--SUBSTITUTE(SUBSTITUTE(TRIM($K548),"-","")," ",""),마스터시트!$A$2:$H$1946,2,FALSE),"미등록"))</f>
        <v/>
      </c>
      <c r="N548" s="53" t="str">
        <f>IF($K548="","",IFERROR(VLOOKUP(--SUBSTITUTE(SUBSTITUTE(TRIM($K548),"-","")," ",""),마스터시트!$A$2:$H$1946,3,FALSE),"미등록"))</f>
        <v/>
      </c>
      <c r="O548" s="18" t="str">
        <f>IF($K548="","",IFERROR(VLOOKUP(--SUBSTITUTE(SUBSTITUTE(TRIM($K548),"-","")," ",""),마스터시트!$A$2:$H$1946,4,FALSE),""))</f>
        <v/>
      </c>
      <c r="P548" s="18" t="str">
        <f>IF($K548="","",IFERROR(VLOOKUP(--SUBSTITUTE(SUBSTITUTE(TRIM($K548),"-","")," ",""),마스터시트!$A$2:$H$1946,5,FALSE),""))</f>
        <v/>
      </c>
      <c r="Q548" s="18" t="str">
        <f>IF($K548="","",IFERROR(VLOOKUP(--SUBSTITUTE(SUBSTITUTE(TRIM($K548),"-","")," ",""),마스터시트!$A$2:$H$1946,6,FALSE),""))</f>
        <v/>
      </c>
      <c r="R548" s="18" t="str">
        <f>IF($K548="","",IFERROR(VLOOKUP(--SUBSTITUTE(SUBSTITUTE(TRIM($K548),"-","")," ",""),마스터시트!$A$2:$H$1946,7,FALSE),""))</f>
        <v/>
      </c>
    </row>
    <row r="549" spans="13:18" x14ac:dyDescent="0.3">
      <c r="M549" s="18" t="str">
        <f>IF($K549="","",IFERROR(VLOOKUP(--SUBSTITUTE(SUBSTITUTE(TRIM($K549),"-","")," ",""),마스터시트!$A$2:$H$1946,2,FALSE),"미등록"))</f>
        <v/>
      </c>
      <c r="N549" s="53" t="str">
        <f>IF($K549="","",IFERROR(VLOOKUP(--SUBSTITUTE(SUBSTITUTE(TRIM($K549),"-","")," ",""),마스터시트!$A$2:$H$1946,3,FALSE),"미등록"))</f>
        <v/>
      </c>
      <c r="O549" s="18" t="str">
        <f>IF($K549="","",IFERROR(VLOOKUP(--SUBSTITUTE(SUBSTITUTE(TRIM($K549),"-","")," ",""),마스터시트!$A$2:$H$1946,4,FALSE),""))</f>
        <v/>
      </c>
      <c r="P549" s="18" t="str">
        <f>IF($K549="","",IFERROR(VLOOKUP(--SUBSTITUTE(SUBSTITUTE(TRIM($K549),"-","")," ",""),마스터시트!$A$2:$H$1946,5,FALSE),""))</f>
        <v/>
      </c>
      <c r="Q549" s="18" t="str">
        <f>IF($K549="","",IFERROR(VLOOKUP(--SUBSTITUTE(SUBSTITUTE(TRIM($K549),"-","")," ",""),마스터시트!$A$2:$H$1946,6,FALSE),""))</f>
        <v/>
      </c>
      <c r="R549" s="18" t="str">
        <f>IF($K549="","",IFERROR(VLOOKUP(--SUBSTITUTE(SUBSTITUTE(TRIM($K549),"-","")," ",""),마스터시트!$A$2:$H$1946,7,FALSE),""))</f>
        <v/>
      </c>
    </row>
    <row r="550" spans="13:18" x14ac:dyDescent="0.3">
      <c r="M550" s="18" t="str">
        <f>IF($K550="","",IFERROR(VLOOKUP(--SUBSTITUTE(SUBSTITUTE(TRIM($K550),"-","")," ",""),마스터시트!$A$2:$H$1946,2,FALSE),"미등록"))</f>
        <v/>
      </c>
      <c r="N550" s="53" t="str">
        <f>IF($K550="","",IFERROR(VLOOKUP(--SUBSTITUTE(SUBSTITUTE(TRIM($K550),"-","")," ",""),마스터시트!$A$2:$H$1946,3,FALSE),"미등록"))</f>
        <v/>
      </c>
      <c r="O550" s="18" t="str">
        <f>IF($K550="","",IFERROR(VLOOKUP(--SUBSTITUTE(SUBSTITUTE(TRIM($K550),"-","")," ",""),마스터시트!$A$2:$H$1946,4,FALSE),""))</f>
        <v/>
      </c>
      <c r="P550" s="18" t="str">
        <f>IF($K550="","",IFERROR(VLOOKUP(--SUBSTITUTE(SUBSTITUTE(TRIM($K550),"-","")," ",""),마스터시트!$A$2:$H$1946,5,FALSE),""))</f>
        <v/>
      </c>
      <c r="Q550" s="18" t="str">
        <f>IF($K550="","",IFERROR(VLOOKUP(--SUBSTITUTE(SUBSTITUTE(TRIM($K550),"-","")," ",""),마스터시트!$A$2:$H$1946,6,FALSE),""))</f>
        <v/>
      </c>
      <c r="R550" s="18" t="str">
        <f>IF($K550="","",IFERROR(VLOOKUP(--SUBSTITUTE(SUBSTITUTE(TRIM($K550),"-","")," ",""),마스터시트!$A$2:$H$1946,7,FALSE),""))</f>
        <v/>
      </c>
    </row>
    <row r="551" spans="13:18" x14ac:dyDescent="0.3">
      <c r="M551" s="18" t="str">
        <f>IF($K551="","",IFERROR(VLOOKUP(--SUBSTITUTE(SUBSTITUTE(TRIM($K551),"-","")," ",""),마스터시트!$A$2:$H$1946,2,FALSE),"미등록"))</f>
        <v/>
      </c>
      <c r="N551" s="53" t="str">
        <f>IF($K551="","",IFERROR(VLOOKUP(--SUBSTITUTE(SUBSTITUTE(TRIM($K551),"-","")," ",""),마스터시트!$A$2:$H$1946,3,FALSE),"미등록"))</f>
        <v/>
      </c>
      <c r="O551" s="18" t="str">
        <f>IF($K551="","",IFERROR(VLOOKUP(--SUBSTITUTE(SUBSTITUTE(TRIM($K551),"-","")," ",""),마스터시트!$A$2:$H$1946,4,FALSE),""))</f>
        <v/>
      </c>
      <c r="P551" s="18" t="str">
        <f>IF($K551="","",IFERROR(VLOOKUP(--SUBSTITUTE(SUBSTITUTE(TRIM($K551),"-","")," ",""),마스터시트!$A$2:$H$1946,5,FALSE),""))</f>
        <v/>
      </c>
      <c r="Q551" s="18" t="str">
        <f>IF($K551="","",IFERROR(VLOOKUP(--SUBSTITUTE(SUBSTITUTE(TRIM($K551),"-","")," ",""),마스터시트!$A$2:$H$1946,6,FALSE),""))</f>
        <v/>
      </c>
      <c r="R551" s="18" t="str">
        <f>IF($K551="","",IFERROR(VLOOKUP(--SUBSTITUTE(SUBSTITUTE(TRIM($K551),"-","")," ",""),마스터시트!$A$2:$H$1946,7,FALSE),""))</f>
        <v/>
      </c>
    </row>
    <row r="552" spans="13:18" x14ac:dyDescent="0.3">
      <c r="M552" s="18" t="str">
        <f>IF($K552="","",IFERROR(VLOOKUP(--SUBSTITUTE(SUBSTITUTE(TRIM($K552),"-","")," ",""),마스터시트!$A$2:$H$1946,2,FALSE),"미등록"))</f>
        <v/>
      </c>
      <c r="N552" s="53" t="str">
        <f>IF($K552="","",IFERROR(VLOOKUP(--SUBSTITUTE(SUBSTITUTE(TRIM($K552),"-","")," ",""),마스터시트!$A$2:$H$1946,3,FALSE),"미등록"))</f>
        <v/>
      </c>
      <c r="O552" s="18" t="str">
        <f>IF($K552="","",IFERROR(VLOOKUP(--SUBSTITUTE(SUBSTITUTE(TRIM($K552),"-","")," ",""),마스터시트!$A$2:$H$1946,4,FALSE),""))</f>
        <v/>
      </c>
      <c r="P552" s="18" t="str">
        <f>IF($K552="","",IFERROR(VLOOKUP(--SUBSTITUTE(SUBSTITUTE(TRIM($K552),"-","")," ",""),마스터시트!$A$2:$H$1946,5,FALSE),""))</f>
        <v/>
      </c>
      <c r="Q552" s="18" t="str">
        <f>IF($K552="","",IFERROR(VLOOKUP(--SUBSTITUTE(SUBSTITUTE(TRIM($K552),"-","")," ",""),마스터시트!$A$2:$H$1946,6,FALSE),""))</f>
        <v/>
      </c>
      <c r="R552" s="18" t="str">
        <f>IF($K552="","",IFERROR(VLOOKUP(--SUBSTITUTE(SUBSTITUTE(TRIM($K552),"-","")," ",""),마스터시트!$A$2:$H$1946,7,FALSE),""))</f>
        <v/>
      </c>
    </row>
    <row r="553" spans="13:18" x14ac:dyDescent="0.3">
      <c r="M553" s="18" t="str">
        <f>IF($K553="","",IFERROR(VLOOKUP(--SUBSTITUTE(SUBSTITUTE(TRIM($K553),"-","")," ",""),마스터시트!$A$2:$H$1946,2,FALSE),"미등록"))</f>
        <v/>
      </c>
      <c r="N553" s="53" t="str">
        <f>IF($K553="","",IFERROR(VLOOKUP(--SUBSTITUTE(SUBSTITUTE(TRIM($K553),"-","")," ",""),마스터시트!$A$2:$H$1946,3,FALSE),"미등록"))</f>
        <v/>
      </c>
      <c r="O553" s="18" t="str">
        <f>IF($K553="","",IFERROR(VLOOKUP(--SUBSTITUTE(SUBSTITUTE(TRIM($K553),"-","")," ",""),마스터시트!$A$2:$H$1946,4,FALSE),""))</f>
        <v/>
      </c>
      <c r="P553" s="18" t="str">
        <f>IF($K553="","",IFERROR(VLOOKUP(--SUBSTITUTE(SUBSTITUTE(TRIM($K553),"-","")," ",""),마스터시트!$A$2:$H$1946,5,FALSE),""))</f>
        <v/>
      </c>
      <c r="Q553" s="18" t="str">
        <f>IF($K553="","",IFERROR(VLOOKUP(--SUBSTITUTE(SUBSTITUTE(TRIM($K553),"-","")," ",""),마스터시트!$A$2:$H$1946,6,FALSE),""))</f>
        <v/>
      </c>
      <c r="R553" s="18" t="str">
        <f>IF($K553="","",IFERROR(VLOOKUP(--SUBSTITUTE(SUBSTITUTE(TRIM($K553),"-","")," ",""),마스터시트!$A$2:$H$1946,7,FALSE),""))</f>
        <v/>
      </c>
    </row>
    <row r="554" spans="13:18" x14ac:dyDescent="0.3">
      <c r="M554" s="18" t="str">
        <f>IF($K554="","",IFERROR(VLOOKUP(--SUBSTITUTE(SUBSTITUTE(TRIM($K554),"-","")," ",""),마스터시트!$A$2:$H$1946,2,FALSE),"미등록"))</f>
        <v/>
      </c>
      <c r="N554" s="53" t="str">
        <f>IF($K554="","",IFERROR(VLOOKUP(--SUBSTITUTE(SUBSTITUTE(TRIM($K554),"-","")," ",""),마스터시트!$A$2:$H$1946,3,FALSE),"미등록"))</f>
        <v/>
      </c>
      <c r="O554" s="18" t="str">
        <f>IF($K554="","",IFERROR(VLOOKUP(--SUBSTITUTE(SUBSTITUTE(TRIM($K554),"-","")," ",""),마스터시트!$A$2:$H$1946,4,FALSE),""))</f>
        <v/>
      </c>
      <c r="P554" s="18" t="str">
        <f>IF($K554="","",IFERROR(VLOOKUP(--SUBSTITUTE(SUBSTITUTE(TRIM($K554),"-","")," ",""),마스터시트!$A$2:$H$1946,5,FALSE),""))</f>
        <v/>
      </c>
      <c r="Q554" s="18" t="str">
        <f>IF($K554="","",IFERROR(VLOOKUP(--SUBSTITUTE(SUBSTITUTE(TRIM($K554),"-","")," ",""),마스터시트!$A$2:$H$1946,6,FALSE),""))</f>
        <v/>
      </c>
      <c r="R554" s="18" t="str">
        <f>IF($K554="","",IFERROR(VLOOKUP(--SUBSTITUTE(SUBSTITUTE(TRIM($K554),"-","")," ",""),마스터시트!$A$2:$H$1946,7,FALSE),""))</f>
        <v/>
      </c>
    </row>
    <row r="555" spans="13:18" x14ac:dyDescent="0.3">
      <c r="M555" s="18" t="str">
        <f>IF($K555="","",IFERROR(VLOOKUP(--SUBSTITUTE(SUBSTITUTE(TRIM($K555),"-","")," ",""),마스터시트!$A$2:$H$1946,2,FALSE),"미등록"))</f>
        <v/>
      </c>
      <c r="N555" s="53" t="str">
        <f>IF($K555="","",IFERROR(VLOOKUP(--SUBSTITUTE(SUBSTITUTE(TRIM($K555),"-","")," ",""),마스터시트!$A$2:$H$1946,3,FALSE),"미등록"))</f>
        <v/>
      </c>
      <c r="O555" s="18" t="str">
        <f>IF($K555="","",IFERROR(VLOOKUP(--SUBSTITUTE(SUBSTITUTE(TRIM($K555),"-","")," ",""),마스터시트!$A$2:$H$1946,4,FALSE),""))</f>
        <v/>
      </c>
      <c r="P555" s="18" t="str">
        <f>IF($K555="","",IFERROR(VLOOKUP(--SUBSTITUTE(SUBSTITUTE(TRIM($K555),"-","")," ",""),마스터시트!$A$2:$H$1946,5,FALSE),""))</f>
        <v/>
      </c>
      <c r="Q555" s="18" t="str">
        <f>IF($K555="","",IFERROR(VLOOKUP(--SUBSTITUTE(SUBSTITUTE(TRIM($K555),"-","")," ",""),마스터시트!$A$2:$H$1946,6,FALSE),""))</f>
        <v/>
      </c>
      <c r="R555" s="18" t="str">
        <f>IF($K555="","",IFERROR(VLOOKUP(--SUBSTITUTE(SUBSTITUTE(TRIM($K555),"-","")," ",""),마스터시트!$A$2:$H$1946,7,FALSE),""))</f>
        <v/>
      </c>
    </row>
    <row r="556" spans="13:18" x14ac:dyDescent="0.3">
      <c r="M556" s="18" t="str">
        <f>IF($K556="","",IFERROR(VLOOKUP(--SUBSTITUTE(SUBSTITUTE(TRIM($K556),"-","")," ",""),마스터시트!$A$2:$H$1946,2,FALSE),"미등록"))</f>
        <v/>
      </c>
      <c r="N556" s="53" t="str">
        <f>IF($K556="","",IFERROR(VLOOKUP(--SUBSTITUTE(SUBSTITUTE(TRIM($K556),"-","")," ",""),마스터시트!$A$2:$H$1946,3,FALSE),"미등록"))</f>
        <v/>
      </c>
      <c r="O556" s="18" t="str">
        <f>IF($K556="","",IFERROR(VLOOKUP(--SUBSTITUTE(SUBSTITUTE(TRIM($K556),"-","")," ",""),마스터시트!$A$2:$H$1946,4,FALSE),""))</f>
        <v/>
      </c>
      <c r="P556" s="18" t="str">
        <f>IF($K556="","",IFERROR(VLOOKUP(--SUBSTITUTE(SUBSTITUTE(TRIM($K556),"-","")," ",""),마스터시트!$A$2:$H$1946,5,FALSE),""))</f>
        <v/>
      </c>
      <c r="Q556" s="18" t="str">
        <f>IF($K556="","",IFERROR(VLOOKUP(--SUBSTITUTE(SUBSTITUTE(TRIM($K556),"-","")," ",""),마스터시트!$A$2:$H$1946,6,FALSE),""))</f>
        <v/>
      </c>
      <c r="R556" s="18" t="str">
        <f>IF($K556="","",IFERROR(VLOOKUP(--SUBSTITUTE(SUBSTITUTE(TRIM($K556),"-","")," ",""),마스터시트!$A$2:$H$1946,7,FALSE),""))</f>
        <v/>
      </c>
    </row>
    <row r="557" spans="13:18" x14ac:dyDescent="0.3">
      <c r="M557" s="18" t="str">
        <f>IF($K557="","",IFERROR(VLOOKUP(--SUBSTITUTE(SUBSTITUTE(TRIM($K557),"-","")," ",""),마스터시트!$A$2:$H$1946,2,FALSE),"미등록"))</f>
        <v/>
      </c>
      <c r="N557" s="53" t="str">
        <f>IF($K557="","",IFERROR(VLOOKUP(--SUBSTITUTE(SUBSTITUTE(TRIM($K557),"-","")," ",""),마스터시트!$A$2:$H$1946,3,FALSE),"미등록"))</f>
        <v/>
      </c>
      <c r="O557" s="18" t="str">
        <f>IF($K557="","",IFERROR(VLOOKUP(--SUBSTITUTE(SUBSTITUTE(TRIM($K557),"-","")," ",""),마스터시트!$A$2:$H$1946,4,FALSE),""))</f>
        <v/>
      </c>
      <c r="P557" s="18" t="str">
        <f>IF($K557="","",IFERROR(VLOOKUP(--SUBSTITUTE(SUBSTITUTE(TRIM($K557),"-","")," ",""),마스터시트!$A$2:$H$1946,5,FALSE),""))</f>
        <v/>
      </c>
      <c r="Q557" s="18" t="str">
        <f>IF($K557="","",IFERROR(VLOOKUP(--SUBSTITUTE(SUBSTITUTE(TRIM($K557),"-","")," ",""),마스터시트!$A$2:$H$1946,6,FALSE),""))</f>
        <v/>
      </c>
      <c r="R557" s="18" t="str">
        <f>IF($K557="","",IFERROR(VLOOKUP(--SUBSTITUTE(SUBSTITUTE(TRIM($K557),"-","")," ",""),마스터시트!$A$2:$H$1946,7,FALSE),""))</f>
        <v/>
      </c>
    </row>
    <row r="558" spans="13:18" x14ac:dyDescent="0.3">
      <c r="M558" s="18" t="str">
        <f>IF($K558="","",IFERROR(VLOOKUP(--SUBSTITUTE(SUBSTITUTE(TRIM($K558),"-","")," ",""),마스터시트!$A$2:$H$1946,2,FALSE),"미등록"))</f>
        <v/>
      </c>
      <c r="N558" s="53" t="str">
        <f>IF($K558="","",IFERROR(VLOOKUP(--SUBSTITUTE(SUBSTITUTE(TRIM($K558),"-","")," ",""),마스터시트!$A$2:$H$1946,3,FALSE),"미등록"))</f>
        <v/>
      </c>
      <c r="O558" s="18" t="str">
        <f>IF($K558="","",IFERROR(VLOOKUP(--SUBSTITUTE(SUBSTITUTE(TRIM($K558),"-","")," ",""),마스터시트!$A$2:$H$1946,4,FALSE),""))</f>
        <v/>
      </c>
      <c r="P558" s="18" t="str">
        <f>IF($K558="","",IFERROR(VLOOKUP(--SUBSTITUTE(SUBSTITUTE(TRIM($K558),"-","")," ",""),마스터시트!$A$2:$H$1946,5,FALSE),""))</f>
        <v/>
      </c>
      <c r="Q558" s="18" t="str">
        <f>IF($K558="","",IFERROR(VLOOKUP(--SUBSTITUTE(SUBSTITUTE(TRIM($K558),"-","")," ",""),마스터시트!$A$2:$H$1946,6,FALSE),""))</f>
        <v/>
      </c>
      <c r="R558" s="18" t="str">
        <f>IF($K558="","",IFERROR(VLOOKUP(--SUBSTITUTE(SUBSTITUTE(TRIM($K558),"-","")," ",""),마스터시트!$A$2:$H$1946,7,FALSE),""))</f>
        <v/>
      </c>
    </row>
    <row r="559" spans="13:18" x14ac:dyDescent="0.3">
      <c r="M559" s="18" t="str">
        <f>IF($K559="","",IFERROR(VLOOKUP(--SUBSTITUTE(SUBSTITUTE(TRIM($K559),"-","")," ",""),마스터시트!$A$2:$H$1946,2,FALSE),"미등록"))</f>
        <v/>
      </c>
      <c r="N559" s="53" t="str">
        <f>IF($K559="","",IFERROR(VLOOKUP(--SUBSTITUTE(SUBSTITUTE(TRIM($K559),"-","")," ",""),마스터시트!$A$2:$H$1946,3,FALSE),"미등록"))</f>
        <v/>
      </c>
      <c r="O559" s="18" t="str">
        <f>IF($K559="","",IFERROR(VLOOKUP(--SUBSTITUTE(SUBSTITUTE(TRIM($K559),"-","")," ",""),마스터시트!$A$2:$H$1946,4,FALSE),""))</f>
        <v/>
      </c>
      <c r="P559" s="18" t="str">
        <f>IF($K559="","",IFERROR(VLOOKUP(--SUBSTITUTE(SUBSTITUTE(TRIM($K559),"-","")," ",""),마스터시트!$A$2:$H$1946,5,FALSE),""))</f>
        <v/>
      </c>
      <c r="Q559" s="18" t="str">
        <f>IF($K559="","",IFERROR(VLOOKUP(--SUBSTITUTE(SUBSTITUTE(TRIM($K559),"-","")," ",""),마스터시트!$A$2:$H$1946,6,FALSE),""))</f>
        <v/>
      </c>
      <c r="R559" s="18" t="str">
        <f>IF($K559="","",IFERROR(VLOOKUP(--SUBSTITUTE(SUBSTITUTE(TRIM($K559),"-","")," ",""),마스터시트!$A$2:$H$1946,7,FALSE),""))</f>
        <v/>
      </c>
    </row>
    <row r="560" spans="13:18" x14ac:dyDescent="0.3">
      <c r="M560" s="18" t="str">
        <f>IF($K560="","",IFERROR(VLOOKUP(--SUBSTITUTE(SUBSTITUTE(TRIM($K560),"-","")," ",""),마스터시트!$A$2:$H$1946,2,FALSE),"미등록"))</f>
        <v/>
      </c>
      <c r="N560" s="53" t="str">
        <f>IF($K560="","",IFERROR(VLOOKUP(--SUBSTITUTE(SUBSTITUTE(TRIM($K560),"-","")," ",""),마스터시트!$A$2:$H$1946,3,FALSE),"미등록"))</f>
        <v/>
      </c>
      <c r="O560" s="18" t="str">
        <f>IF($K560="","",IFERROR(VLOOKUP(--SUBSTITUTE(SUBSTITUTE(TRIM($K560),"-","")," ",""),마스터시트!$A$2:$H$1946,4,FALSE),""))</f>
        <v/>
      </c>
      <c r="P560" s="18" t="str">
        <f>IF($K560="","",IFERROR(VLOOKUP(--SUBSTITUTE(SUBSTITUTE(TRIM($K560),"-","")," ",""),마스터시트!$A$2:$H$1946,5,FALSE),""))</f>
        <v/>
      </c>
      <c r="Q560" s="18" t="str">
        <f>IF($K560="","",IFERROR(VLOOKUP(--SUBSTITUTE(SUBSTITUTE(TRIM($K560),"-","")," ",""),마스터시트!$A$2:$H$1946,6,FALSE),""))</f>
        <v/>
      </c>
      <c r="R560" s="18" t="str">
        <f>IF($K560="","",IFERROR(VLOOKUP(--SUBSTITUTE(SUBSTITUTE(TRIM($K560),"-","")," ",""),마스터시트!$A$2:$H$1946,7,FALSE),""))</f>
        <v/>
      </c>
    </row>
    <row r="561" spans="13:18" x14ac:dyDescent="0.3">
      <c r="M561" s="18" t="str">
        <f>IF($K561="","",IFERROR(VLOOKUP(--SUBSTITUTE(SUBSTITUTE(TRIM($K561),"-","")," ",""),마스터시트!$A$2:$H$1946,2,FALSE),"미등록"))</f>
        <v/>
      </c>
      <c r="N561" s="53" t="str">
        <f>IF($K561="","",IFERROR(VLOOKUP(--SUBSTITUTE(SUBSTITUTE(TRIM($K561),"-","")," ",""),마스터시트!$A$2:$H$1946,3,FALSE),"미등록"))</f>
        <v/>
      </c>
      <c r="O561" s="18" t="str">
        <f>IF($K561="","",IFERROR(VLOOKUP(--SUBSTITUTE(SUBSTITUTE(TRIM($K561),"-","")," ",""),마스터시트!$A$2:$H$1946,4,FALSE),""))</f>
        <v/>
      </c>
      <c r="P561" s="18" t="str">
        <f>IF($K561="","",IFERROR(VLOOKUP(--SUBSTITUTE(SUBSTITUTE(TRIM($K561),"-","")," ",""),마스터시트!$A$2:$H$1946,5,FALSE),""))</f>
        <v/>
      </c>
      <c r="Q561" s="18" t="str">
        <f>IF($K561="","",IFERROR(VLOOKUP(--SUBSTITUTE(SUBSTITUTE(TRIM($K561),"-","")," ",""),마스터시트!$A$2:$H$1946,6,FALSE),""))</f>
        <v/>
      </c>
      <c r="R561" s="18" t="str">
        <f>IF($K561="","",IFERROR(VLOOKUP(--SUBSTITUTE(SUBSTITUTE(TRIM($K561),"-","")," ",""),마스터시트!$A$2:$H$1946,7,FALSE),""))</f>
        <v/>
      </c>
    </row>
    <row r="562" spans="13:18" x14ac:dyDescent="0.3">
      <c r="M562" s="18" t="str">
        <f>IF($K562="","",IFERROR(VLOOKUP(--SUBSTITUTE(SUBSTITUTE(TRIM($K562),"-","")," ",""),마스터시트!$A$2:$H$1946,2,FALSE),"미등록"))</f>
        <v/>
      </c>
      <c r="N562" s="53" t="str">
        <f>IF($K562="","",IFERROR(VLOOKUP(--SUBSTITUTE(SUBSTITUTE(TRIM($K562),"-","")," ",""),마스터시트!$A$2:$H$1946,3,FALSE),"미등록"))</f>
        <v/>
      </c>
      <c r="O562" s="18" t="str">
        <f>IF($K562="","",IFERROR(VLOOKUP(--SUBSTITUTE(SUBSTITUTE(TRIM($K562),"-","")," ",""),마스터시트!$A$2:$H$1946,4,FALSE),""))</f>
        <v/>
      </c>
      <c r="P562" s="18" t="str">
        <f>IF($K562="","",IFERROR(VLOOKUP(--SUBSTITUTE(SUBSTITUTE(TRIM($K562),"-","")," ",""),마스터시트!$A$2:$H$1946,5,FALSE),""))</f>
        <v/>
      </c>
      <c r="Q562" s="18" t="str">
        <f>IF($K562="","",IFERROR(VLOOKUP(--SUBSTITUTE(SUBSTITUTE(TRIM($K562),"-","")," ",""),마스터시트!$A$2:$H$1946,6,FALSE),""))</f>
        <v/>
      </c>
      <c r="R562" s="18" t="str">
        <f>IF($K562="","",IFERROR(VLOOKUP(--SUBSTITUTE(SUBSTITUTE(TRIM($K562),"-","")," ",""),마스터시트!$A$2:$H$1946,7,FALSE),""))</f>
        <v/>
      </c>
    </row>
    <row r="563" spans="13:18" x14ac:dyDescent="0.3">
      <c r="M563" s="18" t="str">
        <f>IF($K563="","",IFERROR(VLOOKUP(--SUBSTITUTE(SUBSTITUTE(TRIM($K563),"-","")," ",""),마스터시트!$A$2:$H$1946,2,FALSE),"미등록"))</f>
        <v/>
      </c>
      <c r="N563" s="53" t="str">
        <f>IF($K563="","",IFERROR(VLOOKUP(--SUBSTITUTE(SUBSTITUTE(TRIM($K563),"-","")," ",""),마스터시트!$A$2:$H$1946,3,FALSE),"미등록"))</f>
        <v/>
      </c>
      <c r="O563" s="18" t="str">
        <f>IF($K563="","",IFERROR(VLOOKUP(--SUBSTITUTE(SUBSTITUTE(TRIM($K563),"-","")," ",""),마스터시트!$A$2:$H$1946,4,FALSE),""))</f>
        <v/>
      </c>
      <c r="P563" s="18" t="str">
        <f>IF($K563="","",IFERROR(VLOOKUP(--SUBSTITUTE(SUBSTITUTE(TRIM($K563),"-","")," ",""),마스터시트!$A$2:$H$1946,5,FALSE),""))</f>
        <v/>
      </c>
      <c r="Q563" s="18" t="str">
        <f>IF($K563="","",IFERROR(VLOOKUP(--SUBSTITUTE(SUBSTITUTE(TRIM($K563),"-","")," ",""),마스터시트!$A$2:$H$1946,6,FALSE),""))</f>
        <v/>
      </c>
      <c r="R563" s="18" t="str">
        <f>IF($K563="","",IFERROR(VLOOKUP(--SUBSTITUTE(SUBSTITUTE(TRIM($K563),"-","")," ",""),마스터시트!$A$2:$H$1946,7,FALSE),""))</f>
        <v/>
      </c>
    </row>
    <row r="564" spans="13:18" x14ac:dyDescent="0.3">
      <c r="M564" s="18" t="str">
        <f>IF($K564="","",IFERROR(VLOOKUP(--SUBSTITUTE(SUBSTITUTE(TRIM($K564),"-","")," ",""),마스터시트!$A$2:$H$1946,2,FALSE),"미등록"))</f>
        <v/>
      </c>
      <c r="N564" s="53" t="str">
        <f>IF($K564="","",IFERROR(VLOOKUP(--SUBSTITUTE(SUBSTITUTE(TRIM($K564),"-","")," ",""),마스터시트!$A$2:$H$1946,3,FALSE),"미등록"))</f>
        <v/>
      </c>
      <c r="O564" s="18" t="str">
        <f>IF($K564="","",IFERROR(VLOOKUP(--SUBSTITUTE(SUBSTITUTE(TRIM($K564),"-","")," ",""),마스터시트!$A$2:$H$1946,4,FALSE),""))</f>
        <v/>
      </c>
      <c r="P564" s="18" t="str">
        <f>IF($K564="","",IFERROR(VLOOKUP(--SUBSTITUTE(SUBSTITUTE(TRIM($K564),"-","")," ",""),마스터시트!$A$2:$H$1946,5,FALSE),""))</f>
        <v/>
      </c>
      <c r="Q564" s="18" t="str">
        <f>IF($K564="","",IFERROR(VLOOKUP(--SUBSTITUTE(SUBSTITUTE(TRIM($K564),"-","")," ",""),마스터시트!$A$2:$H$1946,6,FALSE),""))</f>
        <v/>
      </c>
      <c r="R564" s="18" t="str">
        <f>IF($K564="","",IFERROR(VLOOKUP(--SUBSTITUTE(SUBSTITUTE(TRIM($K564),"-","")," ",""),마스터시트!$A$2:$H$1946,7,FALSE),""))</f>
        <v/>
      </c>
    </row>
    <row r="565" spans="13:18" x14ac:dyDescent="0.3">
      <c r="M565" s="18" t="str">
        <f>IF($K565="","",IFERROR(VLOOKUP(--SUBSTITUTE(SUBSTITUTE(TRIM($K565),"-","")," ",""),마스터시트!$A$2:$H$1946,2,FALSE),"미등록"))</f>
        <v/>
      </c>
      <c r="N565" s="53" t="str">
        <f>IF($K565="","",IFERROR(VLOOKUP(--SUBSTITUTE(SUBSTITUTE(TRIM($K565),"-","")," ",""),마스터시트!$A$2:$H$1946,3,FALSE),"미등록"))</f>
        <v/>
      </c>
      <c r="O565" s="18" t="str">
        <f>IF($K565="","",IFERROR(VLOOKUP(--SUBSTITUTE(SUBSTITUTE(TRIM($K565),"-","")," ",""),마스터시트!$A$2:$H$1946,4,FALSE),""))</f>
        <v/>
      </c>
      <c r="P565" s="18" t="str">
        <f>IF($K565="","",IFERROR(VLOOKUP(--SUBSTITUTE(SUBSTITUTE(TRIM($K565),"-","")," ",""),마스터시트!$A$2:$H$1946,5,FALSE),""))</f>
        <v/>
      </c>
      <c r="Q565" s="18" t="str">
        <f>IF($K565="","",IFERROR(VLOOKUP(--SUBSTITUTE(SUBSTITUTE(TRIM($K565),"-","")," ",""),마스터시트!$A$2:$H$1946,6,FALSE),""))</f>
        <v/>
      </c>
      <c r="R565" s="18" t="str">
        <f>IF($K565="","",IFERROR(VLOOKUP(--SUBSTITUTE(SUBSTITUTE(TRIM($K565),"-","")," ",""),마스터시트!$A$2:$H$1946,7,FALSE),""))</f>
        <v/>
      </c>
    </row>
    <row r="566" spans="13:18" x14ac:dyDescent="0.3">
      <c r="M566" s="18" t="str">
        <f>IF($K566="","",IFERROR(VLOOKUP(--SUBSTITUTE(SUBSTITUTE(TRIM($K566),"-","")," ",""),마스터시트!$A$2:$H$1946,2,FALSE),"미등록"))</f>
        <v/>
      </c>
      <c r="N566" s="53" t="str">
        <f>IF($K566="","",IFERROR(VLOOKUP(--SUBSTITUTE(SUBSTITUTE(TRIM($K566),"-","")," ",""),마스터시트!$A$2:$H$1946,3,FALSE),"미등록"))</f>
        <v/>
      </c>
      <c r="O566" s="18" t="str">
        <f>IF($K566="","",IFERROR(VLOOKUP(--SUBSTITUTE(SUBSTITUTE(TRIM($K566),"-","")," ",""),마스터시트!$A$2:$H$1946,4,FALSE),""))</f>
        <v/>
      </c>
      <c r="P566" s="18" t="str">
        <f>IF($K566="","",IFERROR(VLOOKUP(--SUBSTITUTE(SUBSTITUTE(TRIM($K566),"-","")," ",""),마스터시트!$A$2:$H$1946,5,FALSE),""))</f>
        <v/>
      </c>
      <c r="Q566" s="18" t="str">
        <f>IF($K566="","",IFERROR(VLOOKUP(--SUBSTITUTE(SUBSTITUTE(TRIM($K566),"-","")," ",""),마스터시트!$A$2:$H$1946,6,FALSE),""))</f>
        <v/>
      </c>
      <c r="R566" s="18" t="str">
        <f>IF($K566="","",IFERROR(VLOOKUP(--SUBSTITUTE(SUBSTITUTE(TRIM($K566),"-","")," ",""),마스터시트!$A$2:$H$1946,7,FALSE),""))</f>
        <v/>
      </c>
    </row>
    <row r="567" spans="13:18" x14ac:dyDescent="0.3">
      <c r="M567" s="18" t="str">
        <f>IF($K567="","",IFERROR(VLOOKUP(--SUBSTITUTE(SUBSTITUTE(TRIM($K567),"-","")," ",""),마스터시트!$A$2:$H$1946,2,FALSE),"미등록"))</f>
        <v/>
      </c>
      <c r="N567" s="53" t="str">
        <f>IF($K567="","",IFERROR(VLOOKUP(--SUBSTITUTE(SUBSTITUTE(TRIM($K567),"-","")," ",""),마스터시트!$A$2:$H$1946,3,FALSE),"미등록"))</f>
        <v/>
      </c>
      <c r="O567" s="18" t="str">
        <f>IF($K567="","",IFERROR(VLOOKUP(--SUBSTITUTE(SUBSTITUTE(TRIM($K567),"-","")," ",""),마스터시트!$A$2:$H$1946,4,FALSE),""))</f>
        <v/>
      </c>
      <c r="P567" s="18" t="str">
        <f>IF($K567="","",IFERROR(VLOOKUP(--SUBSTITUTE(SUBSTITUTE(TRIM($K567),"-","")," ",""),마스터시트!$A$2:$H$1946,5,FALSE),""))</f>
        <v/>
      </c>
      <c r="Q567" s="18" t="str">
        <f>IF($K567="","",IFERROR(VLOOKUP(--SUBSTITUTE(SUBSTITUTE(TRIM($K567),"-","")," ",""),마스터시트!$A$2:$H$1946,6,FALSE),""))</f>
        <v/>
      </c>
      <c r="R567" s="18" t="str">
        <f>IF($K567="","",IFERROR(VLOOKUP(--SUBSTITUTE(SUBSTITUTE(TRIM($K567),"-","")," ",""),마스터시트!$A$2:$H$1946,7,FALSE),""))</f>
        <v/>
      </c>
    </row>
    <row r="568" spans="13:18" x14ac:dyDescent="0.3">
      <c r="M568" s="18" t="str">
        <f>IF($K568="","",IFERROR(VLOOKUP(--SUBSTITUTE(SUBSTITUTE(TRIM($K568),"-","")," ",""),마스터시트!$A$2:$H$1946,2,FALSE),"미등록"))</f>
        <v/>
      </c>
      <c r="N568" s="53" t="str">
        <f>IF($K568="","",IFERROR(VLOOKUP(--SUBSTITUTE(SUBSTITUTE(TRIM($K568),"-","")," ",""),마스터시트!$A$2:$H$1946,3,FALSE),"미등록"))</f>
        <v/>
      </c>
      <c r="O568" s="18" t="str">
        <f>IF($K568="","",IFERROR(VLOOKUP(--SUBSTITUTE(SUBSTITUTE(TRIM($K568),"-","")," ",""),마스터시트!$A$2:$H$1946,4,FALSE),""))</f>
        <v/>
      </c>
      <c r="P568" s="18" t="str">
        <f>IF($K568="","",IFERROR(VLOOKUP(--SUBSTITUTE(SUBSTITUTE(TRIM($K568),"-","")," ",""),마스터시트!$A$2:$H$1946,5,FALSE),""))</f>
        <v/>
      </c>
      <c r="Q568" s="18" t="str">
        <f>IF($K568="","",IFERROR(VLOOKUP(--SUBSTITUTE(SUBSTITUTE(TRIM($K568),"-","")," ",""),마스터시트!$A$2:$H$1946,6,FALSE),""))</f>
        <v/>
      </c>
      <c r="R568" s="18" t="str">
        <f>IF($K568="","",IFERROR(VLOOKUP(--SUBSTITUTE(SUBSTITUTE(TRIM($K568),"-","")," ",""),마스터시트!$A$2:$H$1946,7,FALSE),""))</f>
        <v/>
      </c>
    </row>
    <row r="569" spans="13:18" x14ac:dyDescent="0.3">
      <c r="M569" s="18" t="str">
        <f>IF($K569="","",IFERROR(VLOOKUP(--SUBSTITUTE(SUBSTITUTE(TRIM($K569),"-","")," ",""),마스터시트!$A$2:$H$1946,2,FALSE),"미등록"))</f>
        <v/>
      </c>
      <c r="N569" s="53" t="str">
        <f>IF($K569="","",IFERROR(VLOOKUP(--SUBSTITUTE(SUBSTITUTE(TRIM($K569),"-","")," ",""),마스터시트!$A$2:$H$1946,3,FALSE),"미등록"))</f>
        <v/>
      </c>
      <c r="O569" s="18" t="str">
        <f>IF($K569="","",IFERROR(VLOOKUP(--SUBSTITUTE(SUBSTITUTE(TRIM($K569),"-","")," ",""),마스터시트!$A$2:$H$1946,4,FALSE),""))</f>
        <v/>
      </c>
      <c r="P569" s="18" t="str">
        <f>IF($K569="","",IFERROR(VLOOKUP(--SUBSTITUTE(SUBSTITUTE(TRIM($K569),"-","")," ",""),마스터시트!$A$2:$H$1946,5,FALSE),""))</f>
        <v/>
      </c>
      <c r="Q569" s="18" t="str">
        <f>IF($K569="","",IFERROR(VLOOKUP(--SUBSTITUTE(SUBSTITUTE(TRIM($K569),"-","")," ",""),마스터시트!$A$2:$H$1946,6,FALSE),""))</f>
        <v/>
      </c>
      <c r="R569" s="18" t="str">
        <f>IF($K569="","",IFERROR(VLOOKUP(--SUBSTITUTE(SUBSTITUTE(TRIM($K569),"-","")," ",""),마스터시트!$A$2:$H$1946,7,FALSE),""))</f>
        <v/>
      </c>
    </row>
    <row r="570" spans="13:18" x14ac:dyDescent="0.3">
      <c r="M570" s="18" t="str">
        <f>IF($K570="","",IFERROR(VLOOKUP(--SUBSTITUTE(SUBSTITUTE(TRIM($K570),"-","")," ",""),마스터시트!$A$2:$H$1946,2,FALSE),"미등록"))</f>
        <v/>
      </c>
      <c r="N570" s="53" t="str">
        <f>IF($K570="","",IFERROR(VLOOKUP(--SUBSTITUTE(SUBSTITUTE(TRIM($K570),"-","")," ",""),마스터시트!$A$2:$H$1946,3,FALSE),"미등록"))</f>
        <v/>
      </c>
      <c r="O570" s="18" t="str">
        <f>IF($K570="","",IFERROR(VLOOKUP(--SUBSTITUTE(SUBSTITUTE(TRIM($K570),"-","")," ",""),마스터시트!$A$2:$H$1946,4,FALSE),""))</f>
        <v/>
      </c>
      <c r="P570" s="18" t="str">
        <f>IF($K570="","",IFERROR(VLOOKUP(--SUBSTITUTE(SUBSTITUTE(TRIM($K570),"-","")," ",""),마스터시트!$A$2:$H$1946,5,FALSE),""))</f>
        <v/>
      </c>
      <c r="Q570" s="18" t="str">
        <f>IF($K570="","",IFERROR(VLOOKUP(--SUBSTITUTE(SUBSTITUTE(TRIM($K570),"-","")," ",""),마스터시트!$A$2:$H$1946,6,FALSE),""))</f>
        <v/>
      </c>
      <c r="R570" s="18" t="str">
        <f>IF($K570="","",IFERROR(VLOOKUP(--SUBSTITUTE(SUBSTITUTE(TRIM($K570),"-","")," ",""),마스터시트!$A$2:$H$1946,7,FALSE),""))</f>
        <v/>
      </c>
    </row>
    <row r="571" spans="13:18" x14ac:dyDescent="0.3">
      <c r="M571" s="18" t="str">
        <f>IF($K571="","",IFERROR(VLOOKUP(--SUBSTITUTE(SUBSTITUTE(TRIM($K571),"-","")," ",""),마스터시트!$A$2:$H$1946,2,FALSE),"미등록"))</f>
        <v/>
      </c>
      <c r="N571" s="53" t="str">
        <f>IF($K571="","",IFERROR(VLOOKUP(--SUBSTITUTE(SUBSTITUTE(TRIM($K571),"-","")," ",""),마스터시트!$A$2:$H$1946,3,FALSE),"미등록"))</f>
        <v/>
      </c>
      <c r="O571" s="18" t="str">
        <f>IF($K571="","",IFERROR(VLOOKUP(--SUBSTITUTE(SUBSTITUTE(TRIM($K571),"-","")," ",""),마스터시트!$A$2:$H$1946,4,FALSE),""))</f>
        <v/>
      </c>
      <c r="P571" s="18" t="str">
        <f>IF($K571="","",IFERROR(VLOOKUP(--SUBSTITUTE(SUBSTITUTE(TRIM($K571),"-","")," ",""),마스터시트!$A$2:$H$1946,5,FALSE),""))</f>
        <v/>
      </c>
      <c r="Q571" s="18" t="str">
        <f>IF($K571="","",IFERROR(VLOOKUP(--SUBSTITUTE(SUBSTITUTE(TRIM($K571),"-","")," ",""),마스터시트!$A$2:$H$1946,6,FALSE),""))</f>
        <v/>
      </c>
      <c r="R571" s="18" t="str">
        <f>IF($K571="","",IFERROR(VLOOKUP(--SUBSTITUTE(SUBSTITUTE(TRIM($K571),"-","")," ",""),마스터시트!$A$2:$H$1946,7,FALSE),""))</f>
        <v/>
      </c>
    </row>
    <row r="572" spans="13:18" x14ac:dyDescent="0.3">
      <c r="M572" s="18" t="str">
        <f>IF($K572="","",IFERROR(VLOOKUP(--SUBSTITUTE(SUBSTITUTE(TRIM($K572),"-","")," ",""),마스터시트!$A$2:$H$1946,2,FALSE),"미등록"))</f>
        <v/>
      </c>
      <c r="N572" s="53" t="str">
        <f>IF($K572="","",IFERROR(VLOOKUP(--SUBSTITUTE(SUBSTITUTE(TRIM($K572),"-","")," ",""),마스터시트!$A$2:$H$1946,3,FALSE),"미등록"))</f>
        <v/>
      </c>
      <c r="O572" s="18" t="str">
        <f>IF($K572="","",IFERROR(VLOOKUP(--SUBSTITUTE(SUBSTITUTE(TRIM($K572),"-","")," ",""),마스터시트!$A$2:$H$1946,4,FALSE),""))</f>
        <v/>
      </c>
      <c r="P572" s="18" t="str">
        <f>IF($K572="","",IFERROR(VLOOKUP(--SUBSTITUTE(SUBSTITUTE(TRIM($K572),"-","")," ",""),마스터시트!$A$2:$H$1946,5,FALSE),""))</f>
        <v/>
      </c>
      <c r="Q572" s="18" t="str">
        <f>IF($K572="","",IFERROR(VLOOKUP(--SUBSTITUTE(SUBSTITUTE(TRIM($K572),"-","")," ",""),마스터시트!$A$2:$H$1946,6,FALSE),""))</f>
        <v/>
      </c>
      <c r="R572" s="18" t="str">
        <f>IF($K572="","",IFERROR(VLOOKUP(--SUBSTITUTE(SUBSTITUTE(TRIM($K572),"-","")," ",""),마스터시트!$A$2:$H$1946,7,FALSE),""))</f>
        <v/>
      </c>
    </row>
    <row r="573" spans="13:18" x14ac:dyDescent="0.3">
      <c r="M573" s="18" t="str">
        <f>IF($K573="","",IFERROR(VLOOKUP(--SUBSTITUTE(SUBSTITUTE(TRIM($K573),"-","")," ",""),마스터시트!$A$2:$H$1946,2,FALSE),"미등록"))</f>
        <v/>
      </c>
      <c r="N573" s="53" t="str">
        <f>IF($K573="","",IFERROR(VLOOKUP(--SUBSTITUTE(SUBSTITUTE(TRIM($K573),"-","")," ",""),마스터시트!$A$2:$H$1946,3,FALSE),"미등록"))</f>
        <v/>
      </c>
      <c r="O573" s="18" t="str">
        <f>IF($K573="","",IFERROR(VLOOKUP(--SUBSTITUTE(SUBSTITUTE(TRIM($K573),"-","")," ",""),마스터시트!$A$2:$H$1946,4,FALSE),""))</f>
        <v/>
      </c>
      <c r="P573" s="18" t="str">
        <f>IF($K573="","",IFERROR(VLOOKUP(--SUBSTITUTE(SUBSTITUTE(TRIM($K573),"-","")," ",""),마스터시트!$A$2:$H$1946,5,FALSE),""))</f>
        <v/>
      </c>
      <c r="Q573" s="18" t="str">
        <f>IF($K573="","",IFERROR(VLOOKUP(--SUBSTITUTE(SUBSTITUTE(TRIM($K573),"-","")," ",""),마스터시트!$A$2:$H$1946,6,FALSE),""))</f>
        <v/>
      </c>
      <c r="R573" s="18" t="str">
        <f>IF($K573="","",IFERROR(VLOOKUP(--SUBSTITUTE(SUBSTITUTE(TRIM($K573),"-","")," ",""),마스터시트!$A$2:$H$1946,7,FALSE),""))</f>
        <v/>
      </c>
    </row>
    <row r="574" spans="13:18" x14ac:dyDescent="0.3">
      <c r="M574" s="18" t="str">
        <f>IF($K574="","",IFERROR(VLOOKUP(--SUBSTITUTE(SUBSTITUTE(TRIM($K574),"-","")," ",""),마스터시트!$A$2:$H$1946,2,FALSE),"미등록"))</f>
        <v/>
      </c>
      <c r="N574" s="53" t="str">
        <f>IF($K574="","",IFERROR(VLOOKUP(--SUBSTITUTE(SUBSTITUTE(TRIM($K574),"-","")," ",""),마스터시트!$A$2:$H$1946,3,FALSE),"미등록"))</f>
        <v/>
      </c>
      <c r="O574" s="18" t="str">
        <f>IF($K574="","",IFERROR(VLOOKUP(--SUBSTITUTE(SUBSTITUTE(TRIM($K574),"-","")," ",""),마스터시트!$A$2:$H$1946,4,FALSE),""))</f>
        <v/>
      </c>
      <c r="P574" s="18" t="str">
        <f>IF($K574="","",IFERROR(VLOOKUP(--SUBSTITUTE(SUBSTITUTE(TRIM($K574),"-","")," ",""),마스터시트!$A$2:$H$1946,5,FALSE),""))</f>
        <v/>
      </c>
      <c r="Q574" s="18" t="str">
        <f>IF($K574="","",IFERROR(VLOOKUP(--SUBSTITUTE(SUBSTITUTE(TRIM($K574),"-","")," ",""),마스터시트!$A$2:$H$1946,6,FALSE),""))</f>
        <v/>
      </c>
      <c r="R574" s="18" t="str">
        <f>IF($K574="","",IFERROR(VLOOKUP(--SUBSTITUTE(SUBSTITUTE(TRIM($K574),"-","")," ",""),마스터시트!$A$2:$H$1946,7,FALSE),""))</f>
        <v/>
      </c>
    </row>
    <row r="575" spans="13:18" x14ac:dyDescent="0.3">
      <c r="M575" s="18" t="str">
        <f>IF($K575="","",IFERROR(VLOOKUP(--SUBSTITUTE(SUBSTITUTE(TRIM($K575),"-","")," ",""),마스터시트!$A$2:$H$1946,2,FALSE),"미등록"))</f>
        <v/>
      </c>
      <c r="N575" s="53" t="str">
        <f>IF($K575="","",IFERROR(VLOOKUP(--SUBSTITUTE(SUBSTITUTE(TRIM($K575),"-","")," ",""),마스터시트!$A$2:$H$1946,3,FALSE),"미등록"))</f>
        <v/>
      </c>
      <c r="O575" s="18" t="str">
        <f>IF($K575="","",IFERROR(VLOOKUP(--SUBSTITUTE(SUBSTITUTE(TRIM($K575),"-","")," ",""),마스터시트!$A$2:$H$1946,4,FALSE),""))</f>
        <v/>
      </c>
      <c r="P575" s="18" t="str">
        <f>IF($K575="","",IFERROR(VLOOKUP(--SUBSTITUTE(SUBSTITUTE(TRIM($K575),"-","")," ",""),마스터시트!$A$2:$H$1946,5,FALSE),""))</f>
        <v/>
      </c>
      <c r="Q575" s="18" t="str">
        <f>IF($K575="","",IFERROR(VLOOKUP(--SUBSTITUTE(SUBSTITUTE(TRIM($K575),"-","")," ",""),마스터시트!$A$2:$H$1946,6,FALSE),""))</f>
        <v/>
      </c>
      <c r="R575" s="18" t="str">
        <f>IF($K575="","",IFERROR(VLOOKUP(--SUBSTITUTE(SUBSTITUTE(TRIM($K575),"-","")," ",""),마스터시트!$A$2:$H$1946,7,FALSE),""))</f>
        <v/>
      </c>
    </row>
    <row r="576" spans="13:18" x14ac:dyDescent="0.3">
      <c r="M576" s="18" t="str">
        <f>IF($K576="","",IFERROR(VLOOKUP(--SUBSTITUTE(SUBSTITUTE(TRIM($K576),"-","")," ",""),마스터시트!$A$2:$H$1946,2,FALSE),"미등록"))</f>
        <v/>
      </c>
      <c r="N576" s="53" t="str">
        <f>IF($K576="","",IFERROR(VLOOKUP(--SUBSTITUTE(SUBSTITUTE(TRIM($K576),"-","")," ",""),마스터시트!$A$2:$H$1946,3,FALSE),"미등록"))</f>
        <v/>
      </c>
      <c r="O576" s="18" t="str">
        <f>IF($K576="","",IFERROR(VLOOKUP(--SUBSTITUTE(SUBSTITUTE(TRIM($K576),"-","")," ",""),마스터시트!$A$2:$H$1946,4,FALSE),""))</f>
        <v/>
      </c>
      <c r="P576" s="18" t="str">
        <f>IF($K576="","",IFERROR(VLOOKUP(--SUBSTITUTE(SUBSTITUTE(TRIM($K576),"-","")," ",""),마스터시트!$A$2:$H$1946,5,FALSE),""))</f>
        <v/>
      </c>
      <c r="Q576" s="18" t="str">
        <f>IF($K576="","",IFERROR(VLOOKUP(--SUBSTITUTE(SUBSTITUTE(TRIM($K576),"-","")," ",""),마스터시트!$A$2:$H$1946,6,FALSE),""))</f>
        <v/>
      </c>
      <c r="R576" s="18" t="str">
        <f>IF($K576="","",IFERROR(VLOOKUP(--SUBSTITUTE(SUBSTITUTE(TRIM($K576),"-","")," ",""),마스터시트!$A$2:$H$1946,7,FALSE),""))</f>
        <v/>
      </c>
    </row>
    <row r="577" spans="13:18" x14ac:dyDescent="0.3">
      <c r="M577" s="18" t="str">
        <f>IF($K577="","",IFERROR(VLOOKUP(--SUBSTITUTE(SUBSTITUTE(TRIM($K577),"-","")," ",""),마스터시트!$A$2:$H$1946,2,FALSE),"미등록"))</f>
        <v/>
      </c>
      <c r="N577" s="53" t="str">
        <f>IF($K577="","",IFERROR(VLOOKUP(--SUBSTITUTE(SUBSTITUTE(TRIM($K577),"-","")," ",""),마스터시트!$A$2:$H$1946,3,FALSE),"미등록"))</f>
        <v/>
      </c>
      <c r="O577" s="18" t="str">
        <f>IF($K577="","",IFERROR(VLOOKUP(--SUBSTITUTE(SUBSTITUTE(TRIM($K577),"-","")," ",""),마스터시트!$A$2:$H$1946,4,FALSE),""))</f>
        <v/>
      </c>
      <c r="P577" s="18" t="str">
        <f>IF($K577="","",IFERROR(VLOOKUP(--SUBSTITUTE(SUBSTITUTE(TRIM($K577),"-","")," ",""),마스터시트!$A$2:$H$1946,5,FALSE),""))</f>
        <v/>
      </c>
      <c r="Q577" s="18" t="str">
        <f>IF($K577="","",IFERROR(VLOOKUP(--SUBSTITUTE(SUBSTITUTE(TRIM($K577),"-","")," ",""),마스터시트!$A$2:$H$1946,6,FALSE),""))</f>
        <v/>
      </c>
      <c r="R577" s="18" t="str">
        <f>IF($K577="","",IFERROR(VLOOKUP(--SUBSTITUTE(SUBSTITUTE(TRIM($K577),"-","")," ",""),마스터시트!$A$2:$H$1946,7,FALSE),""))</f>
        <v/>
      </c>
    </row>
    <row r="578" spans="13:18" x14ac:dyDescent="0.3">
      <c r="M578" s="18" t="str">
        <f>IF($K578="","",IFERROR(VLOOKUP(--SUBSTITUTE(SUBSTITUTE(TRIM($K578),"-","")," ",""),마스터시트!$A$2:$H$1946,2,FALSE),"미등록"))</f>
        <v/>
      </c>
      <c r="N578" s="53" t="str">
        <f>IF($K578="","",IFERROR(VLOOKUP(--SUBSTITUTE(SUBSTITUTE(TRIM($K578),"-","")," ",""),마스터시트!$A$2:$H$1946,3,FALSE),"미등록"))</f>
        <v/>
      </c>
      <c r="O578" s="18" t="str">
        <f>IF($K578="","",IFERROR(VLOOKUP(--SUBSTITUTE(SUBSTITUTE(TRIM($K578),"-","")," ",""),마스터시트!$A$2:$H$1946,4,FALSE),""))</f>
        <v/>
      </c>
      <c r="P578" s="18" t="str">
        <f>IF($K578="","",IFERROR(VLOOKUP(--SUBSTITUTE(SUBSTITUTE(TRIM($K578),"-","")," ",""),마스터시트!$A$2:$H$1946,5,FALSE),""))</f>
        <v/>
      </c>
      <c r="Q578" s="18" t="str">
        <f>IF($K578="","",IFERROR(VLOOKUP(--SUBSTITUTE(SUBSTITUTE(TRIM($K578),"-","")," ",""),마스터시트!$A$2:$H$1946,6,FALSE),""))</f>
        <v/>
      </c>
      <c r="R578" s="18" t="str">
        <f>IF($K578="","",IFERROR(VLOOKUP(--SUBSTITUTE(SUBSTITUTE(TRIM($K578),"-","")," ",""),마스터시트!$A$2:$H$1946,7,FALSE),""))</f>
        <v/>
      </c>
    </row>
    <row r="579" spans="13:18" x14ac:dyDescent="0.3">
      <c r="M579" s="18" t="str">
        <f>IF($K579="","",IFERROR(VLOOKUP(--SUBSTITUTE(SUBSTITUTE(TRIM($K579),"-","")," ",""),마스터시트!$A$2:$H$1946,2,FALSE),"미등록"))</f>
        <v/>
      </c>
      <c r="N579" s="53" t="str">
        <f>IF($K579="","",IFERROR(VLOOKUP(--SUBSTITUTE(SUBSTITUTE(TRIM($K579),"-","")," ",""),마스터시트!$A$2:$H$1946,3,FALSE),"미등록"))</f>
        <v/>
      </c>
      <c r="O579" s="18" t="str">
        <f>IF($K579="","",IFERROR(VLOOKUP(--SUBSTITUTE(SUBSTITUTE(TRIM($K579),"-","")," ",""),마스터시트!$A$2:$H$1946,4,FALSE),""))</f>
        <v/>
      </c>
      <c r="P579" s="18" t="str">
        <f>IF($K579="","",IFERROR(VLOOKUP(--SUBSTITUTE(SUBSTITUTE(TRIM($K579),"-","")," ",""),마스터시트!$A$2:$H$1946,5,FALSE),""))</f>
        <v/>
      </c>
      <c r="Q579" s="18" t="str">
        <f>IF($K579="","",IFERROR(VLOOKUP(--SUBSTITUTE(SUBSTITUTE(TRIM($K579),"-","")," ",""),마스터시트!$A$2:$H$1946,6,FALSE),""))</f>
        <v/>
      </c>
      <c r="R579" s="18" t="str">
        <f>IF($K579="","",IFERROR(VLOOKUP(--SUBSTITUTE(SUBSTITUTE(TRIM($K579),"-","")," ",""),마스터시트!$A$2:$H$1946,7,FALSE),""))</f>
        <v/>
      </c>
    </row>
    <row r="580" spans="13:18" x14ac:dyDescent="0.3">
      <c r="M580" s="18" t="str">
        <f>IF($K580="","",IFERROR(VLOOKUP(--SUBSTITUTE(SUBSTITUTE(TRIM($K580),"-","")," ",""),마스터시트!$A$2:$H$1946,2,FALSE),"미등록"))</f>
        <v/>
      </c>
      <c r="N580" s="53" t="str">
        <f>IF($K580="","",IFERROR(VLOOKUP(--SUBSTITUTE(SUBSTITUTE(TRIM($K580),"-","")," ",""),마스터시트!$A$2:$H$1946,3,FALSE),"미등록"))</f>
        <v/>
      </c>
      <c r="O580" s="18" t="str">
        <f>IF($K580="","",IFERROR(VLOOKUP(--SUBSTITUTE(SUBSTITUTE(TRIM($K580),"-","")," ",""),마스터시트!$A$2:$H$1946,4,FALSE),""))</f>
        <v/>
      </c>
      <c r="P580" s="18" t="str">
        <f>IF($K580="","",IFERROR(VLOOKUP(--SUBSTITUTE(SUBSTITUTE(TRIM($K580),"-","")," ",""),마스터시트!$A$2:$H$1946,5,FALSE),""))</f>
        <v/>
      </c>
      <c r="Q580" s="18" t="str">
        <f>IF($K580="","",IFERROR(VLOOKUP(--SUBSTITUTE(SUBSTITUTE(TRIM($K580),"-","")," ",""),마스터시트!$A$2:$H$1946,6,FALSE),""))</f>
        <v/>
      </c>
      <c r="R580" s="18" t="str">
        <f>IF($K580="","",IFERROR(VLOOKUP(--SUBSTITUTE(SUBSTITUTE(TRIM($K580),"-","")," ",""),마스터시트!$A$2:$H$1946,7,FALSE),""))</f>
        <v/>
      </c>
    </row>
    <row r="581" spans="13:18" x14ac:dyDescent="0.3">
      <c r="M581" s="18" t="str">
        <f>IF($K581="","",IFERROR(VLOOKUP(--SUBSTITUTE(SUBSTITUTE(TRIM($K581),"-","")," ",""),마스터시트!$A$2:$H$1946,2,FALSE),"미등록"))</f>
        <v/>
      </c>
      <c r="N581" s="53" t="str">
        <f>IF($K581="","",IFERROR(VLOOKUP(--SUBSTITUTE(SUBSTITUTE(TRIM($K581),"-","")," ",""),마스터시트!$A$2:$H$1946,3,FALSE),"미등록"))</f>
        <v/>
      </c>
      <c r="O581" s="18" t="str">
        <f>IF($K581="","",IFERROR(VLOOKUP(--SUBSTITUTE(SUBSTITUTE(TRIM($K581),"-","")," ",""),마스터시트!$A$2:$H$1946,4,FALSE),""))</f>
        <v/>
      </c>
      <c r="P581" s="18" t="str">
        <f>IF($K581="","",IFERROR(VLOOKUP(--SUBSTITUTE(SUBSTITUTE(TRIM($K581),"-","")," ",""),마스터시트!$A$2:$H$1946,5,FALSE),""))</f>
        <v/>
      </c>
      <c r="Q581" s="18" t="str">
        <f>IF($K581="","",IFERROR(VLOOKUP(--SUBSTITUTE(SUBSTITUTE(TRIM($K581),"-","")," ",""),마스터시트!$A$2:$H$1946,6,FALSE),""))</f>
        <v/>
      </c>
      <c r="R581" s="18" t="str">
        <f>IF($K581="","",IFERROR(VLOOKUP(--SUBSTITUTE(SUBSTITUTE(TRIM($K581),"-","")," ",""),마스터시트!$A$2:$H$1946,7,FALSE),""))</f>
        <v/>
      </c>
    </row>
    <row r="582" spans="13:18" x14ac:dyDescent="0.3">
      <c r="M582" s="18" t="str">
        <f>IF($K582="","",IFERROR(VLOOKUP(--SUBSTITUTE(SUBSTITUTE(TRIM($K582),"-","")," ",""),마스터시트!$A$2:$H$1946,2,FALSE),"미등록"))</f>
        <v/>
      </c>
      <c r="N582" s="53" t="str">
        <f>IF($K582="","",IFERROR(VLOOKUP(--SUBSTITUTE(SUBSTITUTE(TRIM($K582),"-","")," ",""),마스터시트!$A$2:$H$1946,3,FALSE),"미등록"))</f>
        <v/>
      </c>
      <c r="O582" s="18" t="str">
        <f>IF($K582="","",IFERROR(VLOOKUP(--SUBSTITUTE(SUBSTITUTE(TRIM($K582),"-","")," ",""),마스터시트!$A$2:$H$1946,4,FALSE),""))</f>
        <v/>
      </c>
      <c r="P582" s="18" t="str">
        <f>IF($K582="","",IFERROR(VLOOKUP(--SUBSTITUTE(SUBSTITUTE(TRIM($K582),"-","")," ",""),마스터시트!$A$2:$H$1946,5,FALSE),""))</f>
        <v/>
      </c>
      <c r="Q582" s="18" t="str">
        <f>IF($K582="","",IFERROR(VLOOKUP(--SUBSTITUTE(SUBSTITUTE(TRIM($K582),"-","")," ",""),마스터시트!$A$2:$H$1946,6,FALSE),""))</f>
        <v/>
      </c>
      <c r="R582" s="18" t="str">
        <f>IF($K582="","",IFERROR(VLOOKUP(--SUBSTITUTE(SUBSTITUTE(TRIM($K582),"-","")," ",""),마스터시트!$A$2:$H$1946,7,FALSE),""))</f>
        <v/>
      </c>
    </row>
    <row r="583" spans="13:18" x14ac:dyDescent="0.3">
      <c r="M583" s="18" t="str">
        <f>IF($K583="","",IFERROR(VLOOKUP(--SUBSTITUTE(SUBSTITUTE(TRIM($K583),"-","")," ",""),마스터시트!$A$2:$H$1946,2,FALSE),"미등록"))</f>
        <v/>
      </c>
      <c r="N583" s="53" t="str">
        <f>IF($K583="","",IFERROR(VLOOKUP(--SUBSTITUTE(SUBSTITUTE(TRIM($K583),"-","")," ",""),마스터시트!$A$2:$H$1946,3,FALSE),"미등록"))</f>
        <v/>
      </c>
      <c r="O583" s="18" t="str">
        <f>IF($K583="","",IFERROR(VLOOKUP(--SUBSTITUTE(SUBSTITUTE(TRIM($K583),"-","")," ",""),마스터시트!$A$2:$H$1946,4,FALSE),""))</f>
        <v/>
      </c>
      <c r="P583" s="18" t="str">
        <f>IF($K583="","",IFERROR(VLOOKUP(--SUBSTITUTE(SUBSTITUTE(TRIM($K583),"-","")," ",""),마스터시트!$A$2:$H$1946,5,FALSE),""))</f>
        <v/>
      </c>
      <c r="Q583" s="18" t="str">
        <f>IF($K583="","",IFERROR(VLOOKUP(--SUBSTITUTE(SUBSTITUTE(TRIM($K583),"-","")," ",""),마스터시트!$A$2:$H$1946,6,FALSE),""))</f>
        <v/>
      </c>
      <c r="R583" s="18" t="str">
        <f>IF($K583="","",IFERROR(VLOOKUP(--SUBSTITUTE(SUBSTITUTE(TRIM($K583),"-","")," ",""),마스터시트!$A$2:$H$1946,7,FALSE),""))</f>
        <v/>
      </c>
    </row>
    <row r="584" spans="13:18" x14ac:dyDescent="0.3">
      <c r="M584" s="18" t="str">
        <f>IF($K584="","",IFERROR(VLOOKUP(--SUBSTITUTE(SUBSTITUTE(TRIM($K584),"-","")," ",""),마스터시트!$A$2:$H$1946,2,FALSE),"미등록"))</f>
        <v/>
      </c>
      <c r="N584" s="53" t="str">
        <f>IF($K584="","",IFERROR(VLOOKUP(--SUBSTITUTE(SUBSTITUTE(TRIM($K584),"-","")," ",""),마스터시트!$A$2:$H$1946,3,FALSE),"미등록"))</f>
        <v/>
      </c>
      <c r="O584" s="18" t="str">
        <f>IF($K584="","",IFERROR(VLOOKUP(--SUBSTITUTE(SUBSTITUTE(TRIM($K584),"-","")," ",""),마스터시트!$A$2:$H$1946,4,FALSE),""))</f>
        <v/>
      </c>
      <c r="P584" s="18" t="str">
        <f>IF($K584="","",IFERROR(VLOOKUP(--SUBSTITUTE(SUBSTITUTE(TRIM($K584),"-","")," ",""),마스터시트!$A$2:$H$1946,5,FALSE),""))</f>
        <v/>
      </c>
      <c r="Q584" s="18" t="str">
        <f>IF($K584="","",IFERROR(VLOOKUP(--SUBSTITUTE(SUBSTITUTE(TRIM($K584),"-","")," ",""),마스터시트!$A$2:$H$1946,6,FALSE),""))</f>
        <v/>
      </c>
      <c r="R584" s="18" t="str">
        <f>IF($K584="","",IFERROR(VLOOKUP(--SUBSTITUTE(SUBSTITUTE(TRIM($K584),"-","")," ",""),마스터시트!$A$2:$H$1946,7,FALSE),""))</f>
        <v/>
      </c>
    </row>
    <row r="585" spans="13:18" x14ac:dyDescent="0.3">
      <c r="M585" s="18" t="str">
        <f>IF($K585="","",IFERROR(VLOOKUP(--SUBSTITUTE(SUBSTITUTE(TRIM($K585),"-","")," ",""),마스터시트!$A$2:$H$1946,2,FALSE),"미등록"))</f>
        <v/>
      </c>
      <c r="N585" s="53" t="str">
        <f>IF($K585="","",IFERROR(VLOOKUP(--SUBSTITUTE(SUBSTITUTE(TRIM($K585),"-","")," ",""),마스터시트!$A$2:$H$1946,3,FALSE),"미등록"))</f>
        <v/>
      </c>
      <c r="O585" s="18" t="str">
        <f>IF($K585="","",IFERROR(VLOOKUP(--SUBSTITUTE(SUBSTITUTE(TRIM($K585),"-","")," ",""),마스터시트!$A$2:$H$1946,4,FALSE),""))</f>
        <v/>
      </c>
      <c r="P585" s="18" t="str">
        <f>IF($K585="","",IFERROR(VLOOKUP(--SUBSTITUTE(SUBSTITUTE(TRIM($K585),"-","")," ",""),마스터시트!$A$2:$H$1946,5,FALSE),""))</f>
        <v/>
      </c>
      <c r="Q585" s="18" t="str">
        <f>IF($K585="","",IFERROR(VLOOKUP(--SUBSTITUTE(SUBSTITUTE(TRIM($K585),"-","")," ",""),마스터시트!$A$2:$H$1946,6,FALSE),""))</f>
        <v/>
      </c>
      <c r="R585" s="18" t="str">
        <f>IF($K585="","",IFERROR(VLOOKUP(--SUBSTITUTE(SUBSTITUTE(TRIM($K585),"-","")," ",""),마스터시트!$A$2:$H$1946,7,FALSE),""))</f>
        <v/>
      </c>
    </row>
    <row r="586" spans="13:18" x14ac:dyDescent="0.3">
      <c r="M586" s="18" t="str">
        <f>IF($K586="","",IFERROR(VLOOKUP(--SUBSTITUTE(SUBSTITUTE(TRIM($K586),"-","")," ",""),마스터시트!$A$2:$H$1946,2,FALSE),"미등록"))</f>
        <v/>
      </c>
      <c r="N586" s="53" t="str">
        <f>IF($K586="","",IFERROR(VLOOKUP(--SUBSTITUTE(SUBSTITUTE(TRIM($K586),"-","")," ",""),마스터시트!$A$2:$H$1946,3,FALSE),"미등록"))</f>
        <v/>
      </c>
      <c r="O586" s="18" t="str">
        <f>IF($K586="","",IFERROR(VLOOKUP(--SUBSTITUTE(SUBSTITUTE(TRIM($K586),"-","")," ",""),마스터시트!$A$2:$H$1946,4,FALSE),""))</f>
        <v/>
      </c>
      <c r="P586" s="18" t="str">
        <f>IF($K586="","",IFERROR(VLOOKUP(--SUBSTITUTE(SUBSTITUTE(TRIM($K586),"-","")," ",""),마스터시트!$A$2:$H$1946,5,FALSE),""))</f>
        <v/>
      </c>
      <c r="Q586" s="18" t="str">
        <f>IF($K586="","",IFERROR(VLOOKUP(--SUBSTITUTE(SUBSTITUTE(TRIM($K586),"-","")," ",""),마스터시트!$A$2:$H$1946,6,FALSE),""))</f>
        <v/>
      </c>
      <c r="R586" s="18" t="str">
        <f>IF($K586="","",IFERROR(VLOOKUP(--SUBSTITUTE(SUBSTITUTE(TRIM($K586),"-","")," ",""),마스터시트!$A$2:$H$1946,7,FALSE),""))</f>
        <v/>
      </c>
    </row>
    <row r="587" spans="13:18" x14ac:dyDescent="0.3">
      <c r="M587" s="18" t="str">
        <f>IF($K587="","",IFERROR(VLOOKUP(--SUBSTITUTE(SUBSTITUTE(TRIM($K587),"-","")," ",""),마스터시트!$A$2:$H$1946,2,FALSE),"미등록"))</f>
        <v/>
      </c>
      <c r="N587" s="53" t="str">
        <f>IF($K587="","",IFERROR(VLOOKUP(--SUBSTITUTE(SUBSTITUTE(TRIM($K587),"-","")," ",""),마스터시트!$A$2:$H$1946,3,FALSE),"미등록"))</f>
        <v/>
      </c>
      <c r="O587" s="18" t="str">
        <f>IF($K587="","",IFERROR(VLOOKUP(--SUBSTITUTE(SUBSTITUTE(TRIM($K587),"-","")," ",""),마스터시트!$A$2:$H$1946,4,FALSE),""))</f>
        <v/>
      </c>
      <c r="P587" s="18" t="str">
        <f>IF($K587="","",IFERROR(VLOOKUP(--SUBSTITUTE(SUBSTITUTE(TRIM($K587),"-","")," ",""),마스터시트!$A$2:$H$1946,5,FALSE),""))</f>
        <v/>
      </c>
      <c r="Q587" s="18" t="str">
        <f>IF($K587="","",IFERROR(VLOOKUP(--SUBSTITUTE(SUBSTITUTE(TRIM($K587),"-","")," ",""),마스터시트!$A$2:$H$1946,6,FALSE),""))</f>
        <v/>
      </c>
      <c r="R587" s="18" t="str">
        <f>IF($K587="","",IFERROR(VLOOKUP(--SUBSTITUTE(SUBSTITUTE(TRIM($K587),"-","")," ",""),마스터시트!$A$2:$H$1946,7,FALSE),""))</f>
        <v/>
      </c>
    </row>
    <row r="588" spans="13:18" x14ac:dyDescent="0.3">
      <c r="M588" s="18" t="str">
        <f>IF($K588="","",IFERROR(VLOOKUP(--SUBSTITUTE(SUBSTITUTE(TRIM($K588),"-","")," ",""),마스터시트!$A$2:$H$1946,2,FALSE),"미등록"))</f>
        <v/>
      </c>
      <c r="N588" s="53" t="str">
        <f>IF($K588="","",IFERROR(VLOOKUP(--SUBSTITUTE(SUBSTITUTE(TRIM($K588),"-","")," ",""),마스터시트!$A$2:$H$1946,3,FALSE),"미등록"))</f>
        <v/>
      </c>
      <c r="O588" s="18" t="str">
        <f>IF($K588="","",IFERROR(VLOOKUP(--SUBSTITUTE(SUBSTITUTE(TRIM($K588),"-","")," ",""),마스터시트!$A$2:$H$1946,4,FALSE),""))</f>
        <v/>
      </c>
      <c r="P588" s="18" t="str">
        <f>IF($K588="","",IFERROR(VLOOKUP(--SUBSTITUTE(SUBSTITUTE(TRIM($K588),"-","")," ",""),마스터시트!$A$2:$H$1946,5,FALSE),""))</f>
        <v/>
      </c>
      <c r="Q588" s="18" t="str">
        <f>IF($K588="","",IFERROR(VLOOKUP(--SUBSTITUTE(SUBSTITUTE(TRIM($K588),"-","")," ",""),마스터시트!$A$2:$H$1946,6,FALSE),""))</f>
        <v/>
      </c>
      <c r="R588" s="18" t="str">
        <f>IF($K588="","",IFERROR(VLOOKUP(--SUBSTITUTE(SUBSTITUTE(TRIM($K588),"-","")," ",""),마스터시트!$A$2:$H$1946,7,FALSE),""))</f>
        <v/>
      </c>
    </row>
    <row r="589" spans="13:18" x14ac:dyDescent="0.3">
      <c r="M589" s="18" t="str">
        <f>IF($K589="","",IFERROR(VLOOKUP(--SUBSTITUTE(SUBSTITUTE(TRIM($K589),"-","")," ",""),마스터시트!$A$2:$H$1946,2,FALSE),"미등록"))</f>
        <v/>
      </c>
      <c r="N589" s="53" t="str">
        <f>IF($K589="","",IFERROR(VLOOKUP(--SUBSTITUTE(SUBSTITUTE(TRIM($K589),"-","")," ",""),마스터시트!$A$2:$H$1946,3,FALSE),"미등록"))</f>
        <v/>
      </c>
      <c r="O589" s="18" t="str">
        <f>IF($K589="","",IFERROR(VLOOKUP(--SUBSTITUTE(SUBSTITUTE(TRIM($K589),"-","")," ",""),마스터시트!$A$2:$H$1946,4,FALSE),""))</f>
        <v/>
      </c>
      <c r="P589" s="18" t="str">
        <f>IF($K589="","",IFERROR(VLOOKUP(--SUBSTITUTE(SUBSTITUTE(TRIM($K589),"-","")," ",""),마스터시트!$A$2:$H$1946,5,FALSE),""))</f>
        <v/>
      </c>
      <c r="Q589" s="18" t="str">
        <f>IF($K589="","",IFERROR(VLOOKUP(--SUBSTITUTE(SUBSTITUTE(TRIM($K589),"-","")," ",""),마스터시트!$A$2:$H$1946,6,FALSE),""))</f>
        <v/>
      </c>
      <c r="R589" s="18" t="str">
        <f>IF($K589="","",IFERROR(VLOOKUP(--SUBSTITUTE(SUBSTITUTE(TRIM($K589),"-","")," ",""),마스터시트!$A$2:$H$1946,7,FALSE),""))</f>
        <v/>
      </c>
    </row>
    <row r="590" spans="13:18" x14ac:dyDescent="0.3">
      <c r="M590" s="18" t="str">
        <f>IF($K590="","",IFERROR(VLOOKUP(--SUBSTITUTE(SUBSTITUTE(TRIM($K590),"-","")," ",""),마스터시트!$A$2:$H$1946,2,FALSE),"미등록"))</f>
        <v/>
      </c>
      <c r="N590" s="53" t="str">
        <f>IF($K590="","",IFERROR(VLOOKUP(--SUBSTITUTE(SUBSTITUTE(TRIM($K590),"-","")," ",""),마스터시트!$A$2:$H$1946,3,FALSE),"미등록"))</f>
        <v/>
      </c>
      <c r="O590" s="18" t="str">
        <f>IF($K590="","",IFERROR(VLOOKUP(--SUBSTITUTE(SUBSTITUTE(TRIM($K590),"-","")," ",""),마스터시트!$A$2:$H$1946,4,FALSE),""))</f>
        <v/>
      </c>
      <c r="P590" s="18" t="str">
        <f>IF($K590="","",IFERROR(VLOOKUP(--SUBSTITUTE(SUBSTITUTE(TRIM($K590),"-","")," ",""),마스터시트!$A$2:$H$1946,5,FALSE),""))</f>
        <v/>
      </c>
      <c r="Q590" s="18" t="str">
        <f>IF($K590="","",IFERROR(VLOOKUP(--SUBSTITUTE(SUBSTITUTE(TRIM($K590),"-","")," ",""),마스터시트!$A$2:$H$1946,6,FALSE),""))</f>
        <v/>
      </c>
      <c r="R590" s="18" t="str">
        <f>IF($K590="","",IFERROR(VLOOKUP(--SUBSTITUTE(SUBSTITUTE(TRIM($K590),"-","")," ",""),마스터시트!$A$2:$H$1946,7,FALSE),""))</f>
        <v/>
      </c>
    </row>
    <row r="591" spans="13:18" x14ac:dyDescent="0.3">
      <c r="M591" s="18" t="str">
        <f>IF($K591="","",IFERROR(VLOOKUP(--SUBSTITUTE(SUBSTITUTE(TRIM($K591),"-","")," ",""),마스터시트!$A$2:$H$1946,2,FALSE),"미등록"))</f>
        <v/>
      </c>
      <c r="N591" s="53" t="str">
        <f>IF($K591="","",IFERROR(VLOOKUP(--SUBSTITUTE(SUBSTITUTE(TRIM($K591),"-","")," ",""),마스터시트!$A$2:$H$1946,3,FALSE),"미등록"))</f>
        <v/>
      </c>
      <c r="O591" s="18" t="str">
        <f>IF($K591="","",IFERROR(VLOOKUP(--SUBSTITUTE(SUBSTITUTE(TRIM($K591),"-","")," ",""),마스터시트!$A$2:$H$1946,4,FALSE),""))</f>
        <v/>
      </c>
      <c r="P591" s="18" t="str">
        <f>IF($K591="","",IFERROR(VLOOKUP(--SUBSTITUTE(SUBSTITUTE(TRIM($K591),"-","")," ",""),마스터시트!$A$2:$H$1946,5,FALSE),""))</f>
        <v/>
      </c>
      <c r="Q591" s="18" t="str">
        <f>IF($K591="","",IFERROR(VLOOKUP(--SUBSTITUTE(SUBSTITUTE(TRIM($K591),"-","")," ",""),마스터시트!$A$2:$H$1946,6,FALSE),""))</f>
        <v/>
      </c>
      <c r="R591" s="18" t="str">
        <f>IF($K591="","",IFERROR(VLOOKUP(--SUBSTITUTE(SUBSTITUTE(TRIM($K591),"-","")," ",""),마스터시트!$A$2:$H$1946,7,FALSE),""))</f>
        <v/>
      </c>
    </row>
    <row r="592" spans="13:18" x14ac:dyDescent="0.3">
      <c r="M592" s="18" t="str">
        <f>IF($K592="","",IFERROR(VLOOKUP(--SUBSTITUTE(SUBSTITUTE(TRIM($K592),"-","")," ",""),마스터시트!$A$2:$H$1946,2,FALSE),"미등록"))</f>
        <v/>
      </c>
      <c r="N592" s="53" t="str">
        <f>IF($K592="","",IFERROR(VLOOKUP(--SUBSTITUTE(SUBSTITUTE(TRIM($K592),"-","")," ",""),마스터시트!$A$2:$H$1946,3,FALSE),"미등록"))</f>
        <v/>
      </c>
      <c r="O592" s="18" t="str">
        <f>IF($K592="","",IFERROR(VLOOKUP(--SUBSTITUTE(SUBSTITUTE(TRIM($K592),"-","")," ",""),마스터시트!$A$2:$H$1946,4,FALSE),""))</f>
        <v/>
      </c>
      <c r="P592" s="18" t="str">
        <f>IF($K592="","",IFERROR(VLOOKUP(--SUBSTITUTE(SUBSTITUTE(TRIM($K592),"-","")," ",""),마스터시트!$A$2:$H$1946,5,FALSE),""))</f>
        <v/>
      </c>
      <c r="Q592" s="18" t="str">
        <f>IF($K592="","",IFERROR(VLOOKUP(--SUBSTITUTE(SUBSTITUTE(TRIM($K592),"-","")," ",""),마스터시트!$A$2:$H$1946,6,FALSE),""))</f>
        <v/>
      </c>
      <c r="R592" s="18" t="str">
        <f>IF($K592="","",IFERROR(VLOOKUP(--SUBSTITUTE(SUBSTITUTE(TRIM($K592),"-","")," ",""),마스터시트!$A$2:$H$1946,7,FALSE),""))</f>
        <v/>
      </c>
    </row>
    <row r="593" spans="13:18" x14ac:dyDescent="0.3">
      <c r="M593" s="18" t="str">
        <f>IF($K593="","",IFERROR(VLOOKUP(--SUBSTITUTE(SUBSTITUTE(TRIM($K593),"-","")," ",""),마스터시트!$A$2:$H$1946,2,FALSE),"미등록"))</f>
        <v/>
      </c>
      <c r="N593" s="53" t="str">
        <f>IF($K593="","",IFERROR(VLOOKUP(--SUBSTITUTE(SUBSTITUTE(TRIM($K593),"-","")," ",""),마스터시트!$A$2:$H$1946,3,FALSE),"미등록"))</f>
        <v/>
      </c>
      <c r="O593" s="18" t="str">
        <f>IF($K593="","",IFERROR(VLOOKUP(--SUBSTITUTE(SUBSTITUTE(TRIM($K593),"-","")," ",""),마스터시트!$A$2:$H$1946,4,FALSE),""))</f>
        <v/>
      </c>
      <c r="P593" s="18" t="str">
        <f>IF($K593="","",IFERROR(VLOOKUP(--SUBSTITUTE(SUBSTITUTE(TRIM($K593),"-","")," ",""),마스터시트!$A$2:$H$1946,5,FALSE),""))</f>
        <v/>
      </c>
      <c r="Q593" s="18" t="str">
        <f>IF($K593="","",IFERROR(VLOOKUP(--SUBSTITUTE(SUBSTITUTE(TRIM($K593),"-","")," ",""),마스터시트!$A$2:$H$1946,6,FALSE),""))</f>
        <v/>
      </c>
      <c r="R593" s="18" t="str">
        <f>IF($K593="","",IFERROR(VLOOKUP(--SUBSTITUTE(SUBSTITUTE(TRIM($K593),"-","")," ",""),마스터시트!$A$2:$H$1946,7,FALSE),""))</f>
        <v/>
      </c>
    </row>
    <row r="594" spans="13:18" x14ac:dyDescent="0.3">
      <c r="M594" s="18" t="str">
        <f>IF($K594="","",IFERROR(VLOOKUP(--SUBSTITUTE(SUBSTITUTE(TRIM($K594),"-","")," ",""),마스터시트!$A$2:$H$1946,2,FALSE),"미등록"))</f>
        <v/>
      </c>
      <c r="N594" s="53" t="str">
        <f>IF($K594="","",IFERROR(VLOOKUP(--SUBSTITUTE(SUBSTITUTE(TRIM($K594),"-","")," ",""),마스터시트!$A$2:$H$1946,3,FALSE),"미등록"))</f>
        <v/>
      </c>
      <c r="O594" s="18" t="str">
        <f>IF($K594="","",IFERROR(VLOOKUP(--SUBSTITUTE(SUBSTITUTE(TRIM($K594),"-","")," ",""),마스터시트!$A$2:$H$1946,4,FALSE),""))</f>
        <v/>
      </c>
      <c r="P594" s="18" t="str">
        <f>IF($K594="","",IFERROR(VLOOKUP(--SUBSTITUTE(SUBSTITUTE(TRIM($K594),"-","")," ",""),마스터시트!$A$2:$H$1946,5,FALSE),""))</f>
        <v/>
      </c>
      <c r="Q594" s="18" t="str">
        <f>IF($K594="","",IFERROR(VLOOKUP(--SUBSTITUTE(SUBSTITUTE(TRIM($K594),"-","")," ",""),마스터시트!$A$2:$H$1946,6,FALSE),""))</f>
        <v/>
      </c>
      <c r="R594" s="18" t="str">
        <f>IF($K594="","",IFERROR(VLOOKUP(--SUBSTITUTE(SUBSTITUTE(TRIM($K594),"-","")," ",""),마스터시트!$A$2:$H$1946,7,FALSE),""))</f>
        <v/>
      </c>
    </row>
    <row r="595" spans="13:18" x14ac:dyDescent="0.3">
      <c r="M595" s="18" t="str">
        <f>IF($K595="","",IFERROR(VLOOKUP(--SUBSTITUTE(SUBSTITUTE(TRIM($K595),"-","")," ",""),마스터시트!$A$2:$H$1946,2,FALSE),"미등록"))</f>
        <v/>
      </c>
      <c r="N595" s="53" t="str">
        <f>IF($K595="","",IFERROR(VLOOKUP(--SUBSTITUTE(SUBSTITUTE(TRIM($K595),"-","")," ",""),마스터시트!$A$2:$H$1946,3,FALSE),"미등록"))</f>
        <v/>
      </c>
      <c r="O595" s="18" t="str">
        <f>IF($K595="","",IFERROR(VLOOKUP(--SUBSTITUTE(SUBSTITUTE(TRIM($K595),"-","")," ",""),마스터시트!$A$2:$H$1946,4,FALSE),""))</f>
        <v/>
      </c>
      <c r="P595" s="18" t="str">
        <f>IF($K595="","",IFERROR(VLOOKUP(--SUBSTITUTE(SUBSTITUTE(TRIM($K595),"-","")," ",""),마스터시트!$A$2:$H$1946,5,FALSE),""))</f>
        <v/>
      </c>
      <c r="Q595" s="18" t="str">
        <f>IF($K595="","",IFERROR(VLOOKUP(--SUBSTITUTE(SUBSTITUTE(TRIM($K595),"-","")," ",""),마스터시트!$A$2:$H$1946,6,FALSE),""))</f>
        <v/>
      </c>
      <c r="R595" s="18" t="str">
        <f>IF($K595="","",IFERROR(VLOOKUP(--SUBSTITUTE(SUBSTITUTE(TRIM($K595),"-","")," ",""),마스터시트!$A$2:$H$1946,7,FALSE),""))</f>
        <v/>
      </c>
    </row>
    <row r="596" spans="13:18" x14ac:dyDescent="0.3">
      <c r="M596" s="18" t="str">
        <f>IF($K596="","",IFERROR(VLOOKUP(--SUBSTITUTE(SUBSTITUTE(TRIM($K596),"-","")," ",""),마스터시트!$A$2:$H$1946,2,FALSE),"미등록"))</f>
        <v/>
      </c>
      <c r="N596" s="53" t="str">
        <f>IF($K596="","",IFERROR(VLOOKUP(--SUBSTITUTE(SUBSTITUTE(TRIM($K596),"-","")," ",""),마스터시트!$A$2:$H$1946,3,FALSE),"미등록"))</f>
        <v/>
      </c>
      <c r="O596" s="18" t="str">
        <f>IF($K596="","",IFERROR(VLOOKUP(--SUBSTITUTE(SUBSTITUTE(TRIM($K596),"-","")," ",""),마스터시트!$A$2:$H$1946,4,FALSE),""))</f>
        <v/>
      </c>
      <c r="P596" s="18" t="str">
        <f>IF($K596="","",IFERROR(VLOOKUP(--SUBSTITUTE(SUBSTITUTE(TRIM($K596),"-","")," ",""),마스터시트!$A$2:$H$1946,5,FALSE),""))</f>
        <v/>
      </c>
      <c r="Q596" s="18" t="str">
        <f>IF($K596="","",IFERROR(VLOOKUP(--SUBSTITUTE(SUBSTITUTE(TRIM($K596),"-","")," ",""),마스터시트!$A$2:$H$1946,6,FALSE),""))</f>
        <v/>
      </c>
      <c r="R596" s="18" t="str">
        <f>IF($K596="","",IFERROR(VLOOKUP(--SUBSTITUTE(SUBSTITUTE(TRIM($K596),"-","")," ",""),마스터시트!$A$2:$H$1946,7,FALSE),""))</f>
        <v/>
      </c>
    </row>
    <row r="597" spans="13:18" x14ac:dyDescent="0.3">
      <c r="M597" s="18" t="str">
        <f>IF($K597="","",IFERROR(VLOOKUP(--SUBSTITUTE(SUBSTITUTE(TRIM($K597),"-","")," ",""),마스터시트!$A$2:$H$1946,2,FALSE),"미등록"))</f>
        <v/>
      </c>
      <c r="N597" s="53" t="str">
        <f>IF($K597="","",IFERROR(VLOOKUP(--SUBSTITUTE(SUBSTITUTE(TRIM($K597),"-","")," ",""),마스터시트!$A$2:$H$1946,3,FALSE),"미등록"))</f>
        <v/>
      </c>
      <c r="O597" s="18" t="str">
        <f>IF($K597="","",IFERROR(VLOOKUP(--SUBSTITUTE(SUBSTITUTE(TRIM($K597),"-","")," ",""),마스터시트!$A$2:$H$1946,4,FALSE),""))</f>
        <v/>
      </c>
      <c r="P597" s="18" t="str">
        <f>IF($K597="","",IFERROR(VLOOKUP(--SUBSTITUTE(SUBSTITUTE(TRIM($K597),"-","")," ",""),마스터시트!$A$2:$H$1946,5,FALSE),""))</f>
        <v/>
      </c>
      <c r="Q597" s="18" t="str">
        <f>IF($K597="","",IFERROR(VLOOKUP(--SUBSTITUTE(SUBSTITUTE(TRIM($K597),"-","")," ",""),마스터시트!$A$2:$H$1946,6,FALSE),""))</f>
        <v/>
      </c>
      <c r="R597" s="18" t="str">
        <f>IF($K597="","",IFERROR(VLOOKUP(--SUBSTITUTE(SUBSTITUTE(TRIM($K597),"-","")," ",""),마스터시트!$A$2:$H$1946,7,FALSE),""))</f>
        <v/>
      </c>
    </row>
    <row r="598" spans="13:18" x14ac:dyDescent="0.3">
      <c r="M598" s="18" t="str">
        <f>IF($K598="","",IFERROR(VLOOKUP(--SUBSTITUTE(SUBSTITUTE(TRIM($K598),"-","")," ",""),마스터시트!$A$2:$H$1946,2,FALSE),"미등록"))</f>
        <v/>
      </c>
      <c r="N598" s="53" t="str">
        <f>IF($K598="","",IFERROR(VLOOKUP(--SUBSTITUTE(SUBSTITUTE(TRIM($K598),"-","")," ",""),마스터시트!$A$2:$H$1946,3,FALSE),"미등록"))</f>
        <v/>
      </c>
      <c r="O598" s="18" t="str">
        <f>IF($K598="","",IFERROR(VLOOKUP(--SUBSTITUTE(SUBSTITUTE(TRIM($K598),"-","")," ",""),마스터시트!$A$2:$H$1946,4,FALSE),""))</f>
        <v/>
      </c>
      <c r="P598" s="18" t="str">
        <f>IF($K598="","",IFERROR(VLOOKUP(--SUBSTITUTE(SUBSTITUTE(TRIM($K598),"-","")," ",""),마스터시트!$A$2:$H$1946,5,FALSE),""))</f>
        <v/>
      </c>
      <c r="Q598" s="18" t="str">
        <f>IF($K598="","",IFERROR(VLOOKUP(--SUBSTITUTE(SUBSTITUTE(TRIM($K598),"-","")," ",""),마스터시트!$A$2:$H$1946,6,FALSE),""))</f>
        <v/>
      </c>
      <c r="R598" s="18" t="str">
        <f>IF($K598="","",IFERROR(VLOOKUP(--SUBSTITUTE(SUBSTITUTE(TRIM($K598),"-","")," ",""),마스터시트!$A$2:$H$1946,7,FALSE),""))</f>
        <v/>
      </c>
    </row>
    <row r="599" spans="13:18" x14ac:dyDescent="0.3">
      <c r="M599" s="18" t="str">
        <f>IF($K599="","",IFERROR(VLOOKUP(--SUBSTITUTE(SUBSTITUTE(TRIM($K599),"-","")," ",""),마스터시트!$A$2:$H$1946,2,FALSE),"미등록"))</f>
        <v/>
      </c>
      <c r="N599" s="53" t="str">
        <f>IF($K599="","",IFERROR(VLOOKUP(--SUBSTITUTE(SUBSTITUTE(TRIM($K599),"-","")," ",""),마스터시트!$A$2:$H$1946,3,FALSE),"미등록"))</f>
        <v/>
      </c>
      <c r="O599" s="18" t="str">
        <f>IF($K599="","",IFERROR(VLOOKUP(--SUBSTITUTE(SUBSTITUTE(TRIM($K599),"-","")," ",""),마스터시트!$A$2:$H$1946,4,FALSE),""))</f>
        <v/>
      </c>
      <c r="P599" s="18" t="str">
        <f>IF($K599="","",IFERROR(VLOOKUP(--SUBSTITUTE(SUBSTITUTE(TRIM($K599),"-","")," ",""),마스터시트!$A$2:$H$1946,5,FALSE),""))</f>
        <v/>
      </c>
      <c r="Q599" s="18" t="str">
        <f>IF($K599="","",IFERROR(VLOOKUP(--SUBSTITUTE(SUBSTITUTE(TRIM($K599),"-","")," ",""),마스터시트!$A$2:$H$1946,6,FALSE),""))</f>
        <v/>
      </c>
      <c r="R599" s="18" t="str">
        <f>IF($K599="","",IFERROR(VLOOKUP(--SUBSTITUTE(SUBSTITUTE(TRIM($K599),"-","")," ",""),마스터시트!$A$2:$H$1946,7,FALSE),""))</f>
        <v/>
      </c>
    </row>
    <row r="600" spans="13:18" x14ac:dyDescent="0.3">
      <c r="M600" s="18" t="str">
        <f>IF($K600="","",IFERROR(VLOOKUP(--SUBSTITUTE(SUBSTITUTE(TRIM($K600),"-","")," ",""),마스터시트!$A$2:$H$1946,2,FALSE),"미등록"))</f>
        <v/>
      </c>
      <c r="N600" s="53" t="str">
        <f>IF($K600="","",IFERROR(VLOOKUP(--SUBSTITUTE(SUBSTITUTE(TRIM($K600),"-","")," ",""),마스터시트!$A$2:$H$1946,3,FALSE),"미등록"))</f>
        <v/>
      </c>
      <c r="O600" s="18" t="str">
        <f>IF($K600="","",IFERROR(VLOOKUP(--SUBSTITUTE(SUBSTITUTE(TRIM($K600),"-","")," ",""),마스터시트!$A$2:$H$1946,4,FALSE),""))</f>
        <v/>
      </c>
      <c r="P600" s="18" t="str">
        <f>IF($K600="","",IFERROR(VLOOKUP(--SUBSTITUTE(SUBSTITUTE(TRIM($K600),"-","")," ",""),마스터시트!$A$2:$H$1946,5,FALSE),""))</f>
        <v/>
      </c>
      <c r="Q600" s="18" t="str">
        <f>IF($K600="","",IFERROR(VLOOKUP(--SUBSTITUTE(SUBSTITUTE(TRIM($K600),"-","")," ",""),마스터시트!$A$2:$H$1946,6,FALSE),""))</f>
        <v/>
      </c>
      <c r="R600" s="18" t="str">
        <f>IF($K600="","",IFERROR(VLOOKUP(--SUBSTITUTE(SUBSTITUTE(TRIM($K600),"-","")," ",""),마스터시트!$A$2:$H$1946,7,FALSE),""))</f>
        <v/>
      </c>
    </row>
    <row r="601" spans="13:18" x14ac:dyDescent="0.3">
      <c r="M601" s="18" t="str">
        <f>IF($K601="","",IFERROR(VLOOKUP(--SUBSTITUTE(SUBSTITUTE(TRIM($K601),"-","")," ",""),마스터시트!$A$2:$H$1946,2,FALSE),"미등록"))</f>
        <v/>
      </c>
      <c r="N601" s="53" t="str">
        <f>IF($K601="","",IFERROR(VLOOKUP(--SUBSTITUTE(SUBSTITUTE(TRIM($K601),"-","")," ",""),마스터시트!$A$2:$H$1946,3,FALSE),"미등록"))</f>
        <v/>
      </c>
      <c r="O601" s="18" t="str">
        <f>IF($K601="","",IFERROR(VLOOKUP(--SUBSTITUTE(SUBSTITUTE(TRIM($K601),"-","")," ",""),마스터시트!$A$2:$H$1946,4,FALSE),""))</f>
        <v/>
      </c>
      <c r="P601" s="18" t="str">
        <f>IF($K601="","",IFERROR(VLOOKUP(--SUBSTITUTE(SUBSTITUTE(TRIM($K601),"-","")," ",""),마스터시트!$A$2:$H$1946,5,FALSE),""))</f>
        <v/>
      </c>
      <c r="Q601" s="18" t="str">
        <f>IF($K601="","",IFERROR(VLOOKUP(--SUBSTITUTE(SUBSTITUTE(TRIM($K601),"-","")," ",""),마스터시트!$A$2:$H$1946,6,FALSE),""))</f>
        <v/>
      </c>
      <c r="R601" s="18" t="str">
        <f>IF($K601="","",IFERROR(VLOOKUP(--SUBSTITUTE(SUBSTITUTE(TRIM($K601),"-","")," ",""),마스터시트!$A$2:$H$1946,7,FALSE),""))</f>
        <v/>
      </c>
    </row>
    <row r="602" spans="13:18" x14ac:dyDescent="0.3">
      <c r="M602" s="18" t="str">
        <f>IF($K602="","",IFERROR(VLOOKUP(--SUBSTITUTE(SUBSTITUTE(TRIM($K602),"-","")," ",""),마스터시트!$A$2:$H$1946,2,FALSE),"미등록"))</f>
        <v/>
      </c>
      <c r="N602" s="53" t="str">
        <f>IF($K602="","",IFERROR(VLOOKUP(--SUBSTITUTE(SUBSTITUTE(TRIM($K602),"-","")," ",""),마스터시트!$A$2:$H$1946,3,FALSE),"미등록"))</f>
        <v/>
      </c>
      <c r="O602" s="18" t="str">
        <f>IF($K602="","",IFERROR(VLOOKUP(--SUBSTITUTE(SUBSTITUTE(TRIM($K602),"-","")," ",""),마스터시트!$A$2:$H$1946,4,FALSE),""))</f>
        <v/>
      </c>
      <c r="P602" s="18" t="str">
        <f>IF($K602="","",IFERROR(VLOOKUP(--SUBSTITUTE(SUBSTITUTE(TRIM($K602),"-","")," ",""),마스터시트!$A$2:$H$1946,5,FALSE),""))</f>
        <v/>
      </c>
      <c r="Q602" s="18" t="str">
        <f>IF($K602="","",IFERROR(VLOOKUP(--SUBSTITUTE(SUBSTITUTE(TRIM($K602),"-","")," ",""),마스터시트!$A$2:$H$1946,6,FALSE),""))</f>
        <v/>
      </c>
      <c r="R602" s="18" t="str">
        <f>IF($K602="","",IFERROR(VLOOKUP(--SUBSTITUTE(SUBSTITUTE(TRIM($K602),"-","")," ",""),마스터시트!$A$2:$H$1946,7,FALSE),""))</f>
        <v/>
      </c>
    </row>
    <row r="603" spans="13:18" x14ac:dyDescent="0.3">
      <c r="M603" s="18" t="str">
        <f>IF($K603="","",IFERROR(VLOOKUP(--SUBSTITUTE(SUBSTITUTE(TRIM($K603),"-","")," ",""),마스터시트!$A$2:$H$1946,2,FALSE),"미등록"))</f>
        <v/>
      </c>
      <c r="N603" s="53" t="str">
        <f>IF($K603="","",IFERROR(VLOOKUP(--SUBSTITUTE(SUBSTITUTE(TRIM($K603),"-","")," ",""),마스터시트!$A$2:$H$1946,3,FALSE),"미등록"))</f>
        <v/>
      </c>
      <c r="O603" s="18" t="str">
        <f>IF($K603="","",IFERROR(VLOOKUP(--SUBSTITUTE(SUBSTITUTE(TRIM($K603),"-","")," ",""),마스터시트!$A$2:$H$1946,4,FALSE),""))</f>
        <v/>
      </c>
      <c r="P603" s="18" t="str">
        <f>IF($K603="","",IFERROR(VLOOKUP(--SUBSTITUTE(SUBSTITUTE(TRIM($K603),"-","")," ",""),마스터시트!$A$2:$H$1946,5,FALSE),""))</f>
        <v/>
      </c>
      <c r="Q603" s="18" t="str">
        <f>IF($K603="","",IFERROR(VLOOKUP(--SUBSTITUTE(SUBSTITUTE(TRIM($K603),"-","")," ",""),마스터시트!$A$2:$H$1946,6,FALSE),""))</f>
        <v/>
      </c>
      <c r="R603" s="18" t="str">
        <f>IF($K603="","",IFERROR(VLOOKUP(--SUBSTITUTE(SUBSTITUTE(TRIM($K603),"-","")," ",""),마스터시트!$A$2:$H$1946,7,FALSE),""))</f>
        <v/>
      </c>
    </row>
    <row r="604" spans="13:18" x14ac:dyDescent="0.3">
      <c r="M604" s="18" t="str">
        <f>IF($K604="","",IFERROR(VLOOKUP(--SUBSTITUTE(SUBSTITUTE(TRIM($K604),"-","")," ",""),마스터시트!$A$2:$H$1946,2,FALSE),"미등록"))</f>
        <v/>
      </c>
      <c r="N604" s="53" t="str">
        <f>IF($K604="","",IFERROR(VLOOKUP(--SUBSTITUTE(SUBSTITUTE(TRIM($K604),"-","")," ",""),마스터시트!$A$2:$H$1946,3,FALSE),"미등록"))</f>
        <v/>
      </c>
      <c r="O604" s="18" t="str">
        <f>IF($K604="","",IFERROR(VLOOKUP(--SUBSTITUTE(SUBSTITUTE(TRIM($K604),"-","")," ",""),마스터시트!$A$2:$H$1946,4,FALSE),""))</f>
        <v/>
      </c>
      <c r="P604" s="18" t="str">
        <f>IF($K604="","",IFERROR(VLOOKUP(--SUBSTITUTE(SUBSTITUTE(TRIM($K604),"-","")," ",""),마스터시트!$A$2:$H$1946,5,FALSE),""))</f>
        <v/>
      </c>
      <c r="Q604" s="18" t="str">
        <f>IF($K604="","",IFERROR(VLOOKUP(--SUBSTITUTE(SUBSTITUTE(TRIM($K604),"-","")," ",""),마스터시트!$A$2:$H$1946,6,FALSE),""))</f>
        <v/>
      </c>
      <c r="R604" s="18" t="str">
        <f>IF($K604="","",IFERROR(VLOOKUP(--SUBSTITUTE(SUBSTITUTE(TRIM($K604),"-","")," ",""),마스터시트!$A$2:$H$1946,7,FALSE),""))</f>
        <v/>
      </c>
    </row>
    <row r="605" spans="13:18" x14ac:dyDescent="0.3">
      <c r="M605" s="18" t="str">
        <f>IF($K605="","",IFERROR(VLOOKUP(--SUBSTITUTE(SUBSTITUTE(TRIM($K605),"-","")," ",""),마스터시트!$A$2:$H$1946,2,FALSE),"미등록"))</f>
        <v/>
      </c>
      <c r="N605" s="53" t="str">
        <f>IF($K605="","",IFERROR(VLOOKUP(--SUBSTITUTE(SUBSTITUTE(TRIM($K605),"-","")," ",""),마스터시트!$A$2:$H$1946,3,FALSE),"미등록"))</f>
        <v/>
      </c>
      <c r="O605" s="18" t="str">
        <f>IF($K605="","",IFERROR(VLOOKUP(--SUBSTITUTE(SUBSTITUTE(TRIM($K605),"-","")," ",""),마스터시트!$A$2:$H$1946,4,FALSE),""))</f>
        <v/>
      </c>
      <c r="P605" s="18" t="str">
        <f>IF($K605="","",IFERROR(VLOOKUP(--SUBSTITUTE(SUBSTITUTE(TRIM($K605),"-","")," ",""),마스터시트!$A$2:$H$1946,5,FALSE),""))</f>
        <v/>
      </c>
      <c r="Q605" s="18" t="str">
        <f>IF($K605="","",IFERROR(VLOOKUP(--SUBSTITUTE(SUBSTITUTE(TRIM($K605),"-","")," ",""),마스터시트!$A$2:$H$1946,6,FALSE),""))</f>
        <v/>
      </c>
      <c r="R605" s="18" t="str">
        <f>IF($K605="","",IFERROR(VLOOKUP(--SUBSTITUTE(SUBSTITUTE(TRIM($K605),"-","")," ",""),마스터시트!$A$2:$H$1946,7,FALSE),""))</f>
        <v/>
      </c>
    </row>
    <row r="606" spans="13:18" x14ac:dyDescent="0.3">
      <c r="M606" s="18" t="str">
        <f>IF($K606="","",IFERROR(VLOOKUP(--SUBSTITUTE(SUBSTITUTE(TRIM($K606),"-","")," ",""),마스터시트!$A$2:$H$1946,2,FALSE),"미등록"))</f>
        <v/>
      </c>
      <c r="N606" s="53" t="str">
        <f>IF($K606="","",IFERROR(VLOOKUP(--SUBSTITUTE(SUBSTITUTE(TRIM($K606),"-","")," ",""),마스터시트!$A$2:$H$1946,3,FALSE),"미등록"))</f>
        <v/>
      </c>
      <c r="O606" s="18" t="str">
        <f>IF($K606="","",IFERROR(VLOOKUP(--SUBSTITUTE(SUBSTITUTE(TRIM($K606),"-","")," ",""),마스터시트!$A$2:$H$1946,4,FALSE),""))</f>
        <v/>
      </c>
      <c r="P606" s="18" t="str">
        <f>IF($K606="","",IFERROR(VLOOKUP(--SUBSTITUTE(SUBSTITUTE(TRIM($K606),"-","")," ",""),마스터시트!$A$2:$H$1946,5,FALSE),""))</f>
        <v/>
      </c>
      <c r="Q606" s="18" t="str">
        <f>IF($K606="","",IFERROR(VLOOKUP(--SUBSTITUTE(SUBSTITUTE(TRIM($K606),"-","")," ",""),마스터시트!$A$2:$H$1946,6,FALSE),""))</f>
        <v/>
      </c>
      <c r="R606" s="18" t="str">
        <f>IF($K606="","",IFERROR(VLOOKUP(--SUBSTITUTE(SUBSTITUTE(TRIM($K606),"-","")," ",""),마스터시트!$A$2:$H$1946,7,FALSE),""))</f>
        <v/>
      </c>
    </row>
    <row r="607" spans="13:18" x14ac:dyDescent="0.3">
      <c r="M607" s="18" t="str">
        <f>IF($K607="","",IFERROR(VLOOKUP(--SUBSTITUTE(SUBSTITUTE(TRIM($K607),"-","")," ",""),마스터시트!$A$2:$H$1946,2,FALSE),"미등록"))</f>
        <v/>
      </c>
      <c r="N607" s="53" t="str">
        <f>IF($K607="","",IFERROR(VLOOKUP(--SUBSTITUTE(SUBSTITUTE(TRIM($K607),"-","")," ",""),마스터시트!$A$2:$H$1946,3,FALSE),"미등록"))</f>
        <v/>
      </c>
      <c r="O607" s="18" t="str">
        <f>IF($K607="","",IFERROR(VLOOKUP(--SUBSTITUTE(SUBSTITUTE(TRIM($K607),"-","")," ",""),마스터시트!$A$2:$H$1946,4,FALSE),""))</f>
        <v/>
      </c>
      <c r="P607" s="18" t="str">
        <f>IF($K607="","",IFERROR(VLOOKUP(--SUBSTITUTE(SUBSTITUTE(TRIM($K607),"-","")," ",""),마스터시트!$A$2:$H$1946,5,FALSE),""))</f>
        <v/>
      </c>
      <c r="Q607" s="18" t="str">
        <f>IF($K607="","",IFERROR(VLOOKUP(--SUBSTITUTE(SUBSTITUTE(TRIM($K607),"-","")," ",""),마스터시트!$A$2:$H$1946,6,FALSE),""))</f>
        <v/>
      </c>
      <c r="R607" s="18" t="str">
        <f>IF($K607="","",IFERROR(VLOOKUP(--SUBSTITUTE(SUBSTITUTE(TRIM($K607),"-","")," ",""),마스터시트!$A$2:$H$1946,7,FALSE),""))</f>
        <v/>
      </c>
    </row>
    <row r="608" spans="13:18" x14ac:dyDescent="0.3">
      <c r="M608" s="18" t="str">
        <f>IF($K608="","",IFERROR(VLOOKUP(--SUBSTITUTE(SUBSTITUTE(TRIM($K608),"-","")," ",""),마스터시트!$A$2:$H$1946,2,FALSE),"미등록"))</f>
        <v/>
      </c>
      <c r="N608" s="53" t="str">
        <f>IF($K608="","",IFERROR(VLOOKUP(--SUBSTITUTE(SUBSTITUTE(TRIM($K608),"-","")," ",""),마스터시트!$A$2:$H$1946,3,FALSE),"미등록"))</f>
        <v/>
      </c>
      <c r="O608" s="18" t="str">
        <f>IF($K608="","",IFERROR(VLOOKUP(--SUBSTITUTE(SUBSTITUTE(TRIM($K608),"-","")," ",""),마스터시트!$A$2:$H$1946,4,FALSE),""))</f>
        <v/>
      </c>
      <c r="P608" s="18" t="str">
        <f>IF($K608="","",IFERROR(VLOOKUP(--SUBSTITUTE(SUBSTITUTE(TRIM($K608),"-","")," ",""),마스터시트!$A$2:$H$1946,5,FALSE),""))</f>
        <v/>
      </c>
      <c r="Q608" s="18" t="str">
        <f>IF($K608="","",IFERROR(VLOOKUP(--SUBSTITUTE(SUBSTITUTE(TRIM($K608),"-","")," ",""),마스터시트!$A$2:$H$1946,6,FALSE),""))</f>
        <v/>
      </c>
      <c r="R608" s="18" t="str">
        <f>IF($K608="","",IFERROR(VLOOKUP(--SUBSTITUTE(SUBSTITUTE(TRIM($K608),"-","")," ",""),마스터시트!$A$2:$H$1946,7,FALSE),""))</f>
        <v/>
      </c>
    </row>
    <row r="609" spans="13:18" x14ac:dyDescent="0.3">
      <c r="M609" s="18" t="str">
        <f>IF($K609="","",IFERROR(VLOOKUP(--SUBSTITUTE(SUBSTITUTE(TRIM($K609),"-","")," ",""),마스터시트!$A$2:$H$1946,2,FALSE),"미등록"))</f>
        <v/>
      </c>
      <c r="N609" s="53" t="str">
        <f>IF($K609="","",IFERROR(VLOOKUP(--SUBSTITUTE(SUBSTITUTE(TRIM($K609),"-","")," ",""),마스터시트!$A$2:$H$1946,3,FALSE),"미등록"))</f>
        <v/>
      </c>
      <c r="O609" s="18" t="str">
        <f>IF($K609="","",IFERROR(VLOOKUP(--SUBSTITUTE(SUBSTITUTE(TRIM($K609),"-","")," ",""),마스터시트!$A$2:$H$1946,4,FALSE),""))</f>
        <v/>
      </c>
      <c r="P609" s="18" t="str">
        <f>IF($K609="","",IFERROR(VLOOKUP(--SUBSTITUTE(SUBSTITUTE(TRIM($K609),"-","")," ",""),마스터시트!$A$2:$H$1946,5,FALSE),""))</f>
        <v/>
      </c>
      <c r="Q609" s="18" t="str">
        <f>IF($K609="","",IFERROR(VLOOKUP(--SUBSTITUTE(SUBSTITUTE(TRIM($K609),"-","")," ",""),마스터시트!$A$2:$H$1946,6,FALSE),""))</f>
        <v/>
      </c>
      <c r="R609" s="18" t="str">
        <f>IF($K609="","",IFERROR(VLOOKUP(--SUBSTITUTE(SUBSTITUTE(TRIM($K609),"-","")," ",""),마스터시트!$A$2:$H$1946,7,FALSE),""))</f>
        <v/>
      </c>
    </row>
    <row r="610" spans="13:18" x14ac:dyDescent="0.3">
      <c r="M610" s="18" t="str">
        <f>IF($K610="","",IFERROR(VLOOKUP(--SUBSTITUTE(SUBSTITUTE(TRIM($K610),"-","")," ",""),마스터시트!$A$2:$H$1946,2,FALSE),"미등록"))</f>
        <v/>
      </c>
      <c r="N610" s="53" t="str">
        <f>IF($K610="","",IFERROR(VLOOKUP(--SUBSTITUTE(SUBSTITUTE(TRIM($K610),"-","")," ",""),마스터시트!$A$2:$H$1946,3,FALSE),"미등록"))</f>
        <v/>
      </c>
      <c r="O610" s="18" t="str">
        <f>IF($K610="","",IFERROR(VLOOKUP(--SUBSTITUTE(SUBSTITUTE(TRIM($K610),"-","")," ",""),마스터시트!$A$2:$H$1946,4,FALSE),""))</f>
        <v/>
      </c>
      <c r="P610" s="18" t="str">
        <f>IF($K610="","",IFERROR(VLOOKUP(--SUBSTITUTE(SUBSTITUTE(TRIM($K610),"-","")," ",""),마스터시트!$A$2:$H$1946,5,FALSE),""))</f>
        <v/>
      </c>
      <c r="Q610" s="18" t="str">
        <f>IF($K610="","",IFERROR(VLOOKUP(--SUBSTITUTE(SUBSTITUTE(TRIM($K610),"-","")," ",""),마스터시트!$A$2:$H$1946,6,FALSE),""))</f>
        <v/>
      </c>
      <c r="R610" s="18" t="str">
        <f>IF($K610="","",IFERROR(VLOOKUP(--SUBSTITUTE(SUBSTITUTE(TRIM($K610),"-","")," ",""),마스터시트!$A$2:$H$1946,7,FALSE),""))</f>
        <v/>
      </c>
    </row>
    <row r="611" spans="13:18" x14ac:dyDescent="0.3">
      <c r="M611" s="18" t="str">
        <f>IF($K611="","",IFERROR(VLOOKUP(--SUBSTITUTE(SUBSTITUTE(TRIM($K611),"-","")," ",""),마스터시트!$A$2:$H$1946,2,FALSE),"미등록"))</f>
        <v/>
      </c>
      <c r="N611" s="53" t="str">
        <f>IF($K611="","",IFERROR(VLOOKUP(--SUBSTITUTE(SUBSTITUTE(TRIM($K611),"-","")," ",""),마스터시트!$A$2:$H$1946,3,FALSE),"미등록"))</f>
        <v/>
      </c>
      <c r="O611" s="18" t="str">
        <f>IF($K611="","",IFERROR(VLOOKUP(--SUBSTITUTE(SUBSTITUTE(TRIM($K611),"-","")," ",""),마스터시트!$A$2:$H$1946,4,FALSE),""))</f>
        <v/>
      </c>
      <c r="P611" s="18" t="str">
        <f>IF($K611="","",IFERROR(VLOOKUP(--SUBSTITUTE(SUBSTITUTE(TRIM($K611),"-","")," ",""),마스터시트!$A$2:$H$1946,5,FALSE),""))</f>
        <v/>
      </c>
      <c r="Q611" s="18" t="str">
        <f>IF($K611="","",IFERROR(VLOOKUP(--SUBSTITUTE(SUBSTITUTE(TRIM($K611),"-","")," ",""),마스터시트!$A$2:$H$1946,6,FALSE),""))</f>
        <v/>
      </c>
      <c r="R611" s="18" t="str">
        <f>IF($K611="","",IFERROR(VLOOKUP(--SUBSTITUTE(SUBSTITUTE(TRIM($K611),"-","")," ",""),마스터시트!$A$2:$H$1946,7,FALSE),""))</f>
        <v/>
      </c>
    </row>
    <row r="612" spans="13:18" x14ac:dyDescent="0.3">
      <c r="M612" s="18" t="str">
        <f>IF($K612="","",IFERROR(VLOOKUP(--SUBSTITUTE(SUBSTITUTE(TRIM($K612),"-","")," ",""),마스터시트!$A$2:$H$1946,2,FALSE),"미등록"))</f>
        <v/>
      </c>
      <c r="N612" s="53" t="str">
        <f>IF($K612="","",IFERROR(VLOOKUP(--SUBSTITUTE(SUBSTITUTE(TRIM($K612),"-","")," ",""),마스터시트!$A$2:$H$1946,3,FALSE),"미등록"))</f>
        <v/>
      </c>
      <c r="O612" s="18" t="str">
        <f>IF($K612="","",IFERROR(VLOOKUP(--SUBSTITUTE(SUBSTITUTE(TRIM($K612),"-","")," ",""),마스터시트!$A$2:$H$1946,4,FALSE),""))</f>
        <v/>
      </c>
      <c r="P612" s="18" t="str">
        <f>IF($K612="","",IFERROR(VLOOKUP(--SUBSTITUTE(SUBSTITUTE(TRIM($K612),"-","")," ",""),마스터시트!$A$2:$H$1946,5,FALSE),""))</f>
        <v/>
      </c>
      <c r="Q612" s="18" t="str">
        <f>IF($K612="","",IFERROR(VLOOKUP(--SUBSTITUTE(SUBSTITUTE(TRIM($K612),"-","")," ",""),마스터시트!$A$2:$H$1946,6,FALSE),""))</f>
        <v/>
      </c>
      <c r="R612" s="18" t="str">
        <f>IF($K612="","",IFERROR(VLOOKUP(--SUBSTITUTE(SUBSTITUTE(TRIM($K612),"-","")," ",""),마스터시트!$A$2:$H$1946,7,FALSE),""))</f>
        <v/>
      </c>
    </row>
    <row r="613" spans="13:18" x14ac:dyDescent="0.3">
      <c r="M613" s="18" t="str">
        <f>IF($K613="","",IFERROR(VLOOKUP(--SUBSTITUTE(SUBSTITUTE(TRIM($K613),"-","")," ",""),마스터시트!$A$2:$H$1946,2,FALSE),"미등록"))</f>
        <v/>
      </c>
      <c r="N613" s="53" t="str">
        <f>IF($K613="","",IFERROR(VLOOKUP(--SUBSTITUTE(SUBSTITUTE(TRIM($K613),"-","")," ",""),마스터시트!$A$2:$H$1946,3,FALSE),"미등록"))</f>
        <v/>
      </c>
      <c r="O613" s="18" t="str">
        <f>IF($K613="","",IFERROR(VLOOKUP(--SUBSTITUTE(SUBSTITUTE(TRIM($K613),"-","")," ",""),마스터시트!$A$2:$H$1946,4,FALSE),""))</f>
        <v/>
      </c>
      <c r="P613" s="18" t="str">
        <f>IF($K613="","",IFERROR(VLOOKUP(--SUBSTITUTE(SUBSTITUTE(TRIM($K613),"-","")," ",""),마스터시트!$A$2:$H$1946,5,FALSE),""))</f>
        <v/>
      </c>
      <c r="Q613" s="18" t="str">
        <f>IF($K613="","",IFERROR(VLOOKUP(--SUBSTITUTE(SUBSTITUTE(TRIM($K613),"-","")," ",""),마스터시트!$A$2:$H$1946,6,FALSE),""))</f>
        <v/>
      </c>
      <c r="R613" s="18" t="str">
        <f>IF($K613="","",IFERROR(VLOOKUP(--SUBSTITUTE(SUBSTITUTE(TRIM($K613),"-","")," ",""),마스터시트!$A$2:$H$1946,7,FALSE),""))</f>
        <v/>
      </c>
    </row>
    <row r="614" spans="13:18" x14ac:dyDescent="0.3">
      <c r="M614" s="18" t="str">
        <f>IF($K614="","",IFERROR(VLOOKUP(--SUBSTITUTE(SUBSTITUTE(TRIM($K614),"-","")," ",""),마스터시트!$A$2:$H$1946,2,FALSE),"미등록"))</f>
        <v/>
      </c>
      <c r="N614" s="53" t="str">
        <f>IF($K614="","",IFERROR(VLOOKUP(--SUBSTITUTE(SUBSTITUTE(TRIM($K614),"-","")," ",""),마스터시트!$A$2:$H$1946,3,FALSE),"미등록"))</f>
        <v/>
      </c>
      <c r="O614" s="18" t="str">
        <f>IF($K614="","",IFERROR(VLOOKUP(--SUBSTITUTE(SUBSTITUTE(TRIM($K614),"-","")," ",""),마스터시트!$A$2:$H$1946,4,FALSE),""))</f>
        <v/>
      </c>
      <c r="P614" s="18" t="str">
        <f>IF($K614="","",IFERROR(VLOOKUP(--SUBSTITUTE(SUBSTITUTE(TRIM($K614),"-","")," ",""),마스터시트!$A$2:$H$1946,5,FALSE),""))</f>
        <v/>
      </c>
      <c r="Q614" s="18" t="str">
        <f>IF($K614="","",IFERROR(VLOOKUP(--SUBSTITUTE(SUBSTITUTE(TRIM($K614),"-","")," ",""),마스터시트!$A$2:$H$1946,6,FALSE),""))</f>
        <v/>
      </c>
      <c r="R614" s="18" t="str">
        <f>IF($K614="","",IFERROR(VLOOKUP(--SUBSTITUTE(SUBSTITUTE(TRIM($K614),"-","")," ",""),마스터시트!$A$2:$H$1946,7,FALSE),""))</f>
        <v/>
      </c>
    </row>
    <row r="615" spans="13:18" x14ac:dyDescent="0.3">
      <c r="M615" s="18" t="str">
        <f>IF($K615="","",IFERROR(VLOOKUP(--SUBSTITUTE(SUBSTITUTE(TRIM($K615),"-","")," ",""),마스터시트!$A$2:$H$1946,2,FALSE),"미등록"))</f>
        <v/>
      </c>
      <c r="N615" s="53" t="str">
        <f>IF($K615="","",IFERROR(VLOOKUP(--SUBSTITUTE(SUBSTITUTE(TRIM($K615),"-","")," ",""),마스터시트!$A$2:$H$1946,3,FALSE),"미등록"))</f>
        <v/>
      </c>
      <c r="O615" s="18" t="str">
        <f>IF($K615="","",IFERROR(VLOOKUP(--SUBSTITUTE(SUBSTITUTE(TRIM($K615),"-","")," ",""),마스터시트!$A$2:$H$1946,4,FALSE),""))</f>
        <v/>
      </c>
      <c r="P615" s="18" t="str">
        <f>IF($K615="","",IFERROR(VLOOKUP(--SUBSTITUTE(SUBSTITUTE(TRIM($K615),"-","")," ",""),마스터시트!$A$2:$H$1946,5,FALSE),""))</f>
        <v/>
      </c>
      <c r="Q615" s="18" t="str">
        <f>IF($K615="","",IFERROR(VLOOKUP(--SUBSTITUTE(SUBSTITUTE(TRIM($K615),"-","")," ",""),마스터시트!$A$2:$H$1946,6,FALSE),""))</f>
        <v/>
      </c>
      <c r="R615" s="18" t="str">
        <f>IF($K615="","",IFERROR(VLOOKUP(--SUBSTITUTE(SUBSTITUTE(TRIM($K615),"-","")," ",""),마스터시트!$A$2:$H$1946,7,FALSE),""))</f>
        <v/>
      </c>
    </row>
    <row r="616" spans="13:18" x14ac:dyDescent="0.3">
      <c r="M616" s="18" t="str">
        <f>IF($K616="","",IFERROR(VLOOKUP(--SUBSTITUTE(SUBSTITUTE(TRIM($K616),"-","")," ",""),마스터시트!$A$2:$H$1946,2,FALSE),"미등록"))</f>
        <v/>
      </c>
      <c r="N616" s="53" t="str">
        <f>IF($K616="","",IFERROR(VLOOKUP(--SUBSTITUTE(SUBSTITUTE(TRIM($K616),"-","")," ",""),마스터시트!$A$2:$H$1946,3,FALSE),"미등록"))</f>
        <v/>
      </c>
      <c r="O616" s="18" t="str">
        <f>IF($K616="","",IFERROR(VLOOKUP(--SUBSTITUTE(SUBSTITUTE(TRIM($K616),"-","")," ",""),마스터시트!$A$2:$H$1946,4,FALSE),""))</f>
        <v/>
      </c>
      <c r="P616" s="18" t="str">
        <f>IF($K616="","",IFERROR(VLOOKUP(--SUBSTITUTE(SUBSTITUTE(TRIM($K616),"-","")," ",""),마스터시트!$A$2:$H$1946,5,FALSE),""))</f>
        <v/>
      </c>
      <c r="Q616" s="18" t="str">
        <f>IF($K616="","",IFERROR(VLOOKUP(--SUBSTITUTE(SUBSTITUTE(TRIM($K616),"-","")," ",""),마스터시트!$A$2:$H$1946,6,FALSE),""))</f>
        <v/>
      </c>
      <c r="R616" s="18" t="str">
        <f>IF($K616="","",IFERROR(VLOOKUP(--SUBSTITUTE(SUBSTITUTE(TRIM($K616),"-","")," ",""),마스터시트!$A$2:$H$1946,7,FALSE),""))</f>
        <v/>
      </c>
    </row>
    <row r="617" spans="13:18" x14ac:dyDescent="0.3">
      <c r="M617" s="18" t="str">
        <f>IF($K617="","",IFERROR(VLOOKUP(--SUBSTITUTE(SUBSTITUTE(TRIM($K617),"-","")," ",""),마스터시트!$A$2:$H$1946,2,FALSE),"미등록"))</f>
        <v/>
      </c>
      <c r="N617" s="53" t="str">
        <f>IF($K617="","",IFERROR(VLOOKUP(--SUBSTITUTE(SUBSTITUTE(TRIM($K617),"-","")," ",""),마스터시트!$A$2:$H$1946,3,FALSE),"미등록"))</f>
        <v/>
      </c>
      <c r="O617" s="18" t="str">
        <f>IF($K617="","",IFERROR(VLOOKUP(--SUBSTITUTE(SUBSTITUTE(TRIM($K617),"-","")," ",""),마스터시트!$A$2:$H$1946,4,FALSE),""))</f>
        <v/>
      </c>
      <c r="P617" s="18" t="str">
        <f>IF($K617="","",IFERROR(VLOOKUP(--SUBSTITUTE(SUBSTITUTE(TRIM($K617),"-","")," ",""),마스터시트!$A$2:$H$1946,5,FALSE),""))</f>
        <v/>
      </c>
      <c r="Q617" s="18" t="str">
        <f>IF($K617="","",IFERROR(VLOOKUP(--SUBSTITUTE(SUBSTITUTE(TRIM($K617),"-","")," ",""),마스터시트!$A$2:$H$1946,6,FALSE),""))</f>
        <v/>
      </c>
      <c r="R617" s="18" t="str">
        <f>IF($K617="","",IFERROR(VLOOKUP(--SUBSTITUTE(SUBSTITUTE(TRIM($K617),"-","")," ",""),마스터시트!$A$2:$H$1946,7,FALSE),""))</f>
        <v/>
      </c>
    </row>
    <row r="618" spans="13:18" x14ac:dyDescent="0.3">
      <c r="M618" s="18" t="str">
        <f>IF($K618="","",IFERROR(VLOOKUP(--SUBSTITUTE(SUBSTITUTE(TRIM($K618),"-","")," ",""),마스터시트!$A$2:$H$1946,2,FALSE),"미등록"))</f>
        <v/>
      </c>
      <c r="N618" s="53" t="str">
        <f>IF($K618="","",IFERROR(VLOOKUP(--SUBSTITUTE(SUBSTITUTE(TRIM($K618),"-","")," ",""),마스터시트!$A$2:$H$1946,3,FALSE),"미등록"))</f>
        <v/>
      </c>
      <c r="O618" s="18" t="str">
        <f>IF($K618="","",IFERROR(VLOOKUP(--SUBSTITUTE(SUBSTITUTE(TRIM($K618),"-","")," ",""),마스터시트!$A$2:$H$1946,4,FALSE),""))</f>
        <v/>
      </c>
      <c r="P618" s="18" t="str">
        <f>IF($K618="","",IFERROR(VLOOKUP(--SUBSTITUTE(SUBSTITUTE(TRIM($K618),"-","")," ",""),마스터시트!$A$2:$H$1946,5,FALSE),""))</f>
        <v/>
      </c>
      <c r="Q618" s="18" t="str">
        <f>IF($K618="","",IFERROR(VLOOKUP(--SUBSTITUTE(SUBSTITUTE(TRIM($K618),"-","")," ",""),마스터시트!$A$2:$H$1946,6,FALSE),""))</f>
        <v/>
      </c>
      <c r="R618" s="18" t="str">
        <f>IF($K618="","",IFERROR(VLOOKUP(--SUBSTITUTE(SUBSTITUTE(TRIM($K618),"-","")," ",""),마스터시트!$A$2:$H$1946,7,FALSE),""))</f>
        <v/>
      </c>
    </row>
    <row r="619" spans="13:18" x14ac:dyDescent="0.3">
      <c r="M619" s="18" t="str">
        <f>IF($K619="","",IFERROR(VLOOKUP(--SUBSTITUTE(SUBSTITUTE(TRIM($K619),"-","")," ",""),마스터시트!$A$2:$H$1946,2,FALSE),"미등록"))</f>
        <v/>
      </c>
      <c r="N619" s="53" t="str">
        <f>IF($K619="","",IFERROR(VLOOKUP(--SUBSTITUTE(SUBSTITUTE(TRIM($K619),"-","")," ",""),마스터시트!$A$2:$H$1946,3,FALSE),"미등록"))</f>
        <v/>
      </c>
      <c r="O619" s="18" t="str">
        <f>IF($K619="","",IFERROR(VLOOKUP(--SUBSTITUTE(SUBSTITUTE(TRIM($K619),"-","")," ",""),마스터시트!$A$2:$H$1946,4,FALSE),""))</f>
        <v/>
      </c>
      <c r="P619" s="18" t="str">
        <f>IF($K619="","",IFERROR(VLOOKUP(--SUBSTITUTE(SUBSTITUTE(TRIM($K619),"-","")," ",""),마스터시트!$A$2:$H$1946,5,FALSE),""))</f>
        <v/>
      </c>
      <c r="Q619" s="18" t="str">
        <f>IF($K619="","",IFERROR(VLOOKUP(--SUBSTITUTE(SUBSTITUTE(TRIM($K619),"-","")," ",""),마스터시트!$A$2:$H$1946,6,FALSE),""))</f>
        <v/>
      </c>
      <c r="R619" s="18" t="str">
        <f>IF($K619="","",IFERROR(VLOOKUP(--SUBSTITUTE(SUBSTITUTE(TRIM($K619),"-","")," ",""),마스터시트!$A$2:$H$1946,7,FALSE),""))</f>
        <v/>
      </c>
    </row>
    <row r="620" spans="13:18" x14ac:dyDescent="0.3">
      <c r="M620" s="18" t="str">
        <f>IF($K620="","",IFERROR(VLOOKUP(--SUBSTITUTE(SUBSTITUTE(TRIM($K620),"-","")," ",""),마스터시트!$A$2:$H$1946,2,FALSE),"미등록"))</f>
        <v/>
      </c>
      <c r="N620" s="53" t="str">
        <f>IF($K620="","",IFERROR(VLOOKUP(--SUBSTITUTE(SUBSTITUTE(TRIM($K620),"-","")," ",""),마스터시트!$A$2:$H$1946,3,FALSE),"미등록"))</f>
        <v/>
      </c>
      <c r="O620" s="18" t="str">
        <f>IF($K620="","",IFERROR(VLOOKUP(--SUBSTITUTE(SUBSTITUTE(TRIM($K620),"-","")," ",""),마스터시트!$A$2:$H$1946,4,FALSE),""))</f>
        <v/>
      </c>
      <c r="P620" s="18" t="str">
        <f>IF($K620="","",IFERROR(VLOOKUP(--SUBSTITUTE(SUBSTITUTE(TRIM($K620),"-","")," ",""),마스터시트!$A$2:$H$1946,5,FALSE),""))</f>
        <v/>
      </c>
      <c r="Q620" s="18" t="str">
        <f>IF($K620="","",IFERROR(VLOOKUP(--SUBSTITUTE(SUBSTITUTE(TRIM($K620),"-","")," ",""),마스터시트!$A$2:$H$1946,6,FALSE),""))</f>
        <v/>
      </c>
      <c r="R620" s="18" t="str">
        <f>IF($K620="","",IFERROR(VLOOKUP(--SUBSTITUTE(SUBSTITUTE(TRIM($K620),"-","")," ",""),마스터시트!$A$2:$H$1946,7,FALSE),""))</f>
        <v/>
      </c>
    </row>
    <row r="621" spans="13:18" x14ac:dyDescent="0.3">
      <c r="M621" s="18" t="str">
        <f>IF($K621="","",IFERROR(VLOOKUP(--SUBSTITUTE(SUBSTITUTE(TRIM($K621),"-","")," ",""),마스터시트!$A$2:$H$1946,2,FALSE),"미등록"))</f>
        <v/>
      </c>
      <c r="N621" s="53" t="str">
        <f>IF($K621="","",IFERROR(VLOOKUP(--SUBSTITUTE(SUBSTITUTE(TRIM($K621),"-","")," ",""),마스터시트!$A$2:$H$1946,3,FALSE),"미등록"))</f>
        <v/>
      </c>
      <c r="O621" s="18" t="str">
        <f>IF($K621="","",IFERROR(VLOOKUP(--SUBSTITUTE(SUBSTITUTE(TRIM($K621),"-","")," ",""),마스터시트!$A$2:$H$1946,4,FALSE),""))</f>
        <v/>
      </c>
      <c r="P621" s="18" t="str">
        <f>IF($K621="","",IFERROR(VLOOKUP(--SUBSTITUTE(SUBSTITUTE(TRIM($K621),"-","")," ",""),마스터시트!$A$2:$H$1946,5,FALSE),""))</f>
        <v/>
      </c>
      <c r="Q621" s="18" t="str">
        <f>IF($K621="","",IFERROR(VLOOKUP(--SUBSTITUTE(SUBSTITUTE(TRIM($K621),"-","")," ",""),마스터시트!$A$2:$H$1946,6,FALSE),""))</f>
        <v/>
      </c>
      <c r="R621" s="18" t="str">
        <f>IF($K621="","",IFERROR(VLOOKUP(--SUBSTITUTE(SUBSTITUTE(TRIM($K621),"-","")," ",""),마스터시트!$A$2:$H$1946,7,FALSE),""))</f>
        <v/>
      </c>
    </row>
    <row r="622" spans="13:18" x14ac:dyDescent="0.3">
      <c r="M622" s="18" t="str">
        <f>IF($K622="","",IFERROR(VLOOKUP(--SUBSTITUTE(SUBSTITUTE(TRIM($K622),"-","")," ",""),마스터시트!$A$2:$H$1946,2,FALSE),"미등록"))</f>
        <v/>
      </c>
      <c r="N622" s="53" t="str">
        <f>IF($K622="","",IFERROR(VLOOKUP(--SUBSTITUTE(SUBSTITUTE(TRIM($K622),"-","")," ",""),마스터시트!$A$2:$H$1946,3,FALSE),"미등록"))</f>
        <v/>
      </c>
      <c r="O622" s="18" t="str">
        <f>IF($K622="","",IFERROR(VLOOKUP(--SUBSTITUTE(SUBSTITUTE(TRIM($K622),"-","")," ",""),마스터시트!$A$2:$H$1946,4,FALSE),""))</f>
        <v/>
      </c>
      <c r="P622" s="18" t="str">
        <f>IF($K622="","",IFERROR(VLOOKUP(--SUBSTITUTE(SUBSTITUTE(TRIM($K622),"-","")," ",""),마스터시트!$A$2:$H$1946,5,FALSE),""))</f>
        <v/>
      </c>
      <c r="Q622" s="18" t="str">
        <f>IF($K622="","",IFERROR(VLOOKUP(--SUBSTITUTE(SUBSTITUTE(TRIM($K622),"-","")," ",""),마스터시트!$A$2:$H$1946,6,FALSE),""))</f>
        <v/>
      </c>
      <c r="R622" s="18" t="str">
        <f>IF($K622="","",IFERROR(VLOOKUP(--SUBSTITUTE(SUBSTITUTE(TRIM($K622),"-","")," ",""),마스터시트!$A$2:$H$1946,7,FALSE),""))</f>
        <v/>
      </c>
    </row>
    <row r="623" spans="13:18" x14ac:dyDescent="0.3">
      <c r="M623" s="18" t="str">
        <f>IF($K623="","",IFERROR(VLOOKUP(--SUBSTITUTE(SUBSTITUTE(TRIM($K623),"-","")," ",""),마스터시트!$A$2:$H$1946,2,FALSE),"미등록"))</f>
        <v/>
      </c>
      <c r="N623" s="53" t="str">
        <f>IF($K623="","",IFERROR(VLOOKUP(--SUBSTITUTE(SUBSTITUTE(TRIM($K623),"-","")," ",""),마스터시트!$A$2:$H$1946,3,FALSE),"미등록"))</f>
        <v/>
      </c>
      <c r="O623" s="18" t="str">
        <f>IF($K623="","",IFERROR(VLOOKUP(--SUBSTITUTE(SUBSTITUTE(TRIM($K623),"-","")," ",""),마스터시트!$A$2:$H$1946,4,FALSE),""))</f>
        <v/>
      </c>
      <c r="P623" s="18" t="str">
        <f>IF($K623="","",IFERROR(VLOOKUP(--SUBSTITUTE(SUBSTITUTE(TRIM($K623),"-","")," ",""),마스터시트!$A$2:$H$1946,5,FALSE),""))</f>
        <v/>
      </c>
      <c r="Q623" s="18" t="str">
        <f>IF($K623="","",IFERROR(VLOOKUP(--SUBSTITUTE(SUBSTITUTE(TRIM($K623),"-","")," ",""),마스터시트!$A$2:$H$1946,6,FALSE),""))</f>
        <v/>
      </c>
      <c r="R623" s="18" t="str">
        <f>IF($K623="","",IFERROR(VLOOKUP(--SUBSTITUTE(SUBSTITUTE(TRIM($K623),"-","")," ",""),마스터시트!$A$2:$H$1946,7,FALSE),""))</f>
        <v/>
      </c>
    </row>
    <row r="624" spans="13:18" x14ac:dyDescent="0.3">
      <c r="M624" s="18" t="str">
        <f>IF($K624="","",IFERROR(VLOOKUP(--SUBSTITUTE(SUBSTITUTE(TRIM($K624),"-","")," ",""),마스터시트!$A$2:$H$1946,2,FALSE),"미등록"))</f>
        <v/>
      </c>
      <c r="N624" s="53" t="str">
        <f>IF($K624="","",IFERROR(VLOOKUP(--SUBSTITUTE(SUBSTITUTE(TRIM($K624),"-","")," ",""),마스터시트!$A$2:$H$1946,3,FALSE),"미등록"))</f>
        <v/>
      </c>
      <c r="O624" s="18" t="str">
        <f>IF($K624="","",IFERROR(VLOOKUP(--SUBSTITUTE(SUBSTITUTE(TRIM($K624),"-","")," ",""),마스터시트!$A$2:$H$1946,4,FALSE),""))</f>
        <v/>
      </c>
      <c r="P624" s="18" t="str">
        <f>IF($K624="","",IFERROR(VLOOKUP(--SUBSTITUTE(SUBSTITUTE(TRIM($K624),"-","")," ",""),마스터시트!$A$2:$H$1946,5,FALSE),""))</f>
        <v/>
      </c>
      <c r="Q624" s="18" t="str">
        <f>IF($K624="","",IFERROR(VLOOKUP(--SUBSTITUTE(SUBSTITUTE(TRIM($K624),"-","")," ",""),마스터시트!$A$2:$H$1946,6,FALSE),""))</f>
        <v/>
      </c>
      <c r="R624" s="18" t="str">
        <f>IF($K624="","",IFERROR(VLOOKUP(--SUBSTITUTE(SUBSTITUTE(TRIM($K624),"-","")," ",""),마스터시트!$A$2:$H$1946,7,FALSE),""))</f>
        <v/>
      </c>
    </row>
    <row r="625" spans="13:18" x14ac:dyDescent="0.3">
      <c r="M625" s="18" t="str">
        <f>IF($K625="","",IFERROR(VLOOKUP(--SUBSTITUTE(SUBSTITUTE(TRIM($K625),"-","")," ",""),마스터시트!$A$2:$H$1946,2,FALSE),"미등록"))</f>
        <v/>
      </c>
      <c r="N625" s="53" t="str">
        <f>IF($K625="","",IFERROR(VLOOKUP(--SUBSTITUTE(SUBSTITUTE(TRIM($K625),"-","")," ",""),마스터시트!$A$2:$H$1946,3,FALSE),"미등록"))</f>
        <v/>
      </c>
      <c r="O625" s="18" t="str">
        <f>IF($K625="","",IFERROR(VLOOKUP(--SUBSTITUTE(SUBSTITUTE(TRIM($K625),"-","")," ",""),마스터시트!$A$2:$H$1946,4,FALSE),""))</f>
        <v/>
      </c>
      <c r="P625" s="18" t="str">
        <f>IF($K625="","",IFERROR(VLOOKUP(--SUBSTITUTE(SUBSTITUTE(TRIM($K625),"-","")," ",""),마스터시트!$A$2:$H$1946,5,FALSE),""))</f>
        <v/>
      </c>
      <c r="Q625" s="18" t="str">
        <f>IF($K625="","",IFERROR(VLOOKUP(--SUBSTITUTE(SUBSTITUTE(TRIM($K625),"-","")," ",""),마스터시트!$A$2:$H$1946,6,FALSE),""))</f>
        <v/>
      </c>
      <c r="R625" s="18" t="str">
        <f>IF($K625="","",IFERROR(VLOOKUP(--SUBSTITUTE(SUBSTITUTE(TRIM($K625),"-","")," ",""),마스터시트!$A$2:$H$1946,7,FALSE),""))</f>
        <v/>
      </c>
    </row>
    <row r="626" spans="13:18" x14ac:dyDescent="0.3">
      <c r="M626" s="18" t="str">
        <f>IF($K626="","",IFERROR(VLOOKUP(--SUBSTITUTE(SUBSTITUTE(TRIM($K626),"-","")," ",""),마스터시트!$A$2:$H$1946,2,FALSE),"미등록"))</f>
        <v/>
      </c>
      <c r="N626" s="53" t="str">
        <f>IF($K626="","",IFERROR(VLOOKUP(--SUBSTITUTE(SUBSTITUTE(TRIM($K626),"-","")," ",""),마스터시트!$A$2:$H$1946,3,FALSE),"미등록"))</f>
        <v/>
      </c>
      <c r="O626" s="18" t="str">
        <f>IF($K626="","",IFERROR(VLOOKUP(--SUBSTITUTE(SUBSTITUTE(TRIM($K626),"-","")," ",""),마스터시트!$A$2:$H$1946,4,FALSE),""))</f>
        <v/>
      </c>
      <c r="P626" s="18" t="str">
        <f>IF($K626="","",IFERROR(VLOOKUP(--SUBSTITUTE(SUBSTITUTE(TRIM($K626),"-","")," ",""),마스터시트!$A$2:$H$1946,5,FALSE),""))</f>
        <v/>
      </c>
      <c r="Q626" s="18" t="str">
        <f>IF($K626="","",IFERROR(VLOOKUP(--SUBSTITUTE(SUBSTITUTE(TRIM($K626),"-","")," ",""),마스터시트!$A$2:$H$1946,6,FALSE),""))</f>
        <v/>
      </c>
      <c r="R626" s="18" t="str">
        <f>IF($K626="","",IFERROR(VLOOKUP(--SUBSTITUTE(SUBSTITUTE(TRIM($K626),"-","")," ",""),마스터시트!$A$2:$H$1946,7,FALSE),""))</f>
        <v/>
      </c>
    </row>
    <row r="627" spans="13:18" x14ac:dyDescent="0.3">
      <c r="M627" s="18" t="str">
        <f>IF($K627="","",IFERROR(VLOOKUP(--SUBSTITUTE(SUBSTITUTE(TRIM($K627),"-","")," ",""),마스터시트!$A$2:$H$1946,2,FALSE),"미등록"))</f>
        <v/>
      </c>
      <c r="N627" s="53" t="str">
        <f>IF($K627="","",IFERROR(VLOOKUP(--SUBSTITUTE(SUBSTITUTE(TRIM($K627),"-","")," ",""),마스터시트!$A$2:$H$1946,3,FALSE),"미등록"))</f>
        <v/>
      </c>
      <c r="O627" s="18" t="str">
        <f>IF($K627="","",IFERROR(VLOOKUP(--SUBSTITUTE(SUBSTITUTE(TRIM($K627),"-","")," ",""),마스터시트!$A$2:$H$1946,4,FALSE),""))</f>
        <v/>
      </c>
      <c r="P627" s="18" t="str">
        <f>IF($K627="","",IFERROR(VLOOKUP(--SUBSTITUTE(SUBSTITUTE(TRIM($K627),"-","")," ",""),마스터시트!$A$2:$H$1946,5,FALSE),""))</f>
        <v/>
      </c>
      <c r="Q627" s="18" t="str">
        <f>IF($K627="","",IFERROR(VLOOKUP(--SUBSTITUTE(SUBSTITUTE(TRIM($K627),"-","")," ",""),마스터시트!$A$2:$H$1946,6,FALSE),""))</f>
        <v/>
      </c>
      <c r="R627" s="18" t="str">
        <f>IF($K627="","",IFERROR(VLOOKUP(--SUBSTITUTE(SUBSTITUTE(TRIM($K627),"-","")," ",""),마스터시트!$A$2:$H$1946,7,FALSE),""))</f>
        <v/>
      </c>
    </row>
    <row r="628" spans="13:18" x14ac:dyDescent="0.3">
      <c r="M628" s="18" t="str">
        <f>IF($K628="","",IFERROR(VLOOKUP(--SUBSTITUTE(SUBSTITUTE(TRIM($K628),"-","")," ",""),마스터시트!$A$2:$H$1946,2,FALSE),"미등록"))</f>
        <v/>
      </c>
      <c r="N628" s="53" t="str">
        <f>IF($K628="","",IFERROR(VLOOKUP(--SUBSTITUTE(SUBSTITUTE(TRIM($K628),"-","")," ",""),마스터시트!$A$2:$H$1946,3,FALSE),"미등록"))</f>
        <v/>
      </c>
      <c r="O628" s="18" t="str">
        <f>IF($K628="","",IFERROR(VLOOKUP(--SUBSTITUTE(SUBSTITUTE(TRIM($K628),"-","")," ",""),마스터시트!$A$2:$H$1946,4,FALSE),""))</f>
        <v/>
      </c>
      <c r="P628" s="18" t="str">
        <f>IF($K628="","",IFERROR(VLOOKUP(--SUBSTITUTE(SUBSTITUTE(TRIM($K628),"-","")," ",""),마스터시트!$A$2:$H$1946,5,FALSE),""))</f>
        <v/>
      </c>
      <c r="Q628" s="18" t="str">
        <f>IF($K628="","",IFERROR(VLOOKUP(--SUBSTITUTE(SUBSTITUTE(TRIM($K628),"-","")," ",""),마스터시트!$A$2:$H$1946,6,FALSE),""))</f>
        <v/>
      </c>
      <c r="R628" s="18" t="str">
        <f>IF($K628="","",IFERROR(VLOOKUP(--SUBSTITUTE(SUBSTITUTE(TRIM($K628),"-","")," ",""),마스터시트!$A$2:$H$1946,7,FALSE),""))</f>
        <v/>
      </c>
    </row>
    <row r="629" spans="13:18" x14ac:dyDescent="0.3">
      <c r="M629" s="18" t="str">
        <f>IF($K629="","",IFERROR(VLOOKUP(--SUBSTITUTE(SUBSTITUTE(TRIM($K629),"-","")," ",""),마스터시트!$A$2:$H$1946,2,FALSE),"미등록"))</f>
        <v/>
      </c>
      <c r="N629" s="53" t="str">
        <f>IF($K629="","",IFERROR(VLOOKUP(--SUBSTITUTE(SUBSTITUTE(TRIM($K629),"-","")," ",""),마스터시트!$A$2:$H$1946,3,FALSE),"미등록"))</f>
        <v/>
      </c>
      <c r="O629" s="18" t="str">
        <f>IF($K629="","",IFERROR(VLOOKUP(--SUBSTITUTE(SUBSTITUTE(TRIM($K629),"-","")," ",""),마스터시트!$A$2:$H$1946,4,FALSE),""))</f>
        <v/>
      </c>
      <c r="P629" s="18" t="str">
        <f>IF($K629="","",IFERROR(VLOOKUP(--SUBSTITUTE(SUBSTITUTE(TRIM($K629),"-","")," ",""),마스터시트!$A$2:$H$1946,5,FALSE),""))</f>
        <v/>
      </c>
      <c r="Q629" s="18" t="str">
        <f>IF($K629="","",IFERROR(VLOOKUP(--SUBSTITUTE(SUBSTITUTE(TRIM($K629),"-","")," ",""),마스터시트!$A$2:$H$1946,6,FALSE),""))</f>
        <v/>
      </c>
      <c r="R629" s="18" t="str">
        <f>IF($K629="","",IFERROR(VLOOKUP(--SUBSTITUTE(SUBSTITUTE(TRIM($K629),"-","")," ",""),마스터시트!$A$2:$H$1946,7,FALSE),""))</f>
        <v/>
      </c>
    </row>
    <row r="630" spans="13:18" x14ac:dyDescent="0.3">
      <c r="M630" s="18" t="str">
        <f>IF($K630="","",IFERROR(VLOOKUP(--SUBSTITUTE(SUBSTITUTE(TRIM($K630),"-","")," ",""),마스터시트!$A$2:$H$1946,2,FALSE),"미등록"))</f>
        <v/>
      </c>
      <c r="N630" s="53" t="str">
        <f>IF($K630="","",IFERROR(VLOOKUP(--SUBSTITUTE(SUBSTITUTE(TRIM($K630),"-","")," ",""),마스터시트!$A$2:$H$1946,3,FALSE),"미등록"))</f>
        <v/>
      </c>
      <c r="O630" s="18" t="str">
        <f>IF($K630="","",IFERROR(VLOOKUP(--SUBSTITUTE(SUBSTITUTE(TRIM($K630),"-","")," ",""),마스터시트!$A$2:$H$1946,4,FALSE),""))</f>
        <v/>
      </c>
      <c r="P630" s="18" t="str">
        <f>IF($K630="","",IFERROR(VLOOKUP(--SUBSTITUTE(SUBSTITUTE(TRIM($K630),"-","")," ",""),마스터시트!$A$2:$H$1946,5,FALSE),""))</f>
        <v/>
      </c>
      <c r="Q630" s="18" t="str">
        <f>IF($K630="","",IFERROR(VLOOKUP(--SUBSTITUTE(SUBSTITUTE(TRIM($K630),"-","")," ",""),마스터시트!$A$2:$H$1946,6,FALSE),""))</f>
        <v/>
      </c>
      <c r="R630" s="18" t="str">
        <f>IF($K630="","",IFERROR(VLOOKUP(--SUBSTITUTE(SUBSTITUTE(TRIM($K630),"-","")," ",""),마스터시트!$A$2:$H$1946,7,FALSE),""))</f>
        <v/>
      </c>
    </row>
    <row r="631" spans="13:18" x14ac:dyDescent="0.3">
      <c r="M631" s="18" t="str">
        <f>IF($K631="","",IFERROR(VLOOKUP(--SUBSTITUTE(SUBSTITUTE(TRIM($K631),"-","")," ",""),마스터시트!$A$2:$H$1946,2,FALSE),"미등록"))</f>
        <v/>
      </c>
      <c r="N631" s="53" t="str">
        <f>IF($K631="","",IFERROR(VLOOKUP(--SUBSTITUTE(SUBSTITUTE(TRIM($K631),"-","")," ",""),마스터시트!$A$2:$H$1946,3,FALSE),"미등록"))</f>
        <v/>
      </c>
      <c r="O631" s="18" t="str">
        <f>IF($K631="","",IFERROR(VLOOKUP(--SUBSTITUTE(SUBSTITUTE(TRIM($K631),"-","")," ",""),마스터시트!$A$2:$H$1946,4,FALSE),""))</f>
        <v/>
      </c>
      <c r="P631" s="18" t="str">
        <f>IF($K631="","",IFERROR(VLOOKUP(--SUBSTITUTE(SUBSTITUTE(TRIM($K631),"-","")," ",""),마스터시트!$A$2:$H$1946,5,FALSE),""))</f>
        <v/>
      </c>
      <c r="Q631" s="18" t="str">
        <f>IF($K631="","",IFERROR(VLOOKUP(--SUBSTITUTE(SUBSTITUTE(TRIM($K631),"-","")," ",""),마스터시트!$A$2:$H$1946,6,FALSE),""))</f>
        <v/>
      </c>
      <c r="R631" s="18" t="str">
        <f>IF($K631="","",IFERROR(VLOOKUP(--SUBSTITUTE(SUBSTITUTE(TRIM($K631),"-","")," ",""),마스터시트!$A$2:$H$1946,7,FALSE),""))</f>
        <v/>
      </c>
    </row>
    <row r="632" spans="13:18" x14ac:dyDescent="0.3">
      <c r="M632" s="18" t="str">
        <f>IF($K632="","",IFERROR(VLOOKUP(--SUBSTITUTE(SUBSTITUTE(TRIM($K632),"-","")," ",""),마스터시트!$A$2:$H$1946,2,FALSE),"미등록"))</f>
        <v/>
      </c>
      <c r="N632" s="53" t="str">
        <f>IF($K632="","",IFERROR(VLOOKUP(--SUBSTITUTE(SUBSTITUTE(TRIM($K632),"-","")," ",""),마스터시트!$A$2:$H$1946,3,FALSE),"미등록"))</f>
        <v/>
      </c>
      <c r="O632" s="18" t="str">
        <f>IF($K632="","",IFERROR(VLOOKUP(--SUBSTITUTE(SUBSTITUTE(TRIM($K632),"-","")," ",""),마스터시트!$A$2:$H$1946,4,FALSE),""))</f>
        <v/>
      </c>
      <c r="P632" s="18" t="str">
        <f>IF($K632="","",IFERROR(VLOOKUP(--SUBSTITUTE(SUBSTITUTE(TRIM($K632),"-","")," ",""),마스터시트!$A$2:$H$1946,5,FALSE),""))</f>
        <v/>
      </c>
      <c r="Q632" s="18" t="str">
        <f>IF($K632="","",IFERROR(VLOOKUP(--SUBSTITUTE(SUBSTITUTE(TRIM($K632),"-","")," ",""),마스터시트!$A$2:$H$1946,6,FALSE),""))</f>
        <v/>
      </c>
      <c r="R632" s="18" t="str">
        <f>IF($K632="","",IFERROR(VLOOKUP(--SUBSTITUTE(SUBSTITUTE(TRIM($K632),"-","")," ",""),마스터시트!$A$2:$H$1946,7,FALSE),""))</f>
        <v/>
      </c>
    </row>
    <row r="633" spans="13:18" x14ac:dyDescent="0.3">
      <c r="M633" s="18" t="str">
        <f>IF($K633="","",IFERROR(VLOOKUP(--SUBSTITUTE(SUBSTITUTE(TRIM($K633),"-","")," ",""),마스터시트!$A$2:$H$1946,2,FALSE),"미등록"))</f>
        <v/>
      </c>
      <c r="N633" s="53" t="str">
        <f>IF($K633="","",IFERROR(VLOOKUP(--SUBSTITUTE(SUBSTITUTE(TRIM($K633),"-","")," ",""),마스터시트!$A$2:$H$1946,3,FALSE),"미등록"))</f>
        <v/>
      </c>
      <c r="O633" s="18" t="str">
        <f>IF($K633="","",IFERROR(VLOOKUP(--SUBSTITUTE(SUBSTITUTE(TRIM($K633),"-","")," ",""),마스터시트!$A$2:$H$1946,4,FALSE),""))</f>
        <v/>
      </c>
      <c r="P633" s="18" t="str">
        <f>IF($K633="","",IFERROR(VLOOKUP(--SUBSTITUTE(SUBSTITUTE(TRIM($K633),"-","")," ",""),마스터시트!$A$2:$H$1946,5,FALSE),""))</f>
        <v/>
      </c>
      <c r="Q633" s="18" t="str">
        <f>IF($K633="","",IFERROR(VLOOKUP(--SUBSTITUTE(SUBSTITUTE(TRIM($K633),"-","")," ",""),마스터시트!$A$2:$H$1946,6,FALSE),""))</f>
        <v/>
      </c>
      <c r="R633" s="18" t="str">
        <f>IF($K633="","",IFERROR(VLOOKUP(--SUBSTITUTE(SUBSTITUTE(TRIM($K633),"-","")," ",""),마스터시트!$A$2:$H$1946,7,FALSE),""))</f>
        <v/>
      </c>
    </row>
    <row r="634" spans="13:18" x14ac:dyDescent="0.3">
      <c r="M634" s="18" t="str">
        <f>IF($K634="","",IFERROR(VLOOKUP(--SUBSTITUTE(SUBSTITUTE(TRIM($K634),"-","")," ",""),마스터시트!$A$2:$H$1946,2,FALSE),"미등록"))</f>
        <v/>
      </c>
      <c r="N634" s="53" t="str">
        <f>IF($K634="","",IFERROR(VLOOKUP(--SUBSTITUTE(SUBSTITUTE(TRIM($K634),"-","")," ",""),마스터시트!$A$2:$H$1946,3,FALSE),"미등록"))</f>
        <v/>
      </c>
      <c r="O634" s="18" t="str">
        <f>IF($K634="","",IFERROR(VLOOKUP(--SUBSTITUTE(SUBSTITUTE(TRIM($K634),"-","")," ",""),마스터시트!$A$2:$H$1946,4,FALSE),""))</f>
        <v/>
      </c>
      <c r="P634" s="18" t="str">
        <f>IF($K634="","",IFERROR(VLOOKUP(--SUBSTITUTE(SUBSTITUTE(TRIM($K634),"-","")," ",""),마스터시트!$A$2:$H$1946,5,FALSE),""))</f>
        <v/>
      </c>
      <c r="Q634" s="18" t="str">
        <f>IF($K634="","",IFERROR(VLOOKUP(--SUBSTITUTE(SUBSTITUTE(TRIM($K634),"-","")," ",""),마스터시트!$A$2:$H$1946,6,FALSE),""))</f>
        <v/>
      </c>
      <c r="R634" s="18" t="str">
        <f>IF($K634="","",IFERROR(VLOOKUP(--SUBSTITUTE(SUBSTITUTE(TRIM($K634),"-","")," ",""),마스터시트!$A$2:$H$1946,7,FALSE),""))</f>
        <v/>
      </c>
    </row>
    <row r="635" spans="13:18" x14ac:dyDescent="0.3">
      <c r="M635" s="18" t="str">
        <f>IF($K635="","",IFERROR(VLOOKUP(--SUBSTITUTE(SUBSTITUTE(TRIM($K635),"-","")," ",""),마스터시트!$A$2:$H$1946,2,FALSE),"미등록"))</f>
        <v/>
      </c>
      <c r="N635" s="53" t="str">
        <f>IF($K635="","",IFERROR(VLOOKUP(--SUBSTITUTE(SUBSTITUTE(TRIM($K635),"-","")," ",""),마스터시트!$A$2:$H$1946,3,FALSE),"미등록"))</f>
        <v/>
      </c>
      <c r="O635" s="18" t="str">
        <f>IF($K635="","",IFERROR(VLOOKUP(--SUBSTITUTE(SUBSTITUTE(TRIM($K635),"-","")," ",""),마스터시트!$A$2:$H$1946,4,FALSE),""))</f>
        <v/>
      </c>
      <c r="P635" s="18" t="str">
        <f>IF($K635="","",IFERROR(VLOOKUP(--SUBSTITUTE(SUBSTITUTE(TRIM($K635),"-","")," ",""),마스터시트!$A$2:$H$1946,5,FALSE),""))</f>
        <v/>
      </c>
      <c r="Q635" s="18" t="str">
        <f>IF($K635="","",IFERROR(VLOOKUP(--SUBSTITUTE(SUBSTITUTE(TRIM($K635),"-","")," ",""),마스터시트!$A$2:$H$1946,6,FALSE),""))</f>
        <v/>
      </c>
      <c r="R635" s="18" t="str">
        <f>IF($K635="","",IFERROR(VLOOKUP(--SUBSTITUTE(SUBSTITUTE(TRIM($K635),"-","")," ",""),마스터시트!$A$2:$H$1946,7,FALSE),""))</f>
        <v/>
      </c>
    </row>
    <row r="636" spans="13:18" x14ac:dyDescent="0.3">
      <c r="M636" s="18" t="str">
        <f>IF($K636="","",IFERROR(VLOOKUP(--SUBSTITUTE(SUBSTITUTE(TRIM($K636),"-","")," ",""),마스터시트!$A$2:$H$1946,2,FALSE),"미등록"))</f>
        <v/>
      </c>
      <c r="N636" s="53" t="str">
        <f>IF($K636="","",IFERROR(VLOOKUP(--SUBSTITUTE(SUBSTITUTE(TRIM($K636),"-","")," ",""),마스터시트!$A$2:$H$1946,3,FALSE),"미등록"))</f>
        <v/>
      </c>
      <c r="O636" s="18" t="str">
        <f>IF($K636="","",IFERROR(VLOOKUP(--SUBSTITUTE(SUBSTITUTE(TRIM($K636),"-","")," ",""),마스터시트!$A$2:$H$1946,4,FALSE),""))</f>
        <v/>
      </c>
      <c r="P636" s="18" t="str">
        <f>IF($K636="","",IFERROR(VLOOKUP(--SUBSTITUTE(SUBSTITUTE(TRIM($K636),"-","")," ",""),마스터시트!$A$2:$H$1946,5,FALSE),""))</f>
        <v/>
      </c>
      <c r="Q636" s="18" t="str">
        <f>IF($K636="","",IFERROR(VLOOKUP(--SUBSTITUTE(SUBSTITUTE(TRIM($K636),"-","")," ",""),마스터시트!$A$2:$H$1946,6,FALSE),""))</f>
        <v/>
      </c>
      <c r="R636" s="18" t="str">
        <f>IF($K636="","",IFERROR(VLOOKUP(--SUBSTITUTE(SUBSTITUTE(TRIM($K636),"-","")," ",""),마스터시트!$A$2:$H$1946,7,FALSE),""))</f>
        <v/>
      </c>
    </row>
    <row r="637" spans="13:18" x14ac:dyDescent="0.3">
      <c r="M637" s="18" t="str">
        <f>IF($K637="","",IFERROR(VLOOKUP(--SUBSTITUTE(SUBSTITUTE(TRIM($K637),"-","")," ",""),마스터시트!$A$2:$H$1946,2,FALSE),"미등록"))</f>
        <v/>
      </c>
      <c r="N637" s="53" t="str">
        <f>IF($K637="","",IFERROR(VLOOKUP(--SUBSTITUTE(SUBSTITUTE(TRIM($K637),"-","")," ",""),마스터시트!$A$2:$H$1946,3,FALSE),"미등록"))</f>
        <v/>
      </c>
      <c r="O637" s="18" t="str">
        <f>IF($K637="","",IFERROR(VLOOKUP(--SUBSTITUTE(SUBSTITUTE(TRIM($K637),"-","")," ",""),마스터시트!$A$2:$H$1946,4,FALSE),""))</f>
        <v/>
      </c>
      <c r="P637" s="18" t="str">
        <f>IF($K637="","",IFERROR(VLOOKUP(--SUBSTITUTE(SUBSTITUTE(TRIM($K637),"-","")," ",""),마스터시트!$A$2:$H$1946,5,FALSE),""))</f>
        <v/>
      </c>
      <c r="Q637" s="18" t="str">
        <f>IF($K637="","",IFERROR(VLOOKUP(--SUBSTITUTE(SUBSTITUTE(TRIM($K637),"-","")," ",""),마스터시트!$A$2:$H$1946,6,FALSE),""))</f>
        <v/>
      </c>
      <c r="R637" s="18" t="str">
        <f>IF($K637="","",IFERROR(VLOOKUP(--SUBSTITUTE(SUBSTITUTE(TRIM($K637),"-","")," ",""),마스터시트!$A$2:$H$1946,7,FALSE),""))</f>
        <v/>
      </c>
    </row>
    <row r="638" spans="13:18" x14ac:dyDescent="0.3">
      <c r="M638" s="18" t="str">
        <f>IF($K638="","",IFERROR(VLOOKUP(--SUBSTITUTE(SUBSTITUTE(TRIM($K638),"-","")," ",""),마스터시트!$A$2:$H$1946,2,FALSE),"미등록"))</f>
        <v/>
      </c>
      <c r="N638" s="53" t="str">
        <f>IF($K638="","",IFERROR(VLOOKUP(--SUBSTITUTE(SUBSTITUTE(TRIM($K638),"-","")," ",""),마스터시트!$A$2:$H$1946,3,FALSE),"미등록"))</f>
        <v/>
      </c>
      <c r="O638" s="18" t="str">
        <f>IF($K638="","",IFERROR(VLOOKUP(--SUBSTITUTE(SUBSTITUTE(TRIM($K638),"-","")," ",""),마스터시트!$A$2:$H$1946,4,FALSE),""))</f>
        <v/>
      </c>
      <c r="P638" s="18" t="str">
        <f>IF($K638="","",IFERROR(VLOOKUP(--SUBSTITUTE(SUBSTITUTE(TRIM($K638),"-","")," ",""),마스터시트!$A$2:$H$1946,5,FALSE),""))</f>
        <v/>
      </c>
      <c r="Q638" s="18" t="str">
        <f>IF($K638="","",IFERROR(VLOOKUP(--SUBSTITUTE(SUBSTITUTE(TRIM($K638),"-","")," ",""),마스터시트!$A$2:$H$1946,6,FALSE),""))</f>
        <v/>
      </c>
      <c r="R638" s="18" t="str">
        <f>IF($K638="","",IFERROR(VLOOKUP(--SUBSTITUTE(SUBSTITUTE(TRIM($K638),"-","")," ",""),마스터시트!$A$2:$H$1946,7,FALSE),""))</f>
        <v/>
      </c>
    </row>
    <row r="639" spans="13:18" x14ac:dyDescent="0.3">
      <c r="M639" s="18" t="str">
        <f>IF($K639="","",IFERROR(VLOOKUP(--SUBSTITUTE(SUBSTITUTE(TRIM($K639),"-","")," ",""),마스터시트!$A$2:$H$1946,2,FALSE),"미등록"))</f>
        <v/>
      </c>
      <c r="N639" s="53" t="str">
        <f>IF($K639="","",IFERROR(VLOOKUP(--SUBSTITUTE(SUBSTITUTE(TRIM($K639),"-","")," ",""),마스터시트!$A$2:$H$1946,3,FALSE),"미등록"))</f>
        <v/>
      </c>
      <c r="O639" s="18" t="str">
        <f>IF($K639="","",IFERROR(VLOOKUP(--SUBSTITUTE(SUBSTITUTE(TRIM($K639),"-","")," ",""),마스터시트!$A$2:$H$1946,4,FALSE),""))</f>
        <v/>
      </c>
      <c r="P639" s="18" t="str">
        <f>IF($K639="","",IFERROR(VLOOKUP(--SUBSTITUTE(SUBSTITUTE(TRIM($K639),"-","")," ",""),마스터시트!$A$2:$H$1946,5,FALSE),""))</f>
        <v/>
      </c>
      <c r="Q639" s="18" t="str">
        <f>IF($K639="","",IFERROR(VLOOKUP(--SUBSTITUTE(SUBSTITUTE(TRIM($K639),"-","")," ",""),마스터시트!$A$2:$H$1946,6,FALSE),""))</f>
        <v/>
      </c>
      <c r="R639" s="18" t="str">
        <f>IF($K639="","",IFERROR(VLOOKUP(--SUBSTITUTE(SUBSTITUTE(TRIM($K639),"-","")," ",""),마스터시트!$A$2:$H$1946,7,FALSE),""))</f>
        <v/>
      </c>
    </row>
    <row r="640" spans="13:18" x14ac:dyDescent="0.3">
      <c r="M640" s="18" t="str">
        <f>IF($K640="","",IFERROR(VLOOKUP(--SUBSTITUTE(SUBSTITUTE(TRIM($K640),"-","")," ",""),마스터시트!$A$2:$H$1946,2,FALSE),"미등록"))</f>
        <v/>
      </c>
      <c r="N640" s="53" t="str">
        <f>IF($K640="","",IFERROR(VLOOKUP(--SUBSTITUTE(SUBSTITUTE(TRIM($K640),"-","")," ",""),마스터시트!$A$2:$H$1946,3,FALSE),"미등록"))</f>
        <v/>
      </c>
      <c r="O640" s="18" t="str">
        <f>IF($K640="","",IFERROR(VLOOKUP(--SUBSTITUTE(SUBSTITUTE(TRIM($K640),"-","")," ",""),마스터시트!$A$2:$H$1946,4,FALSE),""))</f>
        <v/>
      </c>
      <c r="P640" s="18" t="str">
        <f>IF($K640="","",IFERROR(VLOOKUP(--SUBSTITUTE(SUBSTITUTE(TRIM($K640),"-","")," ",""),마스터시트!$A$2:$H$1946,5,FALSE),""))</f>
        <v/>
      </c>
      <c r="Q640" s="18" t="str">
        <f>IF($K640="","",IFERROR(VLOOKUP(--SUBSTITUTE(SUBSTITUTE(TRIM($K640),"-","")," ",""),마스터시트!$A$2:$H$1946,6,FALSE),""))</f>
        <v/>
      </c>
      <c r="R640" s="18" t="str">
        <f>IF($K640="","",IFERROR(VLOOKUP(--SUBSTITUTE(SUBSTITUTE(TRIM($K640),"-","")," ",""),마스터시트!$A$2:$H$1946,7,FALSE),""))</f>
        <v/>
      </c>
    </row>
    <row r="641" spans="13:18" x14ac:dyDescent="0.3">
      <c r="M641" s="18" t="str">
        <f>IF($K641="","",IFERROR(VLOOKUP(--SUBSTITUTE(SUBSTITUTE(TRIM($K641),"-","")," ",""),마스터시트!$A$2:$H$1946,2,FALSE),"미등록"))</f>
        <v/>
      </c>
      <c r="N641" s="53" t="str">
        <f>IF($K641="","",IFERROR(VLOOKUP(--SUBSTITUTE(SUBSTITUTE(TRIM($K641),"-","")," ",""),마스터시트!$A$2:$H$1946,3,FALSE),"미등록"))</f>
        <v/>
      </c>
      <c r="O641" s="18" t="str">
        <f>IF($K641="","",IFERROR(VLOOKUP(--SUBSTITUTE(SUBSTITUTE(TRIM($K641),"-","")," ",""),마스터시트!$A$2:$H$1946,4,FALSE),""))</f>
        <v/>
      </c>
      <c r="P641" s="18" t="str">
        <f>IF($K641="","",IFERROR(VLOOKUP(--SUBSTITUTE(SUBSTITUTE(TRIM($K641),"-","")," ",""),마스터시트!$A$2:$H$1946,5,FALSE),""))</f>
        <v/>
      </c>
      <c r="Q641" s="18" t="str">
        <f>IF($K641="","",IFERROR(VLOOKUP(--SUBSTITUTE(SUBSTITUTE(TRIM($K641),"-","")," ",""),마스터시트!$A$2:$H$1946,6,FALSE),""))</f>
        <v/>
      </c>
      <c r="R641" s="18" t="str">
        <f>IF($K641="","",IFERROR(VLOOKUP(--SUBSTITUTE(SUBSTITUTE(TRIM($K641),"-","")," ",""),마스터시트!$A$2:$H$1946,7,FALSE),""))</f>
        <v/>
      </c>
    </row>
    <row r="642" spans="13:18" x14ac:dyDescent="0.3">
      <c r="M642" s="18" t="str">
        <f>IF($K642="","",IFERROR(VLOOKUP(--SUBSTITUTE(SUBSTITUTE(TRIM($K642),"-","")," ",""),마스터시트!$A$2:$H$1946,2,FALSE),"미등록"))</f>
        <v/>
      </c>
      <c r="N642" s="53" t="str">
        <f>IF($K642="","",IFERROR(VLOOKUP(--SUBSTITUTE(SUBSTITUTE(TRIM($K642),"-","")," ",""),마스터시트!$A$2:$H$1946,3,FALSE),"미등록"))</f>
        <v/>
      </c>
      <c r="O642" s="18" t="str">
        <f>IF($K642="","",IFERROR(VLOOKUP(--SUBSTITUTE(SUBSTITUTE(TRIM($K642),"-","")," ",""),마스터시트!$A$2:$H$1946,4,FALSE),""))</f>
        <v/>
      </c>
      <c r="P642" s="18" t="str">
        <f>IF($K642="","",IFERROR(VLOOKUP(--SUBSTITUTE(SUBSTITUTE(TRIM($K642),"-","")," ",""),마스터시트!$A$2:$H$1946,5,FALSE),""))</f>
        <v/>
      </c>
      <c r="Q642" s="18" t="str">
        <f>IF($K642="","",IFERROR(VLOOKUP(--SUBSTITUTE(SUBSTITUTE(TRIM($K642),"-","")," ",""),마스터시트!$A$2:$H$1946,6,FALSE),""))</f>
        <v/>
      </c>
      <c r="R642" s="18" t="str">
        <f>IF($K642="","",IFERROR(VLOOKUP(--SUBSTITUTE(SUBSTITUTE(TRIM($K642),"-","")," ",""),마스터시트!$A$2:$H$1946,7,FALSE),""))</f>
        <v/>
      </c>
    </row>
    <row r="643" spans="13:18" x14ac:dyDescent="0.3">
      <c r="M643" s="18" t="str">
        <f>IF($K643="","",IFERROR(VLOOKUP(--SUBSTITUTE(SUBSTITUTE(TRIM($K643),"-","")," ",""),마스터시트!$A$2:$H$1946,2,FALSE),"미등록"))</f>
        <v/>
      </c>
      <c r="N643" s="53" t="str">
        <f>IF($K643="","",IFERROR(VLOOKUP(--SUBSTITUTE(SUBSTITUTE(TRIM($K643),"-","")," ",""),마스터시트!$A$2:$H$1946,3,FALSE),"미등록"))</f>
        <v/>
      </c>
      <c r="O643" s="18" t="str">
        <f>IF($K643="","",IFERROR(VLOOKUP(--SUBSTITUTE(SUBSTITUTE(TRIM($K643),"-","")," ",""),마스터시트!$A$2:$H$1946,4,FALSE),""))</f>
        <v/>
      </c>
      <c r="P643" s="18" t="str">
        <f>IF($K643="","",IFERROR(VLOOKUP(--SUBSTITUTE(SUBSTITUTE(TRIM($K643),"-","")," ",""),마스터시트!$A$2:$H$1946,5,FALSE),""))</f>
        <v/>
      </c>
      <c r="Q643" s="18" t="str">
        <f>IF($K643="","",IFERROR(VLOOKUP(--SUBSTITUTE(SUBSTITUTE(TRIM($K643),"-","")," ",""),마스터시트!$A$2:$H$1946,6,FALSE),""))</f>
        <v/>
      </c>
      <c r="R643" s="18" t="str">
        <f>IF($K643="","",IFERROR(VLOOKUP(--SUBSTITUTE(SUBSTITUTE(TRIM($K643),"-","")," ",""),마스터시트!$A$2:$H$1946,7,FALSE),""))</f>
        <v/>
      </c>
    </row>
    <row r="644" spans="13:18" x14ac:dyDescent="0.3">
      <c r="M644" s="18" t="str">
        <f>IF($K644="","",IFERROR(VLOOKUP(--SUBSTITUTE(SUBSTITUTE(TRIM($K644),"-","")," ",""),마스터시트!$A$2:$H$1946,2,FALSE),"미등록"))</f>
        <v/>
      </c>
      <c r="N644" s="53" t="str">
        <f>IF($K644="","",IFERROR(VLOOKUP(--SUBSTITUTE(SUBSTITUTE(TRIM($K644),"-","")," ",""),마스터시트!$A$2:$H$1946,3,FALSE),"미등록"))</f>
        <v/>
      </c>
      <c r="O644" s="18" t="str">
        <f>IF($K644="","",IFERROR(VLOOKUP(--SUBSTITUTE(SUBSTITUTE(TRIM($K644),"-","")," ",""),마스터시트!$A$2:$H$1946,4,FALSE),""))</f>
        <v/>
      </c>
      <c r="P644" s="18" t="str">
        <f>IF($K644="","",IFERROR(VLOOKUP(--SUBSTITUTE(SUBSTITUTE(TRIM($K644),"-","")," ",""),마스터시트!$A$2:$H$1946,5,FALSE),""))</f>
        <v/>
      </c>
      <c r="Q644" s="18" t="str">
        <f>IF($K644="","",IFERROR(VLOOKUP(--SUBSTITUTE(SUBSTITUTE(TRIM($K644),"-","")," ",""),마스터시트!$A$2:$H$1946,6,FALSE),""))</f>
        <v/>
      </c>
      <c r="R644" s="18" t="str">
        <f>IF($K644="","",IFERROR(VLOOKUP(--SUBSTITUTE(SUBSTITUTE(TRIM($K644),"-","")," ",""),마스터시트!$A$2:$H$1946,7,FALSE),""))</f>
        <v/>
      </c>
    </row>
    <row r="645" spans="13:18" x14ac:dyDescent="0.3">
      <c r="M645" s="18" t="str">
        <f>IF($K645="","",IFERROR(VLOOKUP(--SUBSTITUTE(SUBSTITUTE(TRIM($K645),"-","")," ",""),마스터시트!$A$2:$H$1946,2,FALSE),"미등록"))</f>
        <v/>
      </c>
      <c r="N645" s="53" t="str">
        <f>IF($K645="","",IFERROR(VLOOKUP(--SUBSTITUTE(SUBSTITUTE(TRIM($K645),"-","")," ",""),마스터시트!$A$2:$H$1946,3,FALSE),"미등록"))</f>
        <v/>
      </c>
      <c r="O645" s="18" t="str">
        <f>IF($K645="","",IFERROR(VLOOKUP(--SUBSTITUTE(SUBSTITUTE(TRIM($K645),"-","")," ",""),마스터시트!$A$2:$H$1946,4,FALSE),""))</f>
        <v/>
      </c>
      <c r="P645" s="18" t="str">
        <f>IF($K645="","",IFERROR(VLOOKUP(--SUBSTITUTE(SUBSTITUTE(TRIM($K645),"-","")," ",""),마스터시트!$A$2:$H$1946,5,FALSE),""))</f>
        <v/>
      </c>
      <c r="Q645" s="18" t="str">
        <f>IF($K645="","",IFERROR(VLOOKUP(--SUBSTITUTE(SUBSTITUTE(TRIM($K645),"-","")," ",""),마스터시트!$A$2:$H$1946,6,FALSE),""))</f>
        <v/>
      </c>
      <c r="R645" s="18" t="str">
        <f>IF($K645="","",IFERROR(VLOOKUP(--SUBSTITUTE(SUBSTITUTE(TRIM($K645),"-","")," ",""),마스터시트!$A$2:$H$1946,7,FALSE),""))</f>
        <v/>
      </c>
    </row>
    <row r="646" spans="13:18" x14ac:dyDescent="0.3">
      <c r="M646" s="18" t="str">
        <f>IF($K646="","",IFERROR(VLOOKUP(--SUBSTITUTE(SUBSTITUTE(TRIM($K646),"-","")," ",""),마스터시트!$A$2:$H$1946,2,FALSE),"미등록"))</f>
        <v/>
      </c>
      <c r="N646" s="53" t="str">
        <f>IF($K646="","",IFERROR(VLOOKUP(--SUBSTITUTE(SUBSTITUTE(TRIM($K646),"-","")," ",""),마스터시트!$A$2:$H$1946,3,FALSE),"미등록"))</f>
        <v/>
      </c>
      <c r="O646" s="18" t="str">
        <f>IF($K646="","",IFERROR(VLOOKUP(--SUBSTITUTE(SUBSTITUTE(TRIM($K646),"-","")," ",""),마스터시트!$A$2:$H$1946,4,FALSE),""))</f>
        <v/>
      </c>
      <c r="P646" s="18" t="str">
        <f>IF($K646="","",IFERROR(VLOOKUP(--SUBSTITUTE(SUBSTITUTE(TRIM($K646),"-","")," ",""),마스터시트!$A$2:$H$1946,5,FALSE),""))</f>
        <v/>
      </c>
      <c r="Q646" s="18" t="str">
        <f>IF($K646="","",IFERROR(VLOOKUP(--SUBSTITUTE(SUBSTITUTE(TRIM($K646),"-","")," ",""),마스터시트!$A$2:$H$1946,6,FALSE),""))</f>
        <v/>
      </c>
      <c r="R646" s="18" t="str">
        <f>IF($K646="","",IFERROR(VLOOKUP(--SUBSTITUTE(SUBSTITUTE(TRIM($K646),"-","")," ",""),마스터시트!$A$2:$H$1946,7,FALSE),""))</f>
        <v/>
      </c>
    </row>
    <row r="647" spans="13:18" x14ac:dyDescent="0.3">
      <c r="M647" s="18" t="str">
        <f>IF($K647="","",IFERROR(VLOOKUP(--SUBSTITUTE(SUBSTITUTE(TRIM($K647),"-","")," ",""),마스터시트!$A$2:$H$1946,2,FALSE),"미등록"))</f>
        <v/>
      </c>
      <c r="N647" s="53" t="str">
        <f>IF($K647="","",IFERROR(VLOOKUP(--SUBSTITUTE(SUBSTITUTE(TRIM($K647),"-","")," ",""),마스터시트!$A$2:$H$1946,3,FALSE),"미등록"))</f>
        <v/>
      </c>
      <c r="O647" s="18" t="str">
        <f>IF($K647="","",IFERROR(VLOOKUP(--SUBSTITUTE(SUBSTITUTE(TRIM($K647),"-","")," ",""),마스터시트!$A$2:$H$1946,4,FALSE),""))</f>
        <v/>
      </c>
      <c r="P647" s="18" t="str">
        <f>IF($K647="","",IFERROR(VLOOKUP(--SUBSTITUTE(SUBSTITUTE(TRIM($K647),"-","")," ",""),마스터시트!$A$2:$H$1946,5,FALSE),""))</f>
        <v/>
      </c>
      <c r="Q647" s="18" t="str">
        <f>IF($K647="","",IFERROR(VLOOKUP(--SUBSTITUTE(SUBSTITUTE(TRIM($K647),"-","")," ",""),마스터시트!$A$2:$H$1946,6,FALSE),""))</f>
        <v/>
      </c>
      <c r="R647" s="18" t="str">
        <f>IF($K647="","",IFERROR(VLOOKUP(--SUBSTITUTE(SUBSTITUTE(TRIM($K647),"-","")," ",""),마스터시트!$A$2:$H$1946,7,FALSE),""))</f>
        <v/>
      </c>
    </row>
    <row r="648" spans="13:18" x14ac:dyDescent="0.3">
      <c r="M648" s="18" t="str">
        <f>IF($K648="","",IFERROR(VLOOKUP(--SUBSTITUTE(SUBSTITUTE(TRIM($K648),"-","")," ",""),마스터시트!$A$2:$H$1946,2,FALSE),"미등록"))</f>
        <v/>
      </c>
      <c r="N648" s="53" t="str">
        <f>IF($K648="","",IFERROR(VLOOKUP(--SUBSTITUTE(SUBSTITUTE(TRIM($K648),"-","")," ",""),마스터시트!$A$2:$H$1946,3,FALSE),"미등록"))</f>
        <v/>
      </c>
      <c r="O648" s="18" t="str">
        <f>IF($K648="","",IFERROR(VLOOKUP(--SUBSTITUTE(SUBSTITUTE(TRIM($K648),"-","")," ",""),마스터시트!$A$2:$H$1946,4,FALSE),""))</f>
        <v/>
      </c>
      <c r="P648" s="18" t="str">
        <f>IF($K648="","",IFERROR(VLOOKUP(--SUBSTITUTE(SUBSTITUTE(TRIM($K648),"-","")," ",""),마스터시트!$A$2:$H$1946,5,FALSE),""))</f>
        <v/>
      </c>
      <c r="Q648" s="18" t="str">
        <f>IF($K648="","",IFERROR(VLOOKUP(--SUBSTITUTE(SUBSTITUTE(TRIM($K648),"-","")," ",""),마스터시트!$A$2:$H$1946,6,FALSE),""))</f>
        <v/>
      </c>
      <c r="R648" s="18" t="str">
        <f>IF($K648="","",IFERROR(VLOOKUP(--SUBSTITUTE(SUBSTITUTE(TRIM($K648),"-","")," ",""),마스터시트!$A$2:$H$1946,7,FALSE),""))</f>
        <v/>
      </c>
    </row>
    <row r="649" spans="13:18" x14ac:dyDescent="0.3">
      <c r="M649" s="18" t="str">
        <f>IF($K649="","",IFERROR(VLOOKUP(--SUBSTITUTE(SUBSTITUTE(TRIM($K649),"-","")," ",""),마스터시트!$A$2:$H$1946,2,FALSE),"미등록"))</f>
        <v/>
      </c>
      <c r="N649" s="53" t="str">
        <f>IF($K649="","",IFERROR(VLOOKUP(--SUBSTITUTE(SUBSTITUTE(TRIM($K649),"-","")," ",""),마스터시트!$A$2:$H$1946,3,FALSE),"미등록"))</f>
        <v/>
      </c>
      <c r="O649" s="18" t="str">
        <f>IF($K649="","",IFERROR(VLOOKUP(--SUBSTITUTE(SUBSTITUTE(TRIM($K649),"-","")," ",""),마스터시트!$A$2:$H$1946,4,FALSE),""))</f>
        <v/>
      </c>
      <c r="P649" s="18" t="str">
        <f>IF($K649="","",IFERROR(VLOOKUP(--SUBSTITUTE(SUBSTITUTE(TRIM($K649),"-","")," ",""),마스터시트!$A$2:$H$1946,5,FALSE),""))</f>
        <v/>
      </c>
      <c r="Q649" s="18" t="str">
        <f>IF($K649="","",IFERROR(VLOOKUP(--SUBSTITUTE(SUBSTITUTE(TRIM($K649),"-","")," ",""),마스터시트!$A$2:$H$1946,6,FALSE),""))</f>
        <v/>
      </c>
      <c r="R649" s="18" t="str">
        <f>IF($K649="","",IFERROR(VLOOKUP(--SUBSTITUTE(SUBSTITUTE(TRIM($K649),"-","")," ",""),마스터시트!$A$2:$H$1946,7,FALSE),""))</f>
        <v/>
      </c>
    </row>
    <row r="650" spans="13:18" x14ac:dyDescent="0.3">
      <c r="M650" s="18" t="str">
        <f>IF($K650="","",IFERROR(VLOOKUP(--SUBSTITUTE(SUBSTITUTE(TRIM($K650),"-","")," ",""),마스터시트!$A$2:$H$1946,2,FALSE),"미등록"))</f>
        <v/>
      </c>
      <c r="N650" s="53" t="str">
        <f>IF($K650="","",IFERROR(VLOOKUP(--SUBSTITUTE(SUBSTITUTE(TRIM($K650),"-","")," ",""),마스터시트!$A$2:$H$1946,3,FALSE),"미등록"))</f>
        <v/>
      </c>
      <c r="O650" s="18" t="str">
        <f>IF($K650="","",IFERROR(VLOOKUP(--SUBSTITUTE(SUBSTITUTE(TRIM($K650),"-","")," ",""),마스터시트!$A$2:$H$1946,4,FALSE),""))</f>
        <v/>
      </c>
      <c r="P650" s="18" t="str">
        <f>IF($K650="","",IFERROR(VLOOKUP(--SUBSTITUTE(SUBSTITUTE(TRIM($K650),"-","")," ",""),마스터시트!$A$2:$H$1946,5,FALSE),""))</f>
        <v/>
      </c>
      <c r="Q650" s="18" t="str">
        <f>IF($K650="","",IFERROR(VLOOKUP(--SUBSTITUTE(SUBSTITUTE(TRIM($K650),"-","")," ",""),마스터시트!$A$2:$H$1946,6,FALSE),""))</f>
        <v/>
      </c>
      <c r="R650" s="18" t="str">
        <f>IF($K650="","",IFERROR(VLOOKUP(--SUBSTITUTE(SUBSTITUTE(TRIM($K650),"-","")," ",""),마스터시트!$A$2:$H$1946,7,FALSE),""))</f>
        <v/>
      </c>
    </row>
    <row r="651" spans="13:18" x14ac:dyDescent="0.3">
      <c r="M651" s="18" t="str">
        <f>IF($K651="","",IFERROR(VLOOKUP(--SUBSTITUTE(SUBSTITUTE(TRIM($K651),"-","")," ",""),마스터시트!$A$2:$H$1946,2,FALSE),"미등록"))</f>
        <v/>
      </c>
      <c r="N651" s="53" t="str">
        <f>IF($K651="","",IFERROR(VLOOKUP(--SUBSTITUTE(SUBSTITUTE(TRIM($K651),"-","")," ",""),마스터시트!$A$2:$H$1946,3,FALSE),"미등록"))</f>
        <v/>
      </c>
      <c r="O651" s="18" t="str">
        <f>IF($K651="","",IFERROR(VLOOKUP(--SUBSTITUTE(SUBSTITUTE(TRIM($K651),"-","")," ",""),마스터시트!$A$2:$H$1946,4,FALSE),""))</f>
        <v/>
      </c>
      <c r="P651" s="18" t="str">
        <f>IF($K651="","",IFERROR(VLOOKUP(--SUBSTITUTE(SUBSTITUTE(TRIM($K651),"-","")," ",""),마스터시트!$A$2:$H$1946,5,FALSE),""))</f>
        <v/>
      </c>
      <c r="Q651" s="18" t="str">
        <f>IF($K651="","",IFERROR(VLOOKUP(--SUBSTITUTE(SUBSTITUTE(TRIM($K651),"-","")," ",""),마스터시트!$A$2:$H$1946,6,FALSE),""))</f>
        <v/>
      </c>
      <c r="R651" s="18" t="str">
        <f>IF($K651="","",IFERROR(VLOOKUP(--SUBSTITUTE(SUBSTITUTE(TRIM($K651),"-","")," ",""),마스터시트!$A$2:$H$1946,7,FALSE),""))</f>
        <v/>
      </c>
    </row>
    <row r="652" spans="13:18" x14ac:dyDescent="0.3">
      <c r="M652" s="18" t="str">
        <f>IF($K652="","",IFERROR(VLOOKUP(--SUBSTITUTE(SUBSTITUTE(TRIM($K652),"-","")," ",""),마스터시트!$A$2:$H$1946,2,FALSE),"미등록"))</f>
        <v/>
      </c>
      <c r="N652" s="53" t="str">
        <f>IF($K652="","",IFERROR(VLOOKUP(--SUBSTITUTE(SUBSTITUTE(TRIM($K652),"-","")," ",""),마스터시트!$A$2:$H$1946,3,FALSE),"미등록"))</f>
        <v/>
      </c>
      <c r="O652" s="18" t="str">
        <f>IF($K652="","",IFERROR(VLOOKUP(--SUBSTITUTE(SUBSTITUTE(TRIM($K652),"-","")," ",""),마스터시트!$A$2:$H$1946,4,FALSE),""))</f>
        <v/>
      </c>
      <c r="P652" s="18" t="str">
        <f>IF($K652="","",IFERROR(VLOOKUP(--SUBSTITUTE(SUBSTITUTE(TRIM($K652),"-","")," ",""),마스터시트!$A$2:$H$1946,5,FALSE),""))</f>
        <v/>
      </c>
      <c r="Q652" s="18" t="str">
        <f>IF($K652="","",IFERROR(VLOOKUP(--SUBSTITUTE(SUBSTITUTE(TRIM($K652),"-","")," ",""),마스터시트!$A$2:$H$1946,6,FALSE),""))</f>
        <v/>
      </c>
      <c r="R652" s="18" t="str">
        <f>IF($K652="","",IFERROR(VLOOKUP(--SUBSTITUTE(SUBSTITUTE(TRIM($K652),"-","")," ",""),마스터시트!$A$2:$H$1946,7,FALSE),""))</f>
        <v/>
      </c>
    </row>
    <row r="653" spans="13:18" x14ac:dyDescent="0.3">
      <c r="M653" s="18" t="str">
        <f>IF($K653="","",IFERROR(VLOOKUP(--SUBSTITUTE(SUBSTITUTE(TRIM($K653),"-","")," ",""),마스터시트!$A$2:$H$1946,2,FALSE),"미등록"))</f>
        <v/>
      </c>
      <c r="N653" s="53" t="str">
        <f>IF($K653="","",IFERROR(VLOOKUP(--SUBSTITUTE(SUBSTITUTE(TRIM($K653),"-","")," ",""),마스터시트!$A$2:$H$1946,3,FALSE),"미등록"))</f>
        <v/>
      </c>
      <c r="O653" s="18" t="str">
        <f>IF($K653="","",IFERROR(VLOOKUP(--SUBSTITUTE(SUBSTITUTE(TRIM($K653),"-","")," ",""),마스터시트!$A$2:$H$1946,4,FALSE),""))</f>
        <v/>
      </c>
      <c r="P653" s="18" t="str">
        <f>IF($K653="","",IFERROR(VLOOKUP(--SUBSTITUTE(SUBSTITUTE(TRIM($K653),"-","")," ",""),마스터시트!$A$2:$H$1946,5,FALSE),""))</f>
        <v/>
      </c>
      <c r="Q653" s="18" t="str">
        <f>IF($K653="","",IFERROR(VLOOKUP(--SUBSTITUTE(SUBSTITUTE(TRIM($K653),"-","")," ",""),마스터시트!$A$2:$H$1946,6,FALSE),""))</f>
        <v/>
      </c>
      <c r="R653" s="18" t="str">
        <f>IF($K653="","",IFERROR(VLOOKUP(--SUBSTITUTE(SUBSTITUTE(TRIM($K653),"-","")," ",""),마스터시트!$A$2:$H$1946,7,FALSE),""))</f>
        <v/>
      </c>
    </row>
    <row r="654" spans="13:18" x14ac:dyDescent="0.3">
      <c r="M654" s="18" t="str">
        <f>IF($K654="","",IFERROR(VLOOKUP(--SUBSTITUTE(SUBSTITUTE(TRIM($K654),"-","")," ",""),마스터시트!$A$2:$H$1946,2,FALSE),"미등록"))</f>
        <v/>
      </c>
      <c r="N654" s="53" t="str">
        <f>IF($K654="","",IFERROR(VLOOKUP(--SUBSTITUTE(SUBSTITUTE(TRIM($K654),"-","")," ",""),마스터시트!$A$2:$H$1946,3,FALSE),"미등록"))</f>
        <v/>
      </c>
      <c r="O654" s="18" t="str">
        <f>IF($K654="","",IFERROR(VLOOKUP(--SUBSTITUTE(SUBSTITUTE(TRIM($K654),"-","")," ",""),마스터시트!$A$2:$H$1946,4,FALSE),""))</f>
        <v/>
      </c>
      <c r="P654" s="18" t="str">
        <f>IF($K654="","",IFERROR(VLOOKUP(--SUBSTITUTE(SUBSTITUTE(TRIM($K654),"-","")," ",""),마스터시트!$A$2:$H$1946,5,FALSE),""))</f>
        <v/>
      </c>
      <c r="Q654" s="18" t="str">
        <f>IF($K654="","",IFERROR(VLOOKUP(--SUBSTITUTE(SUBSTITUTE(TRIM($K654),"-","")," ",""),마스터시트!$A$2:$H$1946,6,FALSE),""))</f>
        <v/>
      </c>
      <c r="R654" s="18" t="str">
        <f>IF($K654="","",IFERROR(VLOOKUP(--SUBSTITUTE(SUBSTITUTE(TRIM($K654),"-","")," ",""),마스터시트!$A$2:$H$1946,7,FALSE),""))</f>
        <v/>
      </c>
    </row>
    <row r="655" spans="13:18" x14ac:dyDescent="0.3">
      <c r="M655" s="18" t="str">
        <f>IF($K655="","",IFERROR(VLOOKUP(--SUBSTITUTE(SUBSTITUTE(TRIM($K655),"-","")," ",""),마스터시트!$A$2:$H$1946,2,FALSE),"미등록"))</f>
        <v/>
      </c>
      <c r="N655" s="53" t="str">
        <f>IF($K655="","",IFERROR(VLOOKUP(--SUBSTITUTE(SUBSTITUTE(TRIM($K655),"-","")," ",""),마스터시트!$A$2:$H$1946,3,FALSE),"미등록"))</f>
        <v/>
      </c>
      <c r="O655" s="18" t="str">
        <f>IF($K655="","",IFERROR(VLOOKUP(--SUBSTITUTE(SUBSTITUTE(TRIM($K655),"-","")," ",""),마스터시트!$A$2:$H$1946,4,FALSE),""))</f>
        <v/>
      </c>
      <c r="P655" s="18" t="str">
        <f>IF($K655="","",IFERROR(VLOOKUP(--SUBSTITUTE(SUBSTITUTE(TRIM($K655),"-","")," ",""),마스터시트!$A$2:$H$1946,5,FALSE),""))</f>
        <v/>
      </c>
      <c r="Q655" s="18" t="str">
        <f>IF($K655="","",IFERROR(VLOOKUP(--SUBSTITUTE(SUBSTITUTE(TRIM($K655),"-","")," ",""),마스터시트!$A$2:$H$1946,6,FALSE),""))</f>
        <v/>
      </c>
      <c r="R655" s="18" t="str">
        <f>IF($K655="","",IFERROR(VLOOKUP(--SUBSTITUTE(SUBSTITUTE(TRIM($K655),"-","")," ",""),마스터시트!$A$2:$H$1946,7,FALSE),""))</f>
        <v/>
      </c>
    </row>
    <row r="656" spans="13:18" x14ac:dyDescent="0.3">
      <c r="M656" s="18" t="str">
        <f>IF($K656="","",IFERROR(VLOOKUP(--SUBSTITUTE(SUBSTITUTE(TRIM($K656),"-","")," ",""),마스터시트!$A$2:$H$1946,2,FALSE),"미등록"))</f>
        <v/>
      </c>
      <c r="N656" s="53" t="str">
        <f>IF($K656="","",IFERROR(VLOOKUP(--SUBSTITUTE(SUBSTITUTE(TRIM($K656),"-","")," ",""),마스터시트!$A$2:$H$1946,3,FALSE),"미등록"))</f>
        <v/>
      </c>
      <c r="O656" s="18" t="str">
        <f>IF($K656="","",IFERROR(VLOOKUP(--SUBSTITUTE(SUBSTITUTE(TRIM($K656),"-","")," ",""),마스터시트!$A$2:$H$1946,4,FALSE),""))</f>
        <v/>
      </c>
      <c r="P656" s="18" t="str">
        <f>IF($K656="","",IFERROR(VLOOKUP(--SUBSTITUTE(SUBSTITUTE(TRIM($K656),"-","")," ",""),마스터시트!$A$2:$H$1946,5,FALSE),""))</f>
        <v/>
      </c>
      <c r="Q656" s="18" t="str">
        <f>IF($K656="","",IFERROR(VLOOKUP(--SUBSTITUTE(SUBSTITUTE(TRIM($K656),"-","")," ",""),마스터시트!$A$2:$H$1946,6,FALSE),""))</f>
        <v/>
      </c>
      <c r="R656" s="18" t="str">
        <f>IF($K656="","",IFERROR(VLOOKUP(--SUBSTITUTE(SUBSTITUTE(TRIM($K656),"-","")," ",""),마스터시트!$A$2:$H$1946,7,FALSE),""))</f>
        <v/>
      </c>
    </row>
    <row r="657" spans="13:18" x14ac:dyDescent="0.3">
      <c r="M657" s="18" t="str">
        <f>IF($K657="","",IFERROR(VLOOKUP(--SUBSTITUTE(SUBSTITUTE(TRIM($K657),"-","")," ",""),마스터시트!$A$2:$H$1946,2,FALSE),"미등록"))</f>
        <v/>
      </c>
      <c r="N657" s="53" t="str">
        <f>IF($K657="","",IFERROR(VLOOKUP(--SUBSTITUTE(SUBSTITUTE(TRIM($K657),"-","")," ",""),마스터시트!$A$2:$H$1946,3,FALSE),"미등록"))</f>
        <v/>
      </c>
      <c r="O657" s="18" t="str">
        <f>IF($K657="","",IFERROR(VLOOKUP(--SUBSTITUTE(SUBSTITUTE(TRIM($K657),"-","")," ",""),마스터시트!$A$2:$H$1946,4,FALSE),""))</f>
        <v/>
      </c>
      <c r="P657" s="18" t="str">
        <f>IF($K657="","",IFERROR(VLOOKUP(--SUBSTITUTE(SUBSTITUTE(TRIM($K657),"-","")," ",""),마스터시트!$A$2:$H$1946,5,FALSE),""))</f>
        <v/>
      </c>
      <c r="Q657" s="18" t="str">
        <f>IF($K657="","",IFERROR(VLOOKUP(--SUBSTITUTE(SUBSTITUTE(TRIM($K657),"-","")," ",""),마스터시트!$A$2:$H$1946,6,FALSE),""))</f>
        <v/>
      </c>
      <c r="R657" s="18" t="str">
        <f>IF($K657="","",IFERROR(VLOOKUP(--SUBSTITUTE(SUBSTITUTE(TRIM($K657),"-","")," ",""),마스터시트!$A$2:$H$1946,7,FALSE),""))</f>
        <v/>
      </c>
    </row>
    <row r="658" spans="13:18" x14ac:dyDescent="0.3">
      <c r="M658" s="18" t="str">
        <f>IF($K658="","",IFERROR(VLOOKUP(--SUBSTITUTE(SUBSTITUTE(TRIM($K658),"-","")," ",""),마스터시트!$A$2:$H$1946,2,FALSE),"미등록"))</f>
        <v/>
      </c>
      <c r="N658" s="53" t="str">
        <f>IF($K658="","",IFERROR(VLOOKUP(--SUBSTITUTE(SUBSTITUTE(TRIM($K658),"-","")," ",""),마스터시트!$A$2:$H$1946,3,FALSE),"미등록"))</f>
        <v/>
      </c>
      <c r="O658" s="18" t="str">
        <f>IF($K658="","",IFERROR(VLOOKUP(--SUBSTITUTE(SUBSTITUTE(TRIM($K658),"-","")," ",""),마스터시트!$A$2:$H$1946,4,FALSE),""))</f>
        <v/>
      </c>
      <c r="P658" s="18" t="str">
        <f>IF($K658="","",IFERROR(VLOOKUP(--SUBSTITUTE(SUBSTITUTE(TRIM($K658),"-","")," ",""),마스터시트!$A$2:$H$1946,5,FALSE),""))</f>
        <v/>
      </c>
      <c r="Q658" s="18" t="str">
        <f>IF($K658="","",IFERROR(VLOOKUP(--SUBSTITUTE(SUBSTITUTE(TRIM($K658),"-","")," ",""),마스터시트!$A$2:$H$1946,6,FALSE),""))</f>
        <v/>
      </c>
      <c r="R658" s="18" t="str">
        <f>IF($K658="","",IFERROR(VLOOKUP(--SUBSTITUTE(SUBSTITUTE(TRIM($K658),"-","")," ",""),마스터시트!$A$2:$H$1946,7,FALSE),""))</f>
        <v/>
      </c>
    </row>
    <row r="659" spans="13:18" x14ac:dyDescent="0.3">
      <c r="M659" s="18" t="str">
        <f>IF($K659="","",IFERROR(VLOOKUP(--SUBSTITUTE(SUBSTITUTE(TRIM($K659),"-","")," ",""),마스터시트!$A$2:$H$1946,2,FALSE),"미등록"))</f>
        <v/>
      </c>
      <c r="N659" s="53" t="str">
        <f>IF($K659="","",IFERROR(VLOOKUP(--SUBSTITUTE(SUBSTITUTE(TRIM($K659),"-","")," ",""),마스터시트!$A$2:$H$1946,3,FALSE),"미등록"))</f>
        <v/>
      </c>
      <c r="O659" s="18" t="str">
        <f>IF($K659="","",IFERROR(VLOOKUP(--SUBSTITUTE(SUBSTITUTE(TRIM($K659),"-","")," ",""),마스터시트!$A$2:$H$1946,4,FALSE),""))</f>
        <v/>
      </c>
      <c r="P659" s="18" t="str">
        <f>IF($K659="","",IFERROR(VLOOKUP(--SUBSTITUTE(SUBSTITUTE(TRIM($K659),"-","")," ",""),마스터시트!$A$2:$H$1946,5,FALSE),""))</f>
        <v/>
      </c>
      <c r="Q659" s="18" t="str">
        <f>IF($K659="","",IFERROR(VLOOKUP(--SUBSTITUTE(SUBSTITUTE(TRIM($K659),"-","")," ",""),마스터시트!$A$2:$H$1946,6,FALSE),""))</f>
        <v/>
      </c>
      <c r="R659" s="18" t="str">
        <f>IF($K659="","",IFERROR(VLOOKUP(--SUBSTITUTE(SUBSTITUTE(TRIM($K659),"-","")," ",""),마스터시트!$A$2:$H$1946,7,FALSE),""))</f>
        <v/>
      </c>
    </row>
    <row r="660" spans="13:18" x14ac:dyDescent="0.3">
      <c r="M660" s="18" t="str">
        <f>IF($K660="","",IFERROR(VLOOKUP(--SUBSTITUTE(SUBSTITUTE(TRIM($K660),"-","")," ",""),마스터시트!$A$2:$H$1946,2,FALSE),"미등록"))</f>
        <v/>
      </c>
      <c r="N660" s="53" t="str">
        <f>IF($K660="","",IFERROR(VLOOKUP(--SUBSTITUTE(SUBSTITUTE(TRIM($K660),"-","")," ",""),마스터시트!$A$2:$H$1946,3,FALSE),"미등록"))</f>
        <v/>
      </c>
      <c r="O660" s="18" t="str">
        <f>IF($K660="","",IFERROR(VLOOKUP(--SUBSTITUTE(SUBSTITUTE(TRIM($K660),"-","")," ",""),마스터시트!$A$2:$H$1946,4,FALSE),""))</f>
        <v/>
      </c>
      <c r="P660" s="18" t="str">
        <f>IF($K660="","",IFERROR(VLOOKUP(--SUBSTITUTE(SUBSTITUTE(TRIM($K660),"-","")," ",""),마스터시트!$A$2:$H$1946,5,FALSE),""))</f>
        <v/>
      </c>
      <c r="Q660" s="18" t="str">
        <f>IF($K660="","",IFERROR(VLOOKUP(--SUBSTITUTE(SUBSTITUTE(TRIM($K660),"-","")," ",""),마스터시트!$A$2:$H$1946,6,FALSE),""))</f>
        <v/>
      </c>
      <c r="R660" s="18" t="str">
        <f>IF($K660="","",IFERROR(VLOOKUP(--SUBSTITUTE(SUBSTITUTE(TRIM($K660),"-","")," ",""),마스터시트!$A$2:$H$1946,7,FALSE),""))</f>
        <v/>
      </c>
    </row>
    <row r="661" spans="13:18" x14ac:dyDescent="0.3">
      <c r="M661" s="18" t="str">
        <f>IF($K661="","",IFERROR(VLOOKUP(--SUBSTITUTE(SUBSTITUTE(TRIM($K661),"-","")," ",""),마스터시트!$A$2:$H$1946,2,FALSE),"미등록"))</f>
        <v/>
      </c>
      <c r="N661" s="53" t="str">
        <f>IF($K661="","",IFERROR(VLOOKUP(--SUBSTITUTE(SUBSTITUTE(TRIM($K661),"-","")," ",""),마스터시트!$A$2:$H$1946,3,FALSE),"미등록"))</f>
        <v/>
      </c>
      <c r="O661" s="18" t="str">
        <f>IF($K661="","",IFERROR(VLOOKUP(--SUBSTITUTE(SUBSTITUTE(TRIM($K661),"-","")," ",""),마스터시트!$A$2:$H$1946,4,FALSE),""))</f>
        <v/>
      </c>
      <c r="P661" s="18" t="str">
        <f>IF($K661="","",IFERROR(VLOOKUP(--SUBSTITUTE(SUBSTITUTE(TRIM($K661),"-","")," ",""),마스터시트!$A$2:$H$1946,5,FALSE),""))</f>
        <v/>
      </c>
      <c r="Q661" s="18" t="str">
        <f>IF($K661="","",IFERROR(VLOOKUP(--SUBSTITUTE(SUBSTITUTE(TRIM($K661),"-","")," ",""),마스터시트!$A$2:$H$1946,6,FALSE),""))</f>
        <v/>
      </c>
      <c r="R661" s="18" t="str">
        <f>IF($K661="","",IFERROR(VLOOKUP(--SUBSTITUTE(SUBSTITUTE(TRIM($K661),"-","")," ",""),마스터시트!$A$2:$H$1946,7,FALSE),""))</f>
        <v/>
      </c>
    </row>
    <row r="662" spans="13:18" x14ac:dyDescent="0.3">
      <c r="M662" s="18" t="str">
        <f>IF($K662="","",IFERROR(VLOOKUP(--SUBSTITUTE(SUBSTITUTE(TRIM($K662),"-","")," ",""),마스터시트!$A$2:$H$1946,2,FALSE),"미등록"))</f>
        <v/>
      </c>
      <c r="N662" s="53" t="str">
        <f>IF($K662="","",IFERROR(VLOOKUP(--SUBSTITUTE(SUBSTITUTE(TRIM($K662),"-","")," ",""),마스터시트!$A$2:$H$1946,3,FALSE),"미등록"))</f>
        <v/>
      </c>
      <c r="O662" s="18" t="str">
        <f>IF($K662="","",IFERROR(VLOOKUP(--SUBSTITUTE(SUBSTITUTE(TRIM($K662),"-","")," ",""),마스터시트!$A$2:$H$1946,4,FALSE),""))</f>
        <v/>
      </c>
      <c r="P662" s="18" t="str">
        <f>IF($K662="","",IFERROR(VLOOKUP(--SUBSTITUTE(SUBSTITUTE(TRIM($K662),"-","")," ",""),마스터시트!$A$2:$H$1946,5,FALSE),""))</f>
        <v/>
      </c>
      <c r="Q662" s="18" t="str">
        <f>IF($K662="","",IFERROR(VLOOKUP(--SUBSTITUTE(SUBSTITUTE(TRIM($K662),"-","")," ",""),마스터시트!$A$2:$H$1946,6,FALSE),""))</f>
        <v/>
      </c>
      <c r="R662" s="18" t="str">
        <f>IF($K662="","",IFERROR(VLOOKUP(--SUBSTITUTE(SUBSTITUTE(TRIM($K662),"-","")," ",""),마스터시트!$A$2:$H$1946,7,FALSE),""))</f>
        <v/>
      </c>
    </row>
    <row r="663" spans="13:18" x14ac:dyDescent="0.3">
      <c r="M663" s="18" t="str">
        <f>IF($K663="","",IFERROR(VLOOKUP(--SUBSTITUTE(SUBSTITUTE(TRIM($K663),"-","")," ",""),마스터시트!$A$2:$H$1946,2,FALSE),"미등록"))</f>
        <v/>
      </c>
      <c r="N663" s="53" t="str">
        <f>IF($K663="","",IFERROR(VLOOKUP(--SUBSTITUTE(SUBSTITUTE(TRIM($K663),"-","")," ",""),마스터시트!$A$2:$H$1946,3,FALSE),"미등록"))</f>
        <v/>
      </c>
      <c r="O663" s="18" t="str">
        <f>IF($K663="","",IFERROR(VLOOKUP(--SUBSTITUTE(SUBSTITUTE(TRIM($K663),"-","")," ",""),마스터시트!$A$2:$H$1946,4,FALSE),""))</f>
        <v/>
      </c>
      <c r="P663" s="18" t="str">
        <f>IF($K663="","",IFERROR(VLOOKUP(--SUBSTITUTE(SUBSTITUTE(TRIM($K663),"-","")," ",""),마스터시트!$A$2:$H$1946,5,FALSE),""))</f>
        <v/>
      </c>
      <c r="Q663" s="18" t="str">
        <f>IF($K663="","",IFERROR(VLOOKUP(--SUBSTITUTE(SUBSTITUTE(TRIM($K663),"-","")," ",""),마스터시트!$A$2:$H$1946,6,FALSE),""))</f>
        <v/>
      </c>
      <c r="R663" s="18" t="str">
        <f>IF($K663="","",IFERROR(VLOOKUP(--SUBSTITUTE(SUBSTITUTE(TRIM($K663),"-","")," ",""),마스터시트!$A$2:$H$1946,7,FALSE),""))</f>
        <v/>
      </c>
    </row>
    <row r="664" spans="13:18" x14ac:dyDescent="0.3">
      <c r="M664" s="18" t="str">
        <f>IF($K664="","",IFERROR(VLOOKUP(--SUBSTITUTE(SUBSTITUTE(TRIM($K664),"-","")," ",""),마스터시트!$A$2:$H$1946,2,FALSE),"미등록"))</f>
        <v/>
      </c>
      <c r="N664" s="53" t="str">
        <f>IF($K664="","",IFERROR(VLOOKUP(--SUBSTITUTE(SUBSTITUTE(TRIM($K664),"-","")," ",""),마스터시트!$A$2:$H$1946,3,FALSE),"미등록"))</f>
        <v/>
      </c>
      <c r="O664" s="18" t="str">
        <f>IF($K664="","",IFERROR(VLOOKUP(--SUBSTITUTE(SUBSTITUTE(TRIM($K664),"-","")," ",""),마스터시트!$A$2:$H$1946,4,FALSE),""))</f>
        <v/>
      </c>
      <c r="P664" s="18" t="str">
        <f>IF($K664="","",IFERROR(VLOOKUP(--SUBSTITUTE(SUBSTITUTE(TRIM($K664),"-","")," ",""),마스터시트!$A$2:$H$1946,5,FALSE),""))</f>
        <v/>
      </c>
      <c r="Q664" s="18" t="str">
        <f>IF($K664="","",IFERROR(VLOOKUP(--SUBSTITUTE(SUBSTITUTE(TRIM($K664),"-","")," ",""),마스터시트!$A$2:$H$1946,6,FALSE),""))</f>
        <v/>
      </c>
      <c r="R664" s="18" t="str">
        <f>IF($K664="","",IFERROR(VLOOKUP(--SUBSTITUTE(SUBSTITUTE(TRIM($K664),"-","")," ",""),마스터시트!$A$2:$H$1946,7,FALSE),""))</f>
        <v/>
      </c>
    </row>
    <row r="665" spans="13:18" x14ac:dyDescent="0.3">
      <c r="M665" s="18" t="str">
        <f>IF($K665="","",IFERROR(VLOOKUP(--SUBSTITUTE(SUBSTITUTE(TRIM($K665),"-","")," ",""),마스터시트!$A$2:$H$1946,2,FALSE),"미등록"))</f>
        <v/>
      </c>
      <c r="N665" s="53" t="str">
        <f>IF($K665="","",IFERROR(VLOOKUP(--SUBSTITUTE(SUBSTITUTE(TRIM($K665),"-","")," ",""),마스터시트!$A$2:$H$1946,3,FALSE),"미등록"))</f>
        <v/>
      </c>
      <c r="O665" s="18" t="str">
        <f>IF($K665="","",IFERROR(VLOOKUP(--SUBSTITUTE(SUBSTITUTE(TRIM($K665),"-","")," ",""),마스터시트!$A$2:$H$1946,4,FALSE),""))</f>
        <v/>
      </c>
      <c r="P665" s="18" t="str">
        <f>IF($K665="","",IFERROR(VLOOKUP(--SUBSTITUTE(SUBSTITUTE(TRIM($K665),"-","")," ",""),마스터시트!$A$2:$H$1946,5,FALSE),""))</f>
        <v/>
      </c>
      <c r="Q665" s="18" t="str">
        <f>IF($K665="","",IFERROR(VLOOKUP(--SUBSTITUTE(SUBSTITUTE(TRIM($K665),"-","")," ",""),마스터시트!$A$2:$H$1946,6,FALSE),""))</f>
        <v/>
      </c>
      <c r="R665" s="18" t="str">
        <f>IF($K665="","",IFERROR(VLOOKUP(--SUBSTITUTE(SUBSTITUTE(TRIM($K665),"-","")," ",""),마스터시트!$A$2:$H$1946,7,FALSE),""))</f>
        <v/>
      </c>
    </row>
    <row r="666" spans="13:18" x14ac:dyDescent="0.3">
      <c r="M666" s="18" t="str">
        <f>IF($K666="","",IFERROR(VLOOKUP(--SUBSTITUTE(SUBSTITUTE(TRIM($K666),"-","")," ",""),마스터시트!$A$2:$H$1946,2,FALSE),"미등록"))</f>
        <v/>
      </c>
      <c r="N666" s="53" t="str">
        <f>IF($K666="","",IFERROR(VLOOKUP(--SUBSTITUTE(SUBSTITUTE(TRIM($K666),"-","")," ",""),마스터시트!$A$2:$H$1946,3,FALSE),"미등록"))</f>
        <v/>
      </c>
      <c r="O666" s="18" t="str">
        <f>IF($K666="","",IFERROR(VLOOKUP(--SUBSTITUTE(SUBSTITUTE(TRIM($K666),"-","")," ",""),마스터시트!$A$2:$H$1946,4,FALSE),""))</f>
        <v/>
      </c>
      <c r="P666" s="18" t="str">
        <f>IF($K666="","",IFERROR(VLOOKUP(--SUBSTITUTE(SUBSTITUTE(TRIM($K666),"-","")," ",""),마스터시트!$A$2:$H$1946,5,FALSE),""))</f>
        <v/>
      </c>
      <c r="Q666" s="18" t="str">
        <f>IF($K666="","",IFERROR(VLOOKUP(--SUBSTITUTE(SUBSTITUTE(TRIM($K666),"-","")," ",""),마스터시트!$A$2:$H$1946,6,FALSE),""))</f>
        <v/>
      </c>
      <c r="R666" s="18" t="str">
        <f>IF($K666="","",IFERROR(VLOOKUP(--SUBSTITUTE(SUBSTITUTE(TRIM($K666),"-","")," ",""),마스터시트!$A$2:$H$1946,7,FALSE),""))</f>
        <v/>
      </c>
    </row>
    <row r="667" spans="13:18" x14ac:dyDescent="0.3">
      <c r="M667" s="18" t="str">
        <f>IF($K667="","",IFERROR(VLOOKUP(--SUBSTITUTE(SUBSTITUTE(TRIM($K667),"-","")," ",""),마스터시트!$A$2:$H$1946,2,FALSE),"미등록"))</f>
        <v/>
      </c>
      <c r="N667" s="53" t="str">
        <f>IF($K667="","",IFERROR(VLOOKUP(--SUBSTITUTE(SUBSTITUTE(TRIM($K667),"-","")," ",""),마스터시트!$A$2:$H$1946,3,FALSE),"미등록"))</f>
        <v/>
      </c>
      <c r="O667" s="18" t="str">
        <f>IF($K667="","",IFERROR(VLOOKUP(--SUBSTITUTE(SUBSTITUTE(TRIM($K667),"-","")," ",""),마스터시트!$A$2:$H$1946,4,FALSE),""))</f>
        <v/>
      </c>
      <c r="P667" s="18" t="str">
        <f>IF($K667="","",IFERROR(VLOOKUP(--SUBSTITUTE(SUBSTITUTE(TRIM($K667),"-","")," ",""),마스터시트!$A$2:$H$1946,5,FALSE),""))</f>
        <v/>
      </c>
      <c r="Q667" s="18" t="str">
        <f>IF($K667="","",IFERROR(VLOOKUP(--SUBSTITUTE(SUBSTITUTE(TRIM($K667),"-","")," ",""),마스터시트!$A$2:$H$1946,6,FALSE),""))</f>
        <v/>
      </c>
      <c r="R667" s="18" t="str">
        <f>IF($K667="","",IFERROR(VLOOKUP(--SUBSTITUTE(SUBSTITUTE(TRIM($K667),"-","")," ",""),마스터시트!$A$2:$H$1946,7,FALSE),""))</f>
        <v/>
      </c>
    </row>
    <row r="668" spans="13:18" x14ac:dyDescent="0.3">
      <c r="M668" s="18" t="str">
        <f>IF($K668="","",IFERROR(VLOOKUP(--SUBSTITUTE(SUBSTITUTE(TRIM($K668),"-","")," ",""),마스터시트!$A$2:$H$1946,2,FALSE),"미등록"))</f>
        <v/>
      </c>
      <c r="N668" s="53" t="str">
        <f>IF($K668="","",IFERROR(VLOOKUP(--SUBSTITUTE(SUBSTITUTE(TRIM($K668),"-","")," ",""),마스터시트!$A$2:$H$1946,3,FALSE),"미등록"))</f>
        <v/>
      </c>
      <c r="O668" s="18" t="str">
        <f>IF($K668="","",IFERROR(VLOOKUP(--SUBSTITUTE(SUBSTITUTE(TRIM($K668),"-","")," ",""),마스터시트!$A$2:$H$1946,4,FALSE),""))</f>
        <v/>
      </c>
      <c r="P668" s="18" t="str">
        <f>IF($K668="","",IFERROR(VLOOKUP(--SUBSTITUTE(SUBSTITUTE(TRIM($K668),"-","")," ",""),마스터시트!$A$2:$H$1946,5,FALSE),""))</f>
        <v/>
      </c>
      <c r="Q668" s="18" t="str">
        <f>IF($K668="","",IFERROR(VLOOKUP(--SUBSTITUTE(SUBSTITUTE(TRIM($K668),"-","")," ",""),마스터시트!$A$2:$H$1946,6,FALSE),""))</f>
        <v/>
      </c>
      <c r="R668" s="18" t="str">
        <f>IF($K668="","",IFERROR(VLOOKUP(--SUBSTITUTE(SUBSTITUTE(TRIM($K668),"-","")," ",""),마스터시트!$A$2:$H$1946,7,FALSE),""))</f>
        <v/>
      </c>
    </row>
    <row r="669" spans="13:18" x14ac:dyDescent="0.3">
      <c r="M669" s="18" t="str">
        <f>IF($K669="","",IFERROR(VLOOKUP(--SUBSTITUTE(SUBSTITUTE(TRIM($K669),"-","")," ",""),마스터시트!$A$2:$H$1946,2,FALSE),"미등록"))</f>
        <v/>
      </c>
      <c r="N669" s="53" t="str">
        <f>IF($K669="","",IFERROR(VLOOKUP(--SUBSTITUTE(SUBSTITUTE(TRIM($K669),"-","")," ",""),마스터시트!$A$2:$H$1946,3,FALSE),"미등록"))</f>
        <v/>
      </c>
      <c r="O669" s="18" t="str">
        <f>IF($K669="","",IFERROR(VLOOKUP(--SUBSTITUTE(SUBSTITUTE(TRIM($K669),"-","")," ",""),마스터시트!$A$2:$H$1946,4,FALSE),""))</f>
        <v/>
      </c>
      <c r="P669" s="18" t="str">
        <f>IF($K669="","",IFERROR(VLOOKUP(--SUBSTITUTE(SUBSTITUTE(TRIM($K669),"-","")," ",""),마스터시트!$A$2:$H$1946,5,FALSE),""))</f>
        <v/>
      </c>
      <c r="Q669" s="18" t="str">
        <f>IF($K669="","",IFERROR(VLOOKUP(--SUBSTITUTE(SUBSTITUTE(TRIM($K669),"-","")," ",""),마스터시트!$A$2:$H$1946,6,FALSE),""))</f>
        <v/>
      </c>
      <c r="R669" s="18" t="str">
        <f>IF($K669="","",IFERROR(VLOOKUP(--SUBSTITUTE(SUBSTITUTE(TRIM($K669),"-","")," ",""),마스터시트!$A$2:$H$1946,7,FALSE),""))</f>
        <v/>
      </c>
    </row>
    <row r="670" spans="13:18" x14ac:dyDescent="0.3">
      <c r="M670" s="18" t="str">
        <f>IF($K670="","",IFERROR(VLOOKUP(--SUBSTITUTE(SUBSTITUTE(TRIM($K670),"-","")," ",""),마스터시트!$A$2:$H$1946,2,FALSE),"미등록"))</f>
        <v/>
      </c>
      <c r="N670" s="53" t="str">
        <f>IF($K670="","",IFERROR(VLOOKUP(--SUBSTITUTE(SUBSTITUTE(TRIM($K670),"-","")," ",""),마스터시트!$A$2:$H$1946,3,FALSE),"미등록"))</f>
        <v/>
      </c>
      <c r="O670" s="18" t="str">
        <f>IF($K670="","",IFERROR(VLOOKUP(--SUBSTITUTE(SUBSTITUTE(TRIM($K670),"-","")," ",""),마스터시트!$A$2:$H$1946,4,FALSE),""))</f>
        <v/>
      </c>
      <c r="P670" s="18" t="str">
        <f>IF($K670="","",IFERROR(VLOOKUP(--SUBSTITUTE(SUBSTITUTE(TRIM($K670),"-","")," ",""),마스터시트!$A$2:$H$1946,5,FALSE),""))</f>
        <v/>
      </c>
      <c r="Q670" s="18" t="str">
        <f>IF($K670="","",IFERROR(VLOOKUP(--SUBSTITUTE(SUBSTITUTE(TRIM($K670),"-","")," ",""),마스터시트!$A$2:$H$1946,6,FALSE),""))</f>
        <v/>
      </c>
      <c r="R670" s="18" t="str">
        <f>IF($K670="","",IFERROR(VLOOKUP(--SUBSTITUTE(SUBSTITUTE(TRIM($K670),"-","")," ",""),마스터시트!$A$2:$H$1946,7,FALSE),""))</f>
        <v/>
      </c>
    </row>
    <row r="671" spans="13:18" x14ac:dyDescent="0.3">
      <c r="M671" s="18" t="str">
        <f>IF($K671="","",IFERROR(VLOOKUP(--SUBSTITUTE(SUBSTITUTE(TRIM($K671),"-","")," ",""),마스터시트!$A$2:$H$1946,2,FALSE),"미등록"))</f>
        <v/>
      </c>
      <c r="N671" s="53" t="str">
        <f>IF($K671="","",IFERROR(VLOOKUP(--SUBSTITUTE(SUBSTITUTE(TRIM($K671),"-","")," ",""),마스터시트!$A$2:$H$1946,3,FALSE),"미등록"))</f>
        <v/>
      </c>
      <c r="O671" s="18" t="str">
        <f>IF($K671="","",IFERROR(VLOOKUP(--SUBSTITUTE(SUBSTITUTE(TRIM($K671),"-","")," ",""),마스터시트!$A$2:$H$1946,4,FALSE),""))</f>
        <v/>
      </c>
      <c r="P671" s="18" t="str">
        <f>IF($K671="","",IFERROR(VLOOKUP(--SUBSTITUTE(SUBSTITUTE(TRIM($K671),"-","")," ",""),마스터시트!$A$2:$H$1946,5,FALSE),""))</f>
        <v/>
      </c>
      <c r="Q671" s="18" t="str">
        <f>IF($K671="","",IFERROR(VLOOKUP(--SUBSTITUTE(SUBSTITUTE(TRIM($K671),"-","")," ",""),마스터시트!$A$2:$H$1946,6,FALSE),""))</f>
        <v/>
      </c>
      <c r="R671" s="18" t="str">
        <f>IF($K671="","",IFERROR(VLOOKUP(--SUBSTITUTE(SUBSTITUTE(TRIM($K671),"-","")," ",""),마스터시트!$A$2:$H$1946,7,FALSE),""))</f>
        <v/>
      </c>
    </row>
    <row r="672" spans="13:18" x14ac:dyDescent="0.3">
      <c r="M672" s="18" t="str">
        <f>IF($K672="","",IFERROR(VLOOKUP(--SUBSTITUTE(SUBSTITUTE(TRIM($K672),"-","")," ",""),마스터시트!$A$2:$H$1946,2,FALSE),"미등록"))</f>
        <v/>
      </c>
      <c r="N672" s="53" t="str">
        <f>IF($K672="","",IFERROR(VLOOKUP(--SUBSTITUTE(SUBSTITUTE(TRIM($K672),"-","")," ",""),마스터시트!$A$2:$H$1946,3,FALSE),"미등록"))</f>
        <v/>
      </c>
      <c r="O672" s="18" t="str">
        <f>IF($K672="","",IFERROR(VLOOKUP(--SUBSTITUTE(SUBSTITUTE(TRIM($K672),"-","")," ",""),마스터시트!$A$2:$H$1946,4,FALSE),""))</f>
        <v/>
      </c>
      <c r="P672" s="18" t="str">
        <f>IF($K672="","",IFERROR(VLOOKUP(--SUBSTITUTE(SUBSTITUTE(TRIM($K672),"-","")," ",""),마스터시트!$A$2:$H$1946,5,FALSE),""))</f>
        <v/>
      </c>
      <c r="Q672" s="18" t="str">
        <f>IF($K672="","",IFERROR(VLOOKUP(--SUBSTITUTE(SUBSTITUTE(TRIM($K672),"-","")," ",""),마스터시트!$A$2:$H$1946,6,FALSE),""))</f>
        <v/>
      </c>
      <c r="R672" s="18" t="str">
        <f>IF($K672="","",IFERROR(VLOOKUP(--SUBSTITUTE(SUBSTITUTE(TRIM($K672),"-","")," ",""),마스터시트!$A$2:$H$1946,7,FALSE),""))</f>
        <v/>
      </c>
    </row>
    <row r="673" spans="13:18" x14ac:dyDescent="0.3">
      <c r="M673" s="18" t="str">
        <f>IF($K673="","",IFERROR(VLOOKUP(--SUBSTITUTE(SUBSTITUTE(TRIM($K673),"-","")," ",""),마스터시트!$A$2:$H$1946,2,FALSE),"미등록"))</f>
        <v/>
      </c>
      <c r="N673" s="53" t="str">
        <f>IF($K673="","",IFERROR(VLOOKUP(--SUBSTITUTE(SUBSTITUTE(TRIM($K673),"-","")," ",""),마스터시트!$A$2:$H$1946,3,FALSE),"미등록"))</f>
        <v/>
      </c>
      <c r="O673" s="18" t="str">
        <f>IF($K673="","",IFERROR(VLOOKUP(--SUBSTITUTE(SUBSTITUTE(TRIM($K673),"-","")," ",""),마스터시트!$A$2:$H$1946,4,FALSE),""))</f>
        <v/>
      </c>
      <c r="P673" s="18" t="str">
        <f>IF($K673="","",IFERROR(VLOOKUP(--SUBSTITUTE(SUBSTITUTE(TRIM($K673),"-","")," ",""),마스터시트!$A$2:$H$1946,5,FALSE),""))</f>
        <v/>
      </c>
      <c r="Q673" s="18" t="str">
        <f>IF($K673="","",IFERROR(VLOOKUP(--SUBSTITUTE(SUBSTITUTE(TRIM($K673),"-","")," ",""),마스터시트!$A$2:$H$1946,6,FALSE),""))</f>
        <v/>
      </c>
      <c r="R673" s="18" t="str">
        <f>IF($K673="","",IFERROR(VLOOKUP(--SUBSTITUTE(SUBSTITUTE(TRIM($K673),"-","")," ",""),마스터시트!$A$2:$H$1946,7,FALSE),""))</f>
        <v/>
      </c>
    </row>
    <row r="674" spans="13:18" x14ac:dyDescent="0.3">
      <c r="M674" s="18" t="str">
        <f>IF($K674="","",IFERROR(VLOOKUP(--SUBSTITUTE(SUBSTITUTE(TRIM($K674),"-","")," ",""),마스터시트!$A$2:$H$1946,2,FALSE),"미등록"))</f>
        <v/>
      </c>
      <c r="N674" s="53" t="str">
        <f>IF($K674="","",IFERROR(VLOOKUP(--SUBSTITUTE(SUBSTITUTE(TRIM($K674),"-","")," ",""),마스터시트!$A$2:$H$1946,3,FALSE),"미등록"))</f>
        <v/>
      </c>
      <c r="O674" s="18" t="str">
        <f>IF($K674="","",IFERROR(VLOOKUP(--SUBSTITUTE(SUBSTITUTE(TRIM($K674),"-","")," ",""),마스터시트!$A$2:$H$1946,4,FALSE),""))</f>
        <v/>
      </c>
      <c r="P674" s="18" t="str">
        <f>IF($K674="","",IFERROR(VLOOKUP(--SUBSTITUTE(SUBSTITUTE(TRIM($K674),"-","")," ",""),마스터시트!$A$2:$H$1946,5,FALSE),""))</f>
        <v/>
      </c>
      <c r="Q674" s="18" t="str">
        <f>IF($K674="","",IFERROR(VLOOKUP(--SUBSTITUTE(SUBSTITUTE(TRIM($K674),"-","")," ",""),마스터시트!$A$2:$H$1946,6,FALSE),""))</f>
        <v/>
      </c>
      <c r="R674" s="18" t="str">
        <f>IF($K674="","",IFERROR(VLOOKUP(--SUBSTITUTE(SUBSTITUTE(TRIM($K674),"-","")," ",""),마스터시트!$A$2:$H$1946,7,FALSE),""))</f>
        <v/>
      </c>
    </row>
    <row r="675" spans="13:18" x14ac:dyDescent="0.3">
      <c r="M675" s="18" t="str">
        <f>IF($K675="","",IFERROR(VLOOKUP(--SUBSTITUTE(SUBSTITUTE(TRIM($K675),"-","")," ",""),마스터시트!$A$2:$H$1946,2,FALSE),"미등록"))</f>
        <v/>
      </c>
      <c r="N675" s="53" t="str">
        <f>IF($K675="","",IFERROR(VLOOKUP(--SUBSTITUTE(SUBSTITUTE(TRIM($K675),"-","")," ",""),마스터시트!$A$2:$H$1946,3,FALSE),"미등록"))</f>
        <v/>
      </c>
      <c r="O675" s="18" t="str">
        <f>IF($K675="","",IFERROR(VLOOKUP(--SUBSTITUTE(SUBSTITUTE(TRIM($K675),"-","")," ",""),마스터시트!$A$2:$H$1946,4,FALSE),""))</f>
        <v/>
      </c>
      <c r="P675" s="18" t="str">
        <f>IF($K675="","",IFERROR(VLOOKUP(--SUBSTITUTE(SUBSTITUTE(TRIM($K675),"-","")," ",""),마스터시트!$A$2:$H$1946,5,FALSE),""))</f>
        <v/>
      </c>
      <c r="Q675" s="18" t="str">
        <f>IF($K675="","",IFERROR(VLOOKUP(--SUBSTITUTE(SUBSTITUTE(TRIM($K675),"-","")," ",""),마스터시트!$A$2:$H$1946,6,FALSE),""))</f>
        <v/>
      </c>
      <c r="R675" s="18" t="str">
        <f>IF($K675="","",IFERROR(VLOOKUP(--SUBSTITUTE(SUBSTITUTE(TRIM($K675),"-","")," ",""),마스터시트!$A$2:$H$1946,7,FALSE),""))</f>
        <v/>
      </c>
    </row>
    <row r="676" spans="13:18" x14ac:dyDescent="0.3">
      <c r="M676" s="18" t="str">
        <f>IF($K676="","",IFERROR(VLOOKUP(--SUBSTITUTE(SUBSTITUTE(TRIM($K676),"-","")," ",""),마스터시트!$A$2:$H$1946,2,FALSE),"미등록"))</f>
        <v/>
      </c>
      <c r="N676" s="53" t="str">
        <f>IF($K676="","",IFERROR(VLOOKUP(--SUBSTITUTE(SUBSTITUTE(TRIM($K676),"-","")," ",""),마스터시트!$A$2:$H$1946,3,FALSE),"미등록"))</f>
        <v/>
      </c>
      <c r="O676" s="18" t="str">
        <f>IF($K676="","",IFERROR(VLOOKUP(--SUBSTITUTE(SUBSTITUTE(TRIM($K676),"-","")," ",""),마스터시트!$A$2:$H$1946,4,FALSE),""))</f>
        <v/>
      </c>
      <c r="P676" s="18" t="str">
        <f>IF($K676="","",IFERROR(VLOOKUP(--SUBSTITUTE(SUBSTITUTE(TRIM($K676),"-","")," ",""),마스터시트!$A$2:$H$1946,5,FALSE),""))</f>
        <v/>
      </c>
      <c r="Q676" s="18" t="str">
        <f>IF($K676="","",IFERROR(VLOOKUP(--SUBSTITUTE(SUBSTITUTE(TRIM($K676),"-","")," ",""),마스터시트!$A$2:$H$1946,6,FALSE),""))</f>
        <v/>
      </c>
      <c r="R676" s="18" t="str">
        <f>IF($K676="","",IFERROR(VLOOKUP(--SUBSTITUTE(SUBSTITUTE(TRIM($K676),"-","")," ",""),마스터시트!$A$2:$H$1946,7,FALSE),""))</f>
        <v/>
      </c>
    </row>
    <row r="677" spans="13:18" x14ac:dyDescent="0.3">
      <c r="M677" s="18" t="str">
        <f>IF($K677="","",IFERROR(VLOOKUP(--SUBSTITUTE(SUBSTITUTE(TRIM($K677),"-","")," ",""),마스터시트!$A$2:$H$1946,2,FALSE),"미등록"))</f>
        <v/>
      </c>
      <c r="N677" s="53" t="str">
        <f>IF($K677="","",IFERROR(VLOOKUP(--SUBSTITUTE(SUBSTITUTE(TRIM($K677),"-","")," ",""),마스터시트!$A$2:$H$1946,3,FALSE),"미등록"))</f>
        <v/>
      </c>
      <c r="O677" s="18" t="str">
        <f>IF($K677="","",IFERROR(VLOOKUP(--SUBSTITUTE(SUBSTITUTE(TRIM($K677),"-","")," ",""),마스터시트!$A$2:$H$1946,4,FALSE),""))</f>
        <v/>
      </c>
      <c r="P677" s="18" t="str">
        <f>IF($K677="","",IFERROR(VLOOKUP(--SUBSTITUTE(SUBSTITUTE(TRIM($K677),"-","")," ",""),마스터시트!$A$2:$H$1946,5,FALSE),""))</f>
        <v/>
      </c>
      <c r="Q677" s="18" t="str">
        <f>IF($K677="","",IFERROR(VLOOKUP(--SUBSTITUTE(SUBSTITUTE(TRIM($K677),"-","")," ",""),마스터시트!$A$2:$H$1946,6,FALSE),""))</f>
        <v/>
      </c>
      <c r="R677" s="18" t="str">
        <f>IF($K677="","",IFERROR(VLOOKUP(--SUBSTITUTE(SUBSTITUTE(TRIM($K677),"-","")," ",""),마스터시트!$A$2:$H$1946,7,FALSE),""))</f>
        <v/>
      </c>
    </row>
    <row r="678" spans="13:18" x14ac:dyDescent="0.3">
      <c r="M678" s="18" t="str">
        <f>IF($K678="","",IFERROR(VLOOKUP(--SUBSTITUTE(SUBSTITUTE(TRIM($K678),"-","")," ",""),마스터시트!$A$2:$H$1946,2,FALSE),"미등록"))</f>
        <v/>
      </c>
      <c r="N678" s="53" t="str">
        <f>IF($K678="","",IFERROR(VLOOKUP(--SUBSTITUTE(SUBSTITUTE(TRIM($K678),"-","")," ",""),마스터시트!$A$2:$H$1946,3,FALSE),"미등록"))</f>
        <v/>
      </c>
      <c r="O678" s="18" t="str">
        <f>IF($K678="","",IFERROR(VLOOKUP(--SUBSTITUTE(SUBSTITUTE(TRIM($K678),"-","")," ",""),마스터시트!$A$2:$H$1946,4,FALSE),""))</f>
        <v/>
      </c>
      <c r="P678" s="18" t="str">
        <f>IF($K678="","",IFERROR(VLOOKUP(--SUBSTITUTE(SUBSTITUTE(TRIM($K678),"-","")," ",""),마스터시트!$A$2:$H$1946,5,FALSE),""))</f>
        <v/>
      </c>
      <c r="Q678" s="18" t="str">
        <f>IF($K678="","",IFERROR(VLOOKUP(--SUBSTITUTE(SUBSTITUTE(TRIM($K678),"-","")," ",""),마스터시트!$A$2:$H$1946,6,FALSE),""))</f>
        <v/>
      </c>
      <c r="R678" s="18" t="str">
        <f>IF($K678="","",IFERROR(VLOOKUP(--SUBSTITUTE(SUBSTITUTE(TRIM($K678),"-","")," ",""),마스터시트!$A$2:$H$1946,7,FALSE),""))</f>
        <v/>
      </c>
    </row>
    <row r="679" spans="13:18" x14ac:dyDescent="0.3">
      <c r="M679" s="18" t="str">
        <f>IF($K679="","",IFERROR(VLOOKUP(--SUBSTITUTE(SUBSTITUTE(TRIM($K679),"-","")," ",""),마스터시트!$A$2:$H$1946,2,FALSE),"미등록"))</f>
        <v/>
      </c>
      <c r="N679" s="53" t="str">
        <f>IF($K679="","",IFERROR(VLOOKUP(--SUBSTITUTE(SUBSTITUTE(TRIM($K679),"-","")," ",""),마스터시트!$A$2:$H$1946,3,FALSE),"미등록"))</f>
        <v/>
      </c>
      <c r="O679" s="18" t="str">
        <f>IF($K679="","",IFERROR(VLOOKUP(--SUBSTITUTE(SUBSTITUTE(TRIM($K679),"-","")," ",""),마스터시트!$A$2:$H$1946,4,FALSE),""))</f>
        <v/>
      </c>
      <c r="P679" s="18" t="str">
        <f>IF($K679="","",IFERROR(VLOOKUP(--SUBSTITUTE(SUBSTITUTE(TRIM($K679),"-","")," ",""),마스터시트!$A$2:$H$1946,5,FALSE),""))</f>
        <v/>
      </c>
      <c r="Q679" s="18" t="str">
        <f>IF($K679="","",IFERROR(VLOOKUP(--SUBSTITUTE(SUBSTITUTE(TRIM($K679),"-","")," ",""),마스터시트!$A$2:$H$1946,6,FALSE),""))</f>
        <v/>
      </c>
      <c r="R679" s="18" t="str">
        <f>IF($K679="","",IFERROR(VLOOKUP(--SUBSTITUTE(SUBSTITUTE(TRIM($K679),"-","")," ",""),마스터시트!$A$2:$H$1946,7,FALSE),""))</f>
        <v/>
      </c>
    </row>
    <row r="680" spans="13:18" x14ac:dyDescent="0.3">
      <c r="M680" s="18" t="str">
        <f>IF($K680="","",IFERROR(VLOOKUP(--SUBSTITUTE(SUBSTITUTE(TRIM($K680),"-","")," ",""),마스터시트!$A$2:$H$1946,2,FALSE),"미등록"))</f>
        <v/>
      </c>
      <c r="N680" s="53" t="str">
        <f>IF($K680="","",IFERROR(VLOOKUP(--SUBSTITUTE(SUBSTITUTE(TRIM($K680),"-","")," ",""),마스터시트!$A$2:$H$1946,3,FALSE),"미등록"))</f>
        <v/>
      </c>
      <c r="O680" s="18" t="str">
        <f>IF($K680="","",IFERROR(VLOOKUP(--SUBSTITUTE(SUBSTITUTE(TRIM($K680),"-","")," ",""),마스터시트!$A$2:$H$1946,4,FALSE),""))</f>
        <v/>
      </c>
      <c r="P680" s="18" t="str">
        <f>IF($K680="","",IFERROR(VLOOKUP(--SUBSTITUTE(SUBSTITUTE(TRIM($K680),"-","")," ",""),마스터시트!$A$2:$H$1946,5,FALSE),""))</f>
        <v/>
      </c>
      <c r="Q680" s="18" t="str">
        <f>IF($K680="","",IFERROR(VLOOKUP(--SUBSTITUTE(SUBSTITUTE(TRIM($K680),"-","")," ",""),마스터시트!$A$2:$H$1946,6,FALSE),""))</f>
        <v/>
      </c>
      <c r="R680" s="18" t="str">
        <f>IF($K680="","",IFERROR(VLOOKUP(--SUBSTITUTE(SUBSTITUTE(TRIM($K680),"-","")," ",""),마스터시트!$A$2:$H$1946,7,FALSE),""))</f>
        <v/>
      </c>
    </row>
    <row r="681" spans="13:18" x14ac:dyDescent="0.3">
      <c r="M681" s="18" t="str">
        <f>IF($K681="","",IFERROR(VLOOKUP(--SUBSTITUTE(SUBSTITUTE(TRIM($K681),"-","")," ",""),마스터시트!$A$2:$H$1946,2,FALSE),"미등록"))</f>
        <v/>
      </c>
      <c r="N681" s="53" t="str">
        <f>IF($K681="","",IFERROR(VLOOKUP(--SUBSTITUTE(SUBSTITUTE(TRIM($K681),"-","")," ",""),마스터시트!$A$2:$H$1946,3,FALSE),"미등록"))</f>
        <v/>
      </c>
      <c r="O681" s="18" t="str">
        <f>IF($K681="","",IFERROR(VLOOKUP(--SUBSTITUTE(SUBSTITUTE(TRIM($K681),"-","")," ",""),마스터시트!$A$2:$H$1946,4,FALSE),""))</f>
        <v/>
      </c>
      <c r="P681" s="18" t="str">
        <f>IF($K681="","",IFERROR(VLOOKUP(--SUBSTITUTE(SUBSTITUTE(TRIM($K681),"-","")," ",""),마스터시트!$A$2:$H$1946,5,FALSE),""))</f>
        <v/>
      </c>
      <c r="Q681" s="18" t="str">
        <f>IF($K681="","",IFERROR(VLOOKUP(--SUBSTITUTE(SUBSTITUTE(TRIM($K681),"-","")," ",""),마스터시트!$A$2:$H$1946,6,FALSE),""))</f>
        <v/>
      </c>
      <c r="R681" s="18" t="str">
        <f>IF($K681="","",IFERROR(VLOOKUP(--SUBSTITUTE(SUBSTITUTE(TRIM($K681),"-","")," ",""),마스터시트!$A$2:$H$1946,7,FALSE),""))</f>
        <v/>
      </c>
    </row>
    <row r="682" spans="13:18" x14ac:dyDescent="0.3">
      <c r="M682" s="18" t="str">
        <f>IF($K682="","",IFERROR(VLOOKUP(--SUBSTITUTE(SUBSTITUTE(TRIM($K682),"-","")," ",""),마스터시트!$A$2:$H$1946,2,FALSE),"미등록"))</f>
        <v/>
      </c>
      <c r="N682" s="53" t="str">
        <f>IF($K682="","",IFERROR(VLOOKUP(--SUBSTITUTE(SUBSTITUTE(TRIM($K682),"-","")," ",""),마스터시트!$A$2:$H$1946,3,FALSE),"미등록"))</f>
        <v/>
      </c>
      <c r="O682" s="18" t="str">
        <f>IF($K682="","",IFERROR(VLOOKUP(--SUBSTITUTE(SUBSTITUTE(TRIM($K682),"-","")," ",""),마스터시트!$A$2:$H$1946,4,FALSE),""))</f>
        <v/>
      </c>
      <c r="P682" s="18" t="str">
        <f>IF($K682="","",IFERROR(VLOOKUP(--SUBSTITUTE(SUBSTITUTE(TRIM($K682),"-","")," ",""),마스터시트!$A$2:$H$1946,5,FALSE),""))</f>
        <v/>
      </c>
      <c r="Q682" s="18" t="str">
        <f>IF($K682="","",IFERROR(VLOOKUP(--SUBSTITUTE(SUBSTITUTE(TRIM($K682),"-","")," ",""),마스터시트!$A$2:$H$1946,6,FALSE),""))</f>
        <v/>
      </c>
      <c r="R682" s="18" t="str">
        <f>IF($K682="","",IFERROR(VLOOKUP(--SUBSTITUTE(SUBSTITUTE(TRIM($K682),"-","")," ",""),마스터시트!$A$2:$H$1946,7,FALSE),""))</f>
        <v/>
      </c>
    </row>
    <row r="683" spans="13:18" x14ac:dyDescent="0.3">
      <c r="M683" s="18" t="str">
        <f>IF($K683="","",IFERROR(VLOOKUP(--SUBSTITUTE(SUBSTITUTE(TRIM($K683),"-","")," ",""),마스터시트!$A$2:$H$1946,2,FALSE),"미등록"))</f>
        <v/>
      </c>
      <c r="N683" s="53" t="str">
        <f>IF($K683="","",IFERROR(VLOOKUP(--SUBSTITUTE(SUBSTITUTE(TRIM($K683),"-","")," ",""),마스터시트!$A$2:$H$1946,3,FALSE),"미등록"))</f>
        <v/>
      </c>
      <c r="O683" s="18" t="str">
        <f>IF($K683="","",IFERROR(VLOOKUP(--SUBSTITUTE(SUBSTITUTE(TRIM($K683),"-","")," ",""),마스터시트!$A$2:$H$1946,4,FALSE),""))</f>
        <v/>
      </c>
      <c r="P683" s="18" t="str">
        <f>IF($K683="","",IFERROR(VLOOKUP(--SUBSTITUTE(SUBSTITUTE(TRIM($K683),"-","")," ",""),마스터시트!$A$2:$H$1946,5,FALSE),""))</f>
        <v/>
      </c>
      <c r="Q683" s="18" t="str">
        <f>IF($K683="","",IFERROR(VLOOKUP(--SUBSTITUTE(SUBSTITUTE(TRIM($K683),"-","")," ",""),마스터시트!$A$2:$H$1946,6,FALSE),""))</f>
        <v/>
      </c>
      <c r="R683" s="18" t="str">
        <f>IF($K683="","",IFERROR(VLOOKUP(--SUBSTITUTE(SUBSTITUTE(TRIM($K683),"-","")," ",""),마스터시트!$A$2:$H$1946,7,FALSE),""))</f>
        <v/>
      </c>
    </row>
    <row r="684" spans="13:18" x14ac:dyDescent="0.3">
      <c r="M684" s="18" t="str">
        <f>IF($K684="","",IFERROR(VLOOKUP(--SUBSTITUTE(SUBSTITUTE(TRIM($K684),"-","")," ",""),마스터시트!$A$2:$H$1946,2,FALSE),"미등록"))</f>
        <v/>
      </c>
      <c r="N684" s="53" t="str">
        <f>IF($K684="","",IFERROR(VLOOKUP(--SUBSTITUTE(SUBSTITUTE(TRIM($K684),"-","")," ",""),마스터시트!$A$2:$H$1946,3,FALSE),"미등록"))</f>
        <v/>
      </c>
      <c r="O684" s="18" t="str">
        <f>IF($K684="","",IFERROR(VLOOKUP(--SUBSTITUTE(SUBSTITUTE(TRIM($K684),"-","")," ",""),마스터시트!$A$2:$H$1946,4,FALSE),""))</f>
        <v/>
      </c>
      <c r="P684" s="18" t="str">
        <f>IF($K684="","",IFERROR(VLOOKUP(--SUBSTITUTE(SUBSTITUTE(TRIM($K684),"-","")," ",""),마스터시트!$A$2:$H$1946,5,FALSE),""))</f>
        <v/>
      </c>
      <c r="Q684" s="18" t="str">
        <f>IF($K684="","",IFERROR(VLOOKUP(--SUBSTITUTE(SUBSTITUTE(TRIM($K684),"-","")," ",""),마스터시트!$A$2:$H$1946,6,FALSE),""))</f>
        <v/>
      </c>
      <c r="R684" s="18" t="str">
        <f>IF($K684="","",IFERROR(VLOOKUP(--SUBSTITUTE(SUBSTITUTE(TRIM($K684),"-","")," ",""),마스터시트!$A$2:$H$1946,7,FALSE),""))</f>
        <v/>
      </c>
    </row>
    <row r="685" spans="13:18" x14ac:dyDescent="0.3">
      <c r="M685" s="18" t="str">
        <f>IF($K685="","",IFERROR(VLOOKUP(--SUBSTITUTE(SUBSTITUTE(TRIM($K685),"-","")," ",""),마스터시트!$A$2:$H$1946,2,FALSE),"미등록"))</f>
        <v/>
      </c>
      <c r="N685" s="53" t="str">
        <f>IF($K685="","",IFERROR(VLOOKUP(--SUBSTITUTE(SUBSTITUTE(TRIM($K685),"-","")," ",""),마스터시트!$A$2:$H$1946,3,FALSE),"미등록"))</f>
        <v/>
      </c>
      <c r="O685" s="18" t="str">
        <f>IF($K685="","",IFERROR(VLOOKUP(--SUBSTITUTE(SUBSTITUTE(TRIM($K685),"-","")," ",""),마스터시트!$A$2:$H$1946,4,FALSE),""))</f>
        <v/>
      </c>
      <c r="P685" s="18" t="str">
        <f>IF($K685="","",IFERROR(VLOOKUP(--SUBSTITUTE(SUBSTITUTE(TRIM($K685),"-","")," ",""),마스터시트!$A$2:$H$1946,5,FALSE),""))</f>
        <v/>
      </c>
      <c r="Q685" s="18" t="str">
        <f>IF($K685="","",IFERROR(VLOOKUP(--SUBSTITUTE(SUBSTITUTE(TRIM($K685),"-","")," ",""),마스터시트!$A$2:$H$1946,6,FALSE),""))</f>
        <v/>
      </c>
      <c r="R685" s="18" t="str">
        <f>IF($K685="","",IFERROR(VLOOKUP(--SUBSTITUTE(SUBSTITUTE(TRIM($K685),"-","")," ",""),마스터시트!$A$2:$H$1946,7,FALSE),""))</f>
        <v/>
      </c>
    </row>
    <row r="686" spans="13:18" x14ac:dyDescent="0.3">
      <c r="M686" s="18" t="str">
        <f>IF($K686="","",IFERROR(VLOOKUP(--SUBSTITUTE(SUBSTITUTE(TRIM($K686),"-","")," ",""),마스터시트!$A$2:$H$1946,2,FALSE),"미등록"))</f>
        <v/>
      </c>
      <c r="N686" s="53" t="str">
        <f>IF($K686="","",IFERROR(VLOOKUP(--SUBSTITUTE(SUBSTITUTE(TRIM($K686),"-","")," ",""),마스터시트!$A$2:$H$1946,3,FALSE),"미등록"))</f>
        <v/>
      </c>
      <c r="O686" s="18" t="str">
        <f>IF($K686="","",IFERROR(VLOOKUP(--SUBSTITUTE(SUBSTITUTE(TRIM($K686),"-","")," ",""),마스터시트!$A$2:$H$1946,4,FALSE),""))</f>
        <v/>
      </c>
      <c r="P686" s="18" t="str">
        <f>IF($K686="","",IFERROR(VLOOKUP(--SUBSTITUTE(SUBSTITUTE(TRIM($K686),"-","")," ",""),마스터시트!$A$2:$H$1946,5,FALSE),""))</f>
        <v/>
      </c>
      <c r="Q686" s="18" t="str">
        <f>IF($K686="","",IFERROR(VLOOKUP(--SUBSTITUTE(SUBSTITUTE(TRIM($K686),"-","")," ",""),마스터시트!$A$2:$H$1946,6,FALSE),""))</f>
        <v/>
      </c>
      <c r="R686" s="18" t="str">
        <f>IF($K686="","",IFERROR(VLOOKUP(--SUBSTITUTE(SUBSTITUTE(TRIM($K686),"-","")," ",""),마스터시트!$A$2:$H$1946,7,FALSE),""))</f>
        <v/>
      </c>
    </row>
    <row r="687" spans="13:18" x14ac:dyDescent="0.3">
      <c r="M687" s="18" t="str">
        <f>IF($K687="","",IFERROR(VLOOKUP(--SUBSTITUTE(SUBSTITUTE(TRIM($K687),"-","")," ",""),마스터시트!$A$2:$H$1946,2,FALSE),"미등록"))</f>
        <v/>
      </c>
      <c r="N687" s="53" t="str">
        <f>IF($K687="","",IFERROR(VLOOKUP(--SUBSTITUTE(SUBSTITUTE(TRIM($K687),"-","")," ",""),마스터시트!$A$2:$H$1946,3,FALSE),"미등록"))</f>
        <v/>
      </c>
      <c r="O687" s="18" t="str">
        <f>IF($K687="","",IFERROR(VLOOKUP(--SUBSTITUTE(SUBSTITUTE(TRIM($K687),"-","")," ",""),마스터시트!$A$2:$H$1946,4,FALSE),""))</f>
        <v/>
      </c>
      <c r="P687" s="18" t="str">
        <f>IF($K687="","",IFERROR(VLOOKUP(--SUBSTITUTE(SUBSTITUTE(TRIM($K687),"-","")," ",""),마스터시트!$A$2:$H$1946,5,FALSE),""))</f>
        <v/>
      </c>
      <c r="Q687" s="18" t="str">
        <f>IF($K687="","",IFERROR(VLOOKUP(--SUBSTITUTE(SUBSTITUTE(TRIM($K687),"-","")," ",""),마스터시트!$A$2:$H$1946,6,FALSE),""))</f>
        <v/>
      </c>
      <c r="R687" s="18" t="str">
        <f>IF($K687="","",IFERROR(VLOOKUP(--SUBSTITUTE(SUBSTITUTE(TRIM($K687),"-","")," ",""),마스터시트!$A$2:$H$1946,7,FALSE),""))</f>
        <v/>
      </c>
    </row>
    <row r="688" spans="13:18" x14ac:dyDescent="0.3">
      <c r="M688" s="18" t="str">
        <f>IF($K688="","",IFERROR(VLOOKUP(--SUBSTITUTE(SUBSTITUTE(TRIM($K688),"-","")," ",""),마스터시트!$A$2:$H$1946,2,FALSE),"미등록"))</f>
        <v/>
      </c>
      <c r="N688" s="53" t="str">
        <f>IF($K688="","",IFERROR(VLOOKUP(--SUBSTITUTE(SUBSTITUTE(TRIM($K688),"-","")," ",""),마스터시트!$A$2:$H$1946,3,FALSE),"미등록"))</f>
        <v/>
      </c>
      <c r="O688" s="18" t="str">
        <f>IF($K688="","",IFERROR(VLOOKUP(--SUBSTITUTE(SUBSTITUTE(TRIM($K688),"-","")," ",""),마스터시트!$A$2:$H$1946,4,FALSE),""))</f>
        <v/>
      </c>
      <c r="P688" s="18" t="str">
        <f>IF($K688="","",IFERROR(VLOOKUP(--SUBSTITUTE(SUBSTITUTE(TRIM($K688),"-","")," ",""),마스터시트!$A$2:$H$1946,5,FALSE),""))</f>
        <v/>
      </c>
      <c r="Q688" s="18" t="str">
        <f>IF($K688="","",IFERROR(VLOOKUP(--SUBSTITUTE(SUBSTITUTE(TRIM($K688),"-","")," ",""),마스터시트!$A$2:$H$1946,6,FALSE),""))</f>
        <v/>
      </c>
      <c r="R688" s="18" t="str">
        <f>IF($K688="","",IFERROR(VLOOKUP(--SUBSTITUTE(SUBSTITUTE(TRIM($K688),"-","")," ",""),마스터시트!$A$2:$H$1946,7,FALSE),""))</f>
        <v/>
      </c>
    </row>
    <row r="689" spans="13:18" x14ac:dyDescent="0.3">
      <c r="M689" s="18" t="str">
        <f>IF($K689="","",IFERROR(VLOOKUP(--SUBSTITUTE(SUBSTITUTE(TRIM($K689),"-","")," ",""),마스터시트!$A$2:$H$1946,2,FALSE),"미등록"))</f>
        <v/>
      </c>
      <c r="N689" s="53" t="str">
        <f>IF($K689="","",IFERROR(VLOOKUP(--SUBSTITUTE(SUBSTITUTE(TRIM($K689),"-","")," ",""),마스터시트!$A$2:$H$1946,3,FALSE),"미등록"))</f>
        <v/>
      </c>
      <c r="O689" s="18" t="str">
        <f>IF($K689="","",IFERROR(VLOOKUP(--SUBSTITUTE(SUBSTITUTE(TRIM($K689),"-","")," ",""),마스터시트!$A$2:$H$1946,4,FALSE),""))</f>
        <v/>
      </c>
      <c r="P689" s="18" t="str">
        <f>IF($K689="","",IFERROR(VLOOKUP(--SUBSTITUTE(SUBSTITUTE(TRIM($K689),"-","")," ",""),마스터시트!$A$2:$H$1946,5,FALSE),""))</f>
        <v/>
      </c>
      <c r="Q689" s="18" t="str">
        <f>IF($K689="","",IFERROR(VLOOKUP(--SUBSTITUTE(SUBSTITUTE(TRIM($K689),"-","")," ",""),마스터시트!$A$2:$H$1946,6,FALSE),""))</f>
        <v/>
      </c>
      <c r="R689" s="18" t="str">
        <f>IF($K689="","",IFERROR(VLOOKUP(--SUBSTITUTE(SUBSTITUTE(TRIM($K689),"-","")," ",""),마스터시트!$A$2:$H$1946,7,FALSE),""))</f>
        <v/>
      </c>
    </row>
    <row r="690" spans="13:18" x14ac:dyDescent="0.3">
      <c r="M690" s="18" t="str">
        <f>IF($K690="","",IFERROR(VLOOKUP(--SUBSTITUTE(SUBSTITUTE(TRIM($K690),"-","")," ",""),마스터시트!$A$2:$H$1946,2,FALSE),"미등록"))</f>
        <v/>
      </c>
      <c r="N690" s="53" t="str">
        <f>IF($K690="","",IFERROR(VLOOKUP(--SUBSTITUTE(SUBSTITUTE(TRIM($K690),"-","")," ",""),마스터시트!$A$2:$H$1946,3,FALSE),"미등록"))</f>
        <v/>
      </c>
      <c r="O690" s="18" t="str">
        <f>IF($K690="","",IFERROR(VLOOKUP(--SUBSTITUTE(SUBSTITUTE(TRIM($K690),"-","")," ",""),마스터시트!$A$2:$H$1946,4,FALSE),""))</f>
        <v/>
      </c>
      <c r="P690" s="18" t="str">
        <f>IF($K690="","",IFERROR(VLOOKUP(--SUBSTITUTE(SUBSTITUTE(TRIM($K690),"-","")," ",""),마스터시트!$A$2:$H$1946,5,FALSE),""))</f>
        <v/>
      </c>
      <c r="Q690" s="18" t="str">
        <f>IF($K690="","",IFERROR(VLOOKUP(--SUBSTITUTE(SUBSTITUTE(TRIM($K690),"-","")," ",""),마스터시트!$A$2:$H$1946,6,FALSE),""))</f>
        <v/>
      </c>
      <c r="R690" s="18" t="str">
        <f>IF($K690="","",IFERROR(VLOOKUP(--SUBSTITUTE(SUBSTITUTE(TRIM($K690),"-","")," ",""),마스터시트!$A$2:$H$1946,7,FALSE),""))</f>
        <v/>
      </c>
    </row>
    <row r="691" spans="13:18" x14ac:dyDescent="0.3">
      <c r="M691" s="18" t="str">
        <f>IF($K691="","",IFERROR(VLOOKUP(--SUBSTITUTE(SUBSTITUTE(TRIM($K691),"-","")," ",""),마스터시트!$A$2:$H$1946,2,FALSE),"미등록"))</f>
        <v/>
      </c>
      <c r="N691" s="53" t="str">
        <f>IF($K691="","",IFERROR(VLOOKUP(--SUBSTITUTE(SUBSTITUTE(TRIM($K691),"-","")," ",""),마스터시트!$A$2:$H$1946,3,FALSE),"미등록"))</f>
        <v/>
      </c>
      <c r="O691" s="18" t="str">
        <f>IF($K691="","",IFERROR(VLOOKUP(--SUBSTITUTE(SUBSTITUTE(TRIM($K691),"-","")," ",""),마스터시트!$A$2:$H$1946,4,FALSE),""))</f>
        <v/>
      </c>
      <c r="P691" s="18" t="str">
        <f>IF($K691="","",IFERROR(VLOOKUP(--SUBSTITUTE(SUBSTITUTE(TRIM($K691),"-","")," ",""),마스터시트!$A$2:$H$1946,5,FALSE),""))</f>
        <v/>
      </c>
      <c r="Q691" s="18" t="str">
        <f>IF($K691="","",IFERROR(VLOOKUP(--SUBSTITUTE(SUBSTITUTE(TRIM($K691),"-","")," ",""),마스터시트!$A$2:$H$1946,6,FALSE),""))</f>
        <v/>
      </c>
      <c r="R691" s="18" t="str">
        <f>IF($K691="","",IFERROR(VLOOKUP(--SUBSTITUTE(SUBSTITUTE(TRIM($K691),"-","")," ",""),마스터시트!$A$2:$H$1946,7,FALSE),""))</f>
        <v/>
      </c>
    </row>
    <row r="692" spans="13:18" x14ac:dyDescent="0.3">
      <c r="M692" s="18" t="str">
        <f>IF($K692="","",IFERROR(VLOOKUP(--SUBSTITUTE(SUBSTITUTE(TRIM($K692),"-","")," ",""),마스터시트!$A$2:$H$1946,2,FALSE),"미등록"))</f>
        <v/>
      </c>
      <c r="N692" s="53" t="str">
        <f>IF($K692="","",IFERROR(VLOOKUP(--SUBSTITUTE(SUBSTITUTE(TRIM($K692),"-","")," ",""),마스터시트!$A$2:$H$1946,3,FALSE),"미등록"))</f>
        <v/>
      </c>
      <c r="O692" s="18" t="str">
        <f>IF($K692="","",IFERROR(VLOOKUP(--SUBSTITUTE(SUBSTITUTE(TRIM($K692),"-","")," ",""),마스터시트!$A$2:$H$1946,4,FALSE),""))</f>
        <v/>
      </c>
      <c r="P692" s="18" t="str">
        <f>IF($K692="","",IFERROR(VLOOKUP(--SUBSTITUTE(SUBSTITUTE(TRIM($K692),"-","")," ",""),마스터시트!$A$2:$H$1946,5,FALSE),""))</f>
        <v/>
      </c>
      <c r="Q692" s="18" t="str">
        <f>IF($K692="","",IFERROR(VLOOKUP(--SUBSTITUTE(SUBSTITUTE(TRIM($K692),"-","")," ",""),마스터시트!$A$2:$H$1946,6,FALSE),""))</f>
        <v/>
      </c>
      <c r="R692" s="18" t="str">
        <f>IF($K692="","",IFERROR(VLOOKUP(--SUBSTITUTE(SUBSTITUTE(TRIM($K692),"-","")," ",""),마스터시트!$A$2:$H$1946,7,FALSE),""))</f>
        <v/>
      </c>
    </row>
    <row r="693" spans="13:18" x14ac:dyDescent="0.3">
      <c r="M693" s="18" t="str">
        <f>IF($K693="","",IFERROR(VLOOKUP(--SUBSTITUTE(SUBSTITUTE(TRIM($K693),"-","")," ",""),마스터시트!$A$2:$H$1946,2,FALSE),"미등록"))</f>
        <v/>
      </c>
      <c r="N693" s="53" t="str">
        <f>IF($K693="","",IFERROR(VLOOKUP(--SUBSTITUTE(SUBSTITUTE(TRIM($K693),"-","")," ",""),마스터시트!$A$2:$H$1946,3,FALSE),"미등록"))</f>
        <v/>
      </c>
      <c r="O693" s="18" t="str">
        <f>IF($K693="","",IFERROR(VLOOKUP(--SUBSTITUTE(SUBSTITUTE(TRIM($K693),"-","")," ",""),마스터시트!$A$2:$H$1946,4,FALSE),""))</f>
        <v/>
      </c>
      <c r="P693" s="18" t="str">
        <f>IF($K693="","",IFERROR(VLOOKUP(--SUBSTITUTE(SUBSTITUTE(TRIM($K693),"-","")," ",""),마스터시트!$A$2:$H$1946,5,FALSE),""))</f>
        <v/>
      </c>
      <c r="Q693" s="18" t="str">
        <f>IF($K693="","",IFERROR(VLOOKUP(--SUBSTITUTE(SUBSTITUTE(TRIM($K693),"-","")," ",""),마스터시트!$A$2:$H$1946,6,FALSE),""))</f>
        <v/>
      </c>
      <c r="R693" s="18" t="str">
        <f>IF($K693="","",IFERROR(VLOOKUP(--SUBSTITUTE(SUBSTITUTE(TRIM($K693),"-","")," ",""),마스터시트!$A$2:$H$1946,7,FALSE),""))</f>
        <v/>
      </c>
    </row>
    <row r="694" spans="13:18" x14ac:dyDescent="0.3">
      <c r="M694" s="18" t="str">
        <f>IF($K694="","",IFERROR(VLOOKUP(--SUBSTITUTE(SUBSTITUTE(TRIM($K694),"-","")," ",""),마스터시트!$A$2:$H$1946,2,FALSE),"미등록"))</f>
        <v/>
      </c>
      <c r="N694" s="53" t="str">
        <f>IF($K694="","",IFERROR(VLOOKUP(--SUBSTITUTE(SUBSTITUTE(TRIM($K694),"-","")," ",""),마스터시트!$A$2:$H$1946,3,FALSE),"미등록"))</f>
        <v/>
      </c>
      <c r="O694" s="18" t="str">
        <f>IF($K694="","",IFERROR(VLOOKUP(--SUBSTITUTE(SUBSTITUTE(TRIM($K694),"-","")," ",""),마스터시트!$A$2:$H$1946,4,FALSE),""))</f>
        <v/>
      </c>
      <c r="P694" s="18" t="str">
        <f>IF($K694="","",IFERROR(VLOOKUP(--SUBSTITUTE(SUBSTITUTE(TRIM($K694),"-","")," ",""),마스터시트!$A$2:$H$1946,5,FALSE),""))</f>
        <v/>
      </c>
      <c r="Q694" s="18" t="str">
        <f>IF($K694="","",IFERROR(VLOOKUP(--SUBSTITUTE(SUBSTITUTE(TRIM($K694),"-","")," ",""),마스터시트!$A$2:$H$1946,6,FALSE),""))</f>
        <v/>
      </c>
      <c r="R694" s="18" t="str">
        <f>IF($K694="","",IFERROR(VLOOKUP(--SUBSTITUTE(SUBSTITUTE(TRIM($K694),"-","")," ",""),마스터시트!$A$2:$H$1946,7,FALSE),""))</f>
        <v/>
      </c>
    </row>
    <row r="695" spans="13:18" x14ac:dyDescent="0.3">
      <c r="M695" s="18" t="str">
        <f>IF($K695="","",IFERROR(VLOOKUP(--SUBSTITUTE(SUBSTITUTE(TRIM($K695),"-","")," ",""),마스터시트!$A$2:$H$1946,2,FALSE),"미등록"))</f>
        <v/>
      </c>
      <c r="N695" s="53" t="str">
        <f>IF($K695="","",IFERROR(VLOOKUP(--SUBSTITUTE(SUBSTITUTE(TRIM($K695),"-","")," ",""),마스터시트!$A$2:$H$1946,3,FALSE),"미등록"))</f>
        <v/>
      </c>
      <c r="O695" s="18" t="str">
        <f>IF($K695="","",IFERROR(VLOOKUP(--SUBSTITUTE(SUBSTITUTE(TRIM($K695),"-","")," ",""),마스터시트!$A$2:$H$1946,4,FALSE),""))</f>
        <v/>
      </c>
      <c r="P695" s="18" t="str">
        <f>IF($K695="","",IFERROR(VLOOKUP(--SUBSTITUTE(SUBSTITUTE(TRIM($K695),"-","")," ",""),마스터시트!$A$2:$H$1946,5,FALSE),""))</f>
        <v/>
      </c>
      <c r="Q695" s="18" t="str">
        <f>IF($K695="","",IFERROR(VLOOKUP(--SUBSTITUTE(SUBSTITUTE(TRIM($K695),"-","")," ",""),마스터시트!$A$2:$H$1946,6,FALSE),""))</f>
        <v/>
      </c>
      <c r="R695" s="18" t="str">
        <f>IF($K695="","",IFERROR(VLOOKUP(--SUBSTITUTE(SUBSTITUTE(TRIM($K695),"-","")," ",""),마스터시트!$A$2:$H$1946,7,FALSE),""))</f>
        <v/>
      </c>
    </row>
    <row r="696" spans="13:18" x14ac:dyDescent="0.3">
      <c r="M696" s="18" t="str">
        <f>IF($K696="","",IFERROR(VLOOKUP(--SUBSTITUTE(SUBSTITUTE(TRIM($K696),"-","")," ",""),마스터시트!$A$2:$H$1946,2,FALSE),"미등록"))</f>
        <v/>
      </c>
      <c r="N696" s="53" t="str">
        <f>IF($K696="","",IFERROR(VLOOKUP(--SUBSTITUTE(SUBSTITUTE(TRIM($K696),"-","")," ",""),마스터시트!$A$2:$H$1946,3,FALSE),"미등록"))</f>
        <v/>
      </c>
      <c r="O696" s="18" t="str">
        <f>IF($K696="","",IFERROR(VLOOKUP(--SUBSTITUTE(SUBSTITUTE(TRIM($K696),"-","")," ",""),마스터시트!$A$2:$H$1946,4,FALSE),""))</f>
        <v/>
      </c>
      <c r="P696" s="18" t="str">
        <f>IF($K696="","",IFERROR(VLOOKUP(--SUBSTITUTE(SUBSTITUTE(TRIM($K696),"-","")," ",""),마스터시트!$A$2:$H$1946,5,FALSE),""))</f>
        <v/>
      </c>
      <c r="Q696" s="18" t="str">
        <f>IF($K696="","",IFERROR(VLOOKUP(--SUBSTITUTE(SUBSTITUTE(TRIM($K696),"-","")," ",""),마스터시트!$A$2:$H$1946,6,FALSE),""))</f>
        <v/>
      </c>
      <c r="R696" s="18" t="str">
        <f>IF($K696="","",IFERROR(VLOOKUP(--SUBSTITUTE(SUBSTITUTE(TRIM($K696),"-","")," ",""),마스터시트!$A$2:$H$1946,7,FALSE),""))</f>
        <v/>
      </c>
    </row>
    <row r="697" spans="13:18" x14ac:dyDescent="0.3">
      <c r="M697" s="18" t="str">
        <f>IF($K697="","",IFERROR(VLOOKUP(--SUBSTITUTE(SUBSTITUTE(TRIM($K697),"-","")," ",""),마스터시트!$A$2:$H$1946,2,FALSE),"미등록"))</f>
        <v/>
      </c>
      <c r="N697" s="53" t="str">
        <f>IF($K697="","",IFERROR(VLOOKUP(--SUBSTITUTE(SUBSTITUTE(TRIM($K697),"-","")," ",""),마스터시트!$A$2:$H$1946,3,FALSE),"미등록"))</f>
        <v/>
      </c>
      <c r="O697" s="18" t="str">
        <f>IF($K697="","",IFERROR(VLOOKUP(--SUBSTITUTE(SUBSTITUTE(TRIM($K697),"-","")," ",""),마스터시트!$A$2:$H$1946,4,FALSE),""))</f>
        <v/>
      </c>
      <c r="P697" s="18" t="str">
        <f>IF($K697="","",IFERROR(VLOOKUP(--SUBSTITUTE(SUBSTITUTE(TRIM($K697),"-","")," ",""),마스터시트!$A$2:$H$1946,5,FALSE),""))</f>
        <v/>
      </c>
      <c r="Q697" s="18" t="str">
        <f>IF($K697="","",IFERROR(VLOOKUP(--SUBSTITUTE(SUBSTITUTE(TRIM($K697),"-","")," ",""),마스터시트!$A$2:$H$1946,6,FALSE),""))</f>
        <v/>
      </c>
      <c r="R697" s="18" t="str">
        <f>IF($K697="","",IFERROR(VLOOKUP(--SUBSTITUTE(SUBSTITUTE(TRIM($K697),"-","")," ",""),마스터시트!$A$2:$H$1946,7,FALSE),""))</f>
        <v/>
      </c>
    </row>
    <row r="698" spans="13:18" x14ac:dyDescent="0.3">
      <c r="M698" s="18" t="str">
        <f>IF($K698="","",IFERROR(VLOOKUP(--SUBSTITUTE(SUBSTITUTE(TRIM($K698),"-","")," ",""),마스터시트!$A$2:$H$1946,2,FALSE),"미등록"))</f>
        <v/>
      </c>
      <c r="N698" s="53" t="str">
        <f>IF($K698="","",IFERROR(VLOOKUP(--SUBSTITUTE(SUBSTITUTE(TRIM($K698),"-","")," ",""),마스터시트!$A$2:$H$1946,3,FALSE),"미등록"))</f>
        <v/>
      </c>
      <c r="O698" s="18" t="str">
        <f>IF($K698="","",IFERROR(VLOOKUP(--SUBSTITUTE(SUBSTITUTE(TRIM($K698),"-","")," ",""),마스터시트!$A$2:$H$1946,4,FALSE),""))</f>
        <v/>
      </c>
      <c r="P698" s="18" t="str">
        <f>IF($K698="","",IFERROR(VLOOKUP(--SUBSTITUTE(SUBSTITUTE(TRIM($K698),"-","")," ",""),마스터시트!$A$2:$H$1946,5,FALSE),""))</f>
        <v/>
      </c>
      <c r="Q698" s="18" t="str">
        <f>IF($K698="","",IFERROR(VLOOKUP(--SUBSTITUTE(SUBSTITUTE(TRIM($K698),"-","")," ",""),마스터시트!$A$2:$H$1946,6,FALSE),""))</f>
        <v/>
      </c>
      <c r="R698" s="18" t="str">
        <f>IF($K698="","",IFERROR(VLOOKUP(--SUBSTITUTE(SUBSTITUTE(TRIM($K698),"-","")," ",""),마스터시트!$A$2:$H$1946,7,FALSE),""))</f>
        <v/>
      </c>
    </row>
    <row r="699" spans="13:18" x14ac:dyDescent="0.3">
      <c r="M699" s="18" t="str">
        <f>IF($K699="","",IFERROR(VLOOKUP(--SUBSTITUTE(SUBSTITUTE(TRIM($K699),"-","")," ",""),마스터시트!$A$2:$H$1946,2,FALSE),"미등록"))</f>
        <v/>
      </c>
      <c r="N699" s="53" t="str">
        <f>IF($K699="","",IFERROR(VLOOKUP(--SUBSTITUTE(SUBSTITUTE(TRIM($K699),"-","")," ",""),마스터시트!$A$2:$H$1946,3,FALSE),"미등록"))</f>
        <v/>
      </c>
      <c r="O699" s="18" t="str">
        <f>IF($K699="","",IFERROR(VLOOKUP(--SUBSTITUTE(SUBSTITUTE(TRIM($K699),"-","")," ",""),마스터시트!$A$2:$H$1946,4,FALSE),""))</f>
        <v/>
      </c>
      <c r="P699" s="18" t="str">
        <f>IF($K699="","",IFERROR(VLOOKUP(--SUBSTITUTE(SUBSTITUTE(TRIM($K699),"-","")," ",""),마스터시트!$A$2:$H$1946,5,FALSE),""))</f>
        <v/>
      </c>
      <c r="Q699" s="18" t="str">
        <f>IF($K699="","",IFERROR(VLOOKUP(--SUBSTITUTE(SUBSTITUTE(TRIM($K699),"-","")," ",""),마스터시트!$A$2:$H$1946,6,FALSE),""))</f>
        <v/>
      </c>
      <c r="R699" s="18" t="str">
        <f>IF($K699="","",IFERROR(VLOOKUP(--SUBSTITUTE(SUBSTITUTE(TRIM($K699),"-","")," ",""),마스터시트!$A$2:$H$1946,7,FALSE),""))</f>
        <v/>
      </c>
    </row>
    <row r="700" spans="13:18" x14ac:dyDescent="0.3">
      <c r="M700" s="18" t="str">
        <f>IF($K700="","",IFERROR(VLOOKUP(--SUBSTITUTE(SUBSTITUTE(TRIM($K700),"-","")," ",""),마스터시트!$A$2:$H$1946,2,FALSE),"미등록"))</f>
        <v/>
      </c>
      <c r="N700" s="53" t="str">
        <f>IF($K700="","",IFERROR(VLOOKUP(--SUBSTITUTE(SUBSTITUTE(TRIM($K700),"-","")," ",""),마스터시트!$A$2:$H$1946,3,FALSE),"미등록"))</f>
        <v/>
      </c>
      <c r="O700" s="18" t="str">
        <f>IF($K700="","",IFERROR(VLOOKUP(--SUBSTITUTE(SUBSTITUTE(TRIM($K700),"-","")," ",""),마스터시트!$A$2:$H$1946,4,FALSE),""))</f>
        <v/>
      </c>
      <c r="P700" s="18" t="str">
        <f>IF($K700="","",IFERROR(VLOOKUP(--SUBSTITUTE(SUBSTITUTE(TRIM($K700),"-","")," ",""),마스터시트!$A$2:$H$1946,5,FALSE),""))</f>
        <v/>
      </c>
      <c r="Q700" s="18" t="str">
        <f>IF($K700="","",IFERROR(VLOOKUP(--SUBSTITUTE(SUBSTITUTE(TRIM($K700),"-","")," ",""),마스터시트!$A$2:$H$1946,6,FALSE),""))</f>
        <v/>
      </c>
      <c r="R700" s="18" t="str">
        <f>IF($K700="","",IFERROR(VLOOKUP(--SUBSTITUTE(SUBSTITUTE(TRIM($K700),"-","")," ",""),마스터시트!$A$2:$H$1946,7,FALSE),""))</f>
        <v/>
      </c>
    </row>
    <row r="701" spans="13:18" x14ac:dyDescent="0.3">
      <c r="M701" s="18" t="str">
        <f>IF($K701="","",IFERROR(VLOOKUP(--SUBSTITUTE(SUBSTITUTE(TRIM($K701),"-","")," ",""),마스터시트!$A$2:$H$1946,2,FALSE),"미등록"))</f>
        <v/>
      </c>
      <c r="N701" s="53" t="str">
        <f>IF($K701="","",IFERROR(VLOOKUP(--SUBSTITUTE(SUBSTITUTE(TRIM($K701),"-","")," ",""),마스터시트!$A$2:$H$1946,3,FALSE),"미등록"))</f>
        <v/>
      </c>
      <c r="O701" s="18" t="str">
        <f>IF($K701="","",IFERROR(VLOOKUP(--SUBSTITUTE(SUBSTITUTE(TRIM($K701),"-","")," ",""),마스터시트!$A$2:$H$1946,4,FALSE),""))</f>
        <v/>
      </c>
      <c r="P701" s="18" t="str">
        <f>IF($K701="","",IFERROR(VLOOKUP(--SUBSTITUTE(SUBSTITUTE(TRIM($K701),"-","")," ",""),마스터시트!$A$2:$H$1946,5,FALSE),""))</f>
        <v/>
      </c>
      <c r="Q701" s="18" t="str">
        <f>IF($K701="","",IFERROR(VLOOKUP(--SUBSTITUTE(SUBSTITUTE(TRIM($K701),"-","")," ",""),마스터시트!$A$2:$H$1946,6,FALSE),""))</f>
        <v/>
      </c>
      <c r="R701" s="18" t="str">
        <f>IF($K701="","",IFERROR(VLOOKUP(--SUBSTITUTE(SUBSTITUTE(TRIM($K701),"-","")," ",""),마스터시트!$A$2:$H$1946,7,FALSE),""))</f>
        <v/>
      </c>
    </row>
    <row r="702" spans="13:18" x14ac:dyDescent="0.3">
      <c r="M702" s="18" t="str">
        <f>IF($K702="","",IFERROR(VLOOKUP(--SUBSTITUTE(SUBSTITUTE(TRIM($K702),"-","")," ",""),마스터시트!$A$2:$H$1946,2,FALSE),"미등록"))</f>
        <v/>
      </c>
      <c r="N702" s="53" t="str">
        <f>IF($K702="","",IFERROR(VLOOKUP(--SUBSTITUTE(SUBSTITUTE(TRIM($K702),"-","")," ",""),마스터시트!$A$2:$H$1946,3,FALSE),"미등록"))</f>
        <v/>
      </c>
      <c r="O702" s="18" t="str">
        <f>IF($K702="","",IFERROR(VLOOKUP(--SUBSTITUTE(SUBSTITUTE(TRIM($K702),"-","")," ",""),마스터시트!$A$2:$H$1946,4,FALSE),""))</f>
        <v/>
      </c>
      <c r="P702" s="18" t="str">
        <f>IF($K702="","",IFERROR(VLOOKUP(--SUBSTITUTE(SUBSTITUTE(TRIM($K702),"-","")," ",""),마스터시트!$A$2:$H$1946,5,FALSE),""))</f>
        <v/>
      </c>
      <c r="Q702" s="18" t="str">
        <f>IF($K702="","",IFERROR(VLOOKUP(--SUBSTITUTE(SUBSTITUTE(TRIM($K702),"-","")," ",""),마스터시트!$A$2:$H$1946,6,FALSE),""))</f>
        <v/>
      </c>
      <c r="R702" s="18" t="str">
        <f>IF($K702="","",IFERROR(VLOOKUP(--SUBSTITUTE(SUBSTITUTE(TRIM($K702),"-","")," ",""),마스터시트!$A$2:$H$1946,7,FALSE),""))</f>
        <v/>
      </c>
    </row>
    <row r="703" spans="13:18" x14ac:dyDescent="0.3">
      <c r="M703" s="18" t="str">
        <f>IF($K703="","",IFERROR(VLOOKUP(--SUBSTITUTE(SUBSTITUTE(TRIM($K703),"-","")," ",""),마스터시트!$A$2:$H$1946,2,FALSE),"미등록"))</f>
        <v/>
      </c>
      <c r="N703" s="53" t="str">
        <f>IF($K703="","",IFERROR(VLOOKUP(--SUBSTITUTE(SUBSTITUTE(TRIM($K703),"-","")," ",""),마스터시트!$A$2:$H$1946,3,FALSE),"미등록"))</f>
        <v/>
      </c>
      <c r="O703" s="18" t="str">
        <f>IF($K703="","",IFERROR(VLOOKUP(--SUBSTITUTE(SUBSTITUTE(TRIM($K703),"-","")," ",""),마스터시트!$A$2:$H$1946,4,FALSE),""))</f>
        <v/>
      </c>
      <c r="P703" s="18" t="str">
        <f>IF($K703="","",IFERROR(VLOOKUP(--SUBSTITUTE(SUBSTITUTE(TRIM($K703),"-","")," ",""),마스터시트!$A$2:$H$1946,5,FALSE),""))</f>
        <v/>
      </c>
      <c r="Q703" s="18" t="str">
        <f>IF($K703="","",IFERROR(VLOOKUP(--SUBSTITUTE(SUBSTITUTE(TRIM($K703),"-","")," ",""),마스터시트!$A$2:$H$1946,6,FALSE),""))</f>
        <v/>
      </c>
      <c r="R703" s="18" t="str">
        <f>IF($K703="","",IFERROR(VLOOKUP(--SUBSTITUTE(SUBSTITUTE(TRIM($K703),"-","")," ",""),마스터시트!$A$2:$H$1946,7,FALSE),""))</f>
        <v/>
      </c>
    </row>
    <row r="704" spans="13:18" x14ac:dyDescent="0.3">
      <c r="M704" s="18" t="str">
        <f>IF($K704="","",IFERROR(VLOOKUP(--SUBSTITUTE(SUBSTITUTE(TRIM($K704),"-","")," ",""),마스터시트!$A$2:$H$1946,2,FALSE),"미등록"))</f>
        <v/>
      </c>
      <c r="N704" s="53" t="str">
        <f>IF($K704="","",IFERROR(VLOOKUP(--SUBSTITUTE(SUBSTITUTE(TRIM($K704),"-","")," ",""),마스터시트!$A$2:$H$1946,3,FALSE),"미등록"))</f>
        <v/>
      </c>
      <c r="O704" s="18" t="str">
        <f>IF($K704="","",IFERROR(VLOOKUP(--SUBSTITUTE(SUBSTITUTE(TRIM($K704),"-","")," ",""),마스터시트!$A$2:$H$1946,4,FALSE),""))</f>
        <v/>
      </c>
      <c r="P704" s="18" t="str">
        <f>IF($K704="","",IFERROR(VLOOKUP(--SUBSTITUTE(SUBSTITUTE(TRIM($K704),"-","")," ",""),마스터시트!$A$2:$H$1946,5,FALSE),""))</f>
        <v/>
      </c>
      <c r="Q704" s="18" t="str">
        <f>IF($K704="","",IFERROR(VLOOKUP(--SUBSTITUTE(SUBSTITUTE(TRIM($K704),"-","")," ",""),마스터시트!$A$2:$H$1946,6,FALSE),""))</f>
        <v/>
      </c>
      <c r="R704" s="18" t="str">
        <f>IF($K704="","",IFERROR(VLOOKUP(--SUBSTITUTE(SUBSTITUTE(TRIM($K704),"-","")," ",""),마스터시트!$A$2:$H$1946,7,FALSE),""))</f>
        <v/>
      </c>
    </row>
    <row r="705" spans="13:18" x14ac:dyDescent="0.3">
      <c r="M705" s="18" t="str">
        <f>IF($K705="","",IFERROR(VLOOKUP(--SUBSTITUTE(SUBSTITUTE(TRIM($K705),"-","")," ",""),마스터시트!$A$2:$H$1946,2,FALSE),"미등록"))</f>
        <v/>
      </c>
      <c r="N705" s="53" t="str">
        <f>IF($K705="","",IFERROR(VLOOKUP(--SUBSTITUTE(SUBSTITUTE(TRIM($K705),"-","")," ",""),마스터시트!$A$2:$H$1946,3,FALSE),"미등록"))</f>
        <v/>
      </c>
      <c r="O705" s="18" t="str">
        <f>IF($K705="","",IFERROR(VLOOKUP(--SUBSTITUTE(SUBSTITUTE(TRIM($K705),"-","")," ",""),마스터시트!$A$2:$H$1946,4,FALSE),""))</f>
        <v/>
      </c>
      <c r="P705" s="18" t="str">
        <f>IF($K705="","",IFERROR(VLOOKUP(--SUBSTITUTE(SUBSTITUTE(TRIM($K705),"-","")," ",""),마스터시트!$A$2:$H$1946,5,FALSE),""))</f>
        <v/>
      </c>
      <c r="Q705" s="18" t="str">
        <f>IF($K705="","",IFERROR(VLOOKUP(--SUBSTITUTE(SUBSTITUTE(TRIM($K705),"-","")," ",""),마스터시트!$A$2:$H$1946,6,FALSE),""))</f>
        <v/>
      </c>
      <c r="R705" s="18" t="str">
        <f>IF($K705="","",IFERROR(VLOOKUP(--SUBSTITUTE(SUBSTITUTE(TRIM($K705),"-","")," ",""),마스터시트!$A$2:$H$1946,7,FALSE),""))</f>
        <v/>
      </c>
    </row>
    <row r="706" spans="13:18" x14ac:dyDescent="0.3">
      <c r="M706" s="18" t="str">
        <f>IF($K706="","",IFERROR(VLOOKUP(--SUBSTITUTE(SUBSTITUTE(TRIM($K706),"-","")," ",""),마스터시트!$A$2:$H$1946,2,FALSE),"미등록"))</f>
        <v/>
      </c>
      <c r="N706" s="53" t="str">
        <f>IF($K706="","",IFERROR(VLOOKUP(--SUBSTITUTE(SUBSTITUTE(TRIM($K706),"-","")," ",""),마스터시트!$A$2:$H$1946,3,FALSE),"미등록"))</f>
        <v/>
      </c>
      <c r="O706" s="18" t="str">
        <f>IF($K706="","",IFERROR(VLOOKUP(--SUBSTITUTE(SUBSTITUTE(TRIM($K706),"-","")," ",""),마스터시트!$A$2:$H$1946,4,FALSE),""))</f>
        <v/>
      </c>
      <c r="P706" s="18" t="str">
        <f>IF($K706="","",IFERROR(VLOOKUP(--SUBSTITUTE(SUBSTITUTE(TRIM($K706),"-","")," ",""),마스터시트!$A$2:$H$1946,5,FALSE),""))</f>
        <v/>
      </c>
      <c r="Q706" s="18" t="str">
        <f>IF($K706="","",IFERROR(VLOOKUP(--SUBSTITUTE(SUBSTITUTE(TRIM($K706),"-","")," ",""),마스터시트!$A$2:$H$1946,6,FALSE),""))</f>
        <v/>
      </c>
      <c r="R706" s="18" t="str">
        <f>IF($K706="","",IFERROR(VLOOKUP(--SUBSTITUTE(SUBSTITUTE(TRIM($K706),"-","")," ",""),마스터시트!$A$2:$H$1946,7,FALSE),""))</f>
        <v/>
      </c>
    </row>
    <row r="707" spans="13:18" x14ac:dyDescent="0.3">
      <c r="M707" s="18" t="str">
        <f>IF($K707="","",IFERROR(VLOOKUP(--SUBSTITUTE(SUBSTITUTE(TRIM($K707),"-","")," ",""),마스터시트!$A$2:$H$1946,2,FALSE),"미등록"))</f>
        <v/>
      </c>
      <c r="N707" s="53" t="str">
        <f>IF($K707="","",IFERROR(VLOOKUP(--SUBSTITUTE(SUBSTITUTE(TRIM($K707),"-","")," ",""),마스터시트!$A$2:$H$1946,3,FALSE),"미등록"))</f>
        <v/>
      </c>
      <c r="O707" s="18" t="str">
        <f>IF($K707="","",IFERROR(VLOOKUP(--SUBSTITUTE(SUBSTITUTE(TRIM($K707),"-","")," ",""),마스터시트!$A$2:$H$1946,4,FALSE),""))</f>
        <v/>
      </c>
      <c r="P707" s="18" t="str">
        <f>IF($K707="","",IFERROR(VLOOKUP(--SUBSTITUTE(SUBSTITUTE(TRIM($K707),"-","")," ",""),마스터시트!$A$2:$H$1946,5,FALSE),""))</f>
        <v/>
      </c>
      <c r="Q707" s="18" t="str">
        <f>IF($K707="","",IFERROR(VLOOKUP(--SUBSTITUTE(SUBSTITUTE(TRIM($K707),"-","")," ",""),마스터시트!$A$2:$H$1946,6,FALSE),""))</f>
        <v/>
      </c>
      <c r="R707" s="18" t="str">
        <f>IF($K707="","",IFERROR(VLOOKUP(--SUBSTITUTE(SUBSTITUTE(TRIM($K707),"-","")," ",""),마스터시트!$A$2:$H$1946,7,FALSE),""))</f>
        <v/>
      </c>
    </row>
    <row r="708" spans="13:18" x14ac:dyDescent="0.3">
      <c r="M708" s="18" t="str">
        <f>IF($K708="","",IFERROR(VLOOKUP(--SUBSTITUTE(SUBSTITUTE(TRIM($K708),"-","")," ",""),마스터시트!$A$2:$H$1946,2,FALSE),"미등록"))</f>
        <v/>
      </c>
      <c r="N708" s="53" t="str">
        <f>IF($K708="","",IFERROR(VLOOKUP(--SUBSTITUTE(SUBSTITUTE(TRIM($K708),"-","")," ",""),마스터시트!$A$2:$H$1946,3,FALSE),"미등록"))</f>
        <v/>
      </c>
      <c r="O708" s="18" t="str">
        <f>IF($K708="","",IFERROR(VLOOKUP(--SUBSTITUTE(SUBSTITUTE(TRIM($K708),"-","")," ",""),마스터시트!$A$2:$H$1946,4,FALSE),""))</f>
        <v/>
      </c>
      <c r="P708" s="18" t="str">
        <f>IF($K708="","",IFERROR(VLOOKUP(--SUBSTITUTE(SUBSTITUTE(TRIM($K708),"-","")," ",""),마스터시트!$A$2:$H$1946,5,FALSE),""))</f>
        <v/>
      </c>
      <c r="Q708" s="18" t="str">
        <f>IF($K708="","",IFERROR(VLOOKUP(--SUBSTITUTE(SUBSTITUTE(TRIM($K708),"-","")," ",""),마스터시트!$A$2:$H$1946,6,FALSE),""))</f>
        <v/>
      </c>
      <c r="R708" s="18" t="str">
        <f>IF($K708="","",IFERROR(VLOOKUP(--SUBSTITUTE(SUBSTITUTE(TRIM($K708),"-","")," ",""),마스터시트!$A$2:$H$1946,7,FALSE),""))</f>
        <v/>
      </c>
    </row>
    <row r="709" spans="13:18" x14ac:dyDescent="0.3">
      <c r="M709" s="18" t="str">
        <f>IF($K709="","",IFERROR(VLOOKUP(--SUBSTITUTE(SUBSTITUTE(TRIM($K709),"-","")," ",""),마스터시트!$A$2:$H$1946,2,FALSE),"미등록"))</f>
        <v/>
      </c>
      <c r="N709" s="53" t="str">
        <f>IF($K709="","",IFERROR(VLOOKUP(--SUBSTITUTE(SUBSTITUTE(TRIM($K709),"-","")," ",""),마스터시트!$A$2:$H$1946,3,FALSE),"미등록"))</f>
        <v/>
      </c>
      <c r="O709" s="18" t="str">
        <f>IF($K709="","",IFERROR(VLOOKUP(--SUBSTITUTE(SUBSTITUTE(TRIM($K709),"-","")," ",""),마스터시트!$A$2:$H$1946,4,FALSE),""))</f>
        <v/>
      </c>
      <c r="P709" s="18" t="str">
        <f>IF($K709="","",IFERROR(VLOOKUP(--SUBSTITUTE(SUBSTITUTE(TRIM($K709),"-","")," ",""),마스터시트!$A$2:$H$1946,5,FALSE),""))</f>
        <v/>
      </c>
      <c r="Q709" s="18" t="str">
        <f>IF($K709="","",IFERROR(VLOOKUP(--SUBSTITUTE(SUBSTITUTE(TRIM($K709),"-","")," ",""),마스터시트!$A$2:$H$1946,6,FALSE),""))</f>
        <v/>
      </c>
      <c r="R709" s="18" t="str">
        <f>IF($K709="","",IFERROR(VLOOKUP(--SUBSTITUTE(SUBSTITUTE(TRIM($K709),"-","")," ",""),마스터시트!$A$2:$H$1946,7,FALSE),""))</f>
        <v/>
      </c>
    </row>
    <row r="710" spans="13:18" x14ac:dyDescent="0.3">
      <c r="M710" s="18" t="str">
        <f>IF($K710="","",IFERROR(VLOOKUP(--SUBSTITUTE(SUBSTITUTE(TRIM($K710),"-","")," ",""),마스터시트!$A$2:$H$1946,2,FALSE),"미등록"))</f>
        <v/>
      </c>
      <c r="N710" s="53" t="str">
        <f>IF($K710="","",IFERROR(VLOOKUP(--SUBSTITUTE(SUBSTITUTE(TRIM($K710),"-","")," ",""),마스터시트!$A$2:$H$1946,3,FALSE),"미등록"))</f>
        <v/>
      </c>
      <c r="O710" s="18" t="str">
        <f>IF($K710="","",IFERROR(VLOOKUP(--SUBSTITUTE(SUBSTITUTE(TRIM($K710),"-","")," ",""),마스터시트!$A$2:$H$1946,4,FALSE),""))</f>
        <v/>
      </c>
      <c r="P710" s="18" t="str">
        <f>IF($K710="","",IFERROR(VLOOKUP(--SUBSTITUTE(SUBSTITUTE(TRIM($K710),"-","")," ",""),마스터시트!$A$2:$H$1946,5,FALSE),""))</f>
        <v/>
      </c>
      <c r="Q710" s="18" t="str">
        <f>IF($K710="","",IFERROR(VLOOKUP(--SUBSTITUTE(SUBSTITUTE(TRIM($K710),"-","")," ",""),마스터시트!$A$2:$H$1946,6,FALSE),""))</f>
        <v/>
      </c>
      <c r="R710" s="18" t="str">
        <f>IF($K710="","",IFERROR(VLOOKUP(--SUBSTITUTE(SUBSTITUTE(TRIM($K710),"-","")," ",""),마스터시트!$A$2:$H$1946,7,FALSE),""))</f>
        <v/>
      </c>
    </row>
    <row r="711" spans="13:18" x14ac:dyDescent="0.3">
      <c r="M711" s="18" t="str">
        <f>IF($K711="","",IFERROR(VLOOKUP(--SUBSTITUTE(SUBSTITUTE(TRIM($K711),"-","")," ",""),마스터시트!$A$2:$H$1946,2,FALSE),"미등록"))</f>
        <v/>
      </c>
      <c r="N711" s="53" t="str">
        <f>IF($K711="","",IFERROR(VLOOKUP(--SUBSTITUTE(SUBSTITUTE(TRIM($K711),"-","")," ",""),마스터시트!$A$2:$H$1946,3,FALSE),"미등록"))</f>
        <v/>
      </c>
      <c r="O711" s="18" t="str">
        <f>IF($K711="","",IFERROR(VLOOKUP(--SUBSTITUTE(SUBSTITUTE(TRIM($K711),"-","")," ",""),마스터시트!$A$2:$H$1946,4,FALSE),""))</f>
        <v/>
      </c>
      <c r="P711" s="18" t="str">
        <f>IF($K711="","",IFERROR(VLOOKUP(--SUBSTITUTE(SUBSTITUTE(TRIM($K711),"-","")," ",""),마스터시트!$A$2:$H$1946,5,FALSE),""))</f>
        <v/>
      </c>
      <c r="Q711" s="18" t="str">
        <f>IF($K711="","",IFERROR(VLOOKUP(--SUBSTITUTE(SUBSTITUTE(TRIM($K711),"-","")," ",""),마스터시트!$A$2:$H$1946,6,FALSE),""))</f>
        <v/>
      </c>
      <c r="R711" s="18" t="str">
        <f>IF($K711="","",IFERROR(VLOOKUP(--SUBSTITUTE(SUBSTITUTE(TRIM($K711),"-","")," ",""),마스터시트!$A$2:$H$1946,7,FALSE),""))</f>
        <v/>
      </c>
    </row>
    <row r="712" spans="13:18" x14ac:dyDescent="0.3">
      <c r="M712" s="18" t="str">
        <f>IF($K712="","",IFERROR(VLOOKUP(--SUBSTITUTE(SUBSTITUTE(TRIM($K712),"-","")," ",""),마스터시트!$A$2:$H$1946,2,FALSE),"미등록"))</f>
        <v/>
      </c>
      <c r="N712" s="53" t="str">
        <f>IF($K712="","",IFERROR(VLOOKUP(--SUBSTITUTE(SUBSTITUTE(TRIM($K712),"-","")," ",""),마스터시트!$A$2:$H$1946,3,FALSE),"미등록"))</f>
        <v/>
      </c>
      <c r="O712" s="18" t="str">
        <f>IF($K712="","",IFERROR(VLOOKUP(--SUBSTITUTE(SUBSTITUTE(TRIM($K712),"-","")," ",""),마스터시트!$A$2:$H$1946,4,FALSE),""))</f>
        <v/>
      </c>
      <c r="P712" s="18" t="str">
        <f>IF($K712="","",IFERROR(VLOOKUP(--SUBSTITUTE(SUBSTITUTE(TRIM($K712),"-","")," ",""),마스터시트!$A$2:$H$1946,5,FALSE),""))</f>
        <v/>
      </c>
      <c r="Q712" s="18" t="str">
        <f>IF($K712="","",IFERROR(VLOOKUP(--SUBSTITUTE(SUBSTITUTE(TRIM($K712),"-","")," ",""),마스터시트!$A$2:$H$1946,6,FALSE),""))</f>
        <v/>
      </c>
      <c r="R712" s="18" t="str">
        <f>IF($K712="","",IFERROR(VLOOKUP(--SUBSTITUTE(SUBSTITUTE(TRIM($K712),"-","")," ",""),마스터시트!$A$2:$H$1946,7,FALSE),""))</f>
        <v/>
      </c>
    </row>
    <row r="713" spans="13:18" x14ac:dyDescent="0.3">
      <c r="M713" s="18" t="str">
        <f>IF($K713="","",IFERROR(VLOOKUP(--SUBSTITUTE(SUBSTITUTE(TRIM($K713),"-","")," ",""),마스터시트!$A$2:$H$1946,2,FALSE),"미등록"))</f>
        <v/>
      </c>
      <c r="N713" s="53" t="str">
        <f>IF($K713="","",IFERROR(VLOOKUP(--SUBSTITUTE(SUBSTITUTE(TRIM($K713),"-","")," ",""),마스터시트!$A$2:$H$1946,3,FALSE),"미등록"))</f>
        <v/>
      </c>
      <c r="O713" s="18" t="str">
        <f>IF($K713="","",IFERROR(VLOOKUP(--SUBSTITUTE(SUBSTITUTE(TRIM($K713),"-","")," ",""),마스터시트!$A$2:$H$1946,4,FALSE),""))</f>
        <v/>
      </c>
      <c r="P713" s="18" t="str">
        <f>IF($K713="","",IFERROR(VLOOKUP(--SUBSTITUTE(SUBSTITUTE(TRIM($K713),"-","")," ",""),마스터시트!$A$2:$H$1946,5,FALSE),""))</f>
        <v/>
      </c>
      <c r="Q713" s="18" t="str">
        <f>IF($K713="","",IFERROR(VLOOKUP(--SUBSTITUTE(SUBSTITUTE(TRIM($K713),"-","")," ",""),마스터시트!$A$2:$H$1946,6,FALSE),""))</f>
        <v/>
      </c>
      <c r="R713" s="18" t="str">
        <f>IF($K713="","",IFERROR(VLOOKUP(--SUBSTITUTE(SUBSTITUTE(TRIM($K713),"-","")," ",""),마스터시트!$A$2:$H$1946,7,FALSE),""))</f>
        <v/>
      </c>
    </row>
    <row r="714" spans="13:18" x14ac:dyDescent="0.3">
      <c r="M714" s="18" t="str">
        <f>IF($K714="","",IFERROR(VLOOKUP(--SUBSTITUTE(SUBSTITUTE(TRIM($K714),"-","")," ",""),마스터시트!$A$2:$H$1946,2,FALSE),"미등록"))</f>
        <v/>
      </c>
      <c r="N714" s="53" t="str">
        <f>IF($K714="","",IFERROR(VLOOKUP(--SUBSTITUTE(SUBSTITUTE(TRIM($K714),"-","")," ",""),마스터시트!$A$2:$H$1946,3,FALSE),"미등록"))</f>
        <v/>
      </c>
      <c r="O714" s="18" t="str">
        <f>IF($K714="","",IFERROR(VLOOKUP(--SUBSTITUTE(SUBSTITUTE(TRIM($K714),"-","")," ",""),마스터시트!$A$2:$H$1946,4,FALSE),""))</f>
        <v/>
      </c>
      <c r="P714" s="18" t="str">
        <f>IF($K714="","",IFERROR(VLOOKUP(--SUBSTITUTE(SUBSTITUTE(TRIM($K714),"-","")," ",""),마스터시트!$A$2:$H$1946,5,FALSE),""))</f>
        <v/>
      </c>
      <c r="Q714" s="18" t="str">
        <f>IF($K714="","",IFERROR(VLOOKUP(--SUBSTITUTE(SUBSTITUTE(TRIM($K714),"-","")," ",""),마스터시트!$A$2:$H$1946,6,FALSE),""))</f>
        <v/>
      </c>
      <c r="R714" s="18" t="str">
        <f>IF($K714="","",IFERROR(VLOOKUP(--SUBSTITUTE(SUBSTITUTE(TRIM($K714),"-","")," ",""),마스터시트!$A$2:$H$1946,7,FALSE),""))</f>
        <v/>
      </c>
    </row>
    <row r="715" spans="13:18" x14ac:dyDescent="0.3">
      <c r="M715" s="18" t="str">
        <f>IF($K715="","",IFERROR(VLOOKUP(--SUBSTITUTE(SUBSTITUTE(TRIM($K715),"-","")," ",""),마스터시트!$A$2:$H$1946,2,FALSE),"미등록"))</f>
        <v/>
      </c>
      <c r="N715" s="53" t="str">
        <f>IF($K715="","",IFERROR(VLOOKUP(--SUBSTITUTE(SUBSTITUTE(TRIM($K715),"-","")," ",""),마스터시트!$A$2:$H$1946,3,FALSE),"미등록"))</f>
        <v/>
      </c>
      <c r="O715" s="18" t="str">
        <f>IF($K715="","",IFERROR(VLOOKUP(--SUBSTITUTE(SUBSTITUTE(TRIM($K715),"-","")," ",""),마스터시트!$A$2:$H$1946,4,FALSE),""))</f>
        <v/>
      </c>
      <c r="P715" s="18" t="str">
        <f>IF($K715="","",IFERROR(VLOOKUP(--SUBSTITUTE(SUBSTITUTE(TRIM($K715),"-","")," ",""),마스터시트!$A$2:$H$1946,5,FALSE),""))</f>
        <v/>
      </c>
      <c r="Q715" s="18" t="str">
        <f>IF($K715="","",IFERROR(VLOOKUP(--SUBSTITUTE(SUBSTITUTE(TRIM($K715),"-","")," ",""),마스터시트!$A$2:$H$1946,6,FALSE),""))</f>
        <v/>
      </c>
      <c r="R715" s="18" t="str">
        <f>IF($K715="","",IFERROR(VLOOKUP(--SUBSTITUTE(SUBSTITUTE(TRIM($K715),"-","")," ",""),마스터시트!$A$2:$H$1946,7,FALSE),""))</f>
        <v/>
      </c>
    </row>
    <row r="716" spans="13:18" x14ac:dyDescent="0.3">
      <c r="M716" s="18" t="str">
        <f>IF($K716="","",IFERROR(VLOOKUP(--SUBSTITUTE(SUBSTITUTE(TRIM($K716),"-","")," ",""),마스터시트!$A$2:$H$1946,2,FALSE),"미등록"))</f>
        <v/>
      </c>
      <c r="N716" s="53" t="str">
        <f>IF($K716="","",IFERROR(VLOOKUP(--SUBSTITUTE(SUBSTITUTE(TRIM($K716),"-","")," ",""),마스터시트!$A$2:$H$1946,3,FALSE),"미등록"))</f>
        <v/>
      </c>
      <c r="O716" s="18" t="str">
        <f>IF($K716="","",IFERROR(VLOOKUP(--SUBSTITUTE(SUBSTITUTE(TRIM($K716),"-","")," ",""),마스터시트!$A$2:$H$1946,4,FALSE),""))</f>
        <v/>
      </c>
      <c r="P716" s="18" t="str">
        <f>IF($K716="","",IFERROR(VLOOKUP(--SUBSTITUTE(SUBSTITUTE(TRIM($K716),"-","")," ",""),마스터시트!$A$2:$H$1946,5,FALSE),""))</f>
        <v/>
      </c>
      <c r="Q716" s="18" t="str">
        <f>IF($K716="","",IFERROR(VLOOKUP(--SUBSTITUTE(SUBSTITUTE(TRIM($K716),"-","")," ",""),마스터시트!$A$2:$H$1946,6,FALSE),""))</f>
        <v/>
      </c>
      <c r="R716" s="18" t="str">
        <f>IF($K716="","",IFERROR(VLOOKUP(--SUBSTITUTE(SUBSTITUTE(TRIM($K716),"-","")," ",""),마스터시트!$A$2:$H$1946,7,FALSE),""))</f>
        <v/>
      </c>
    </row>
    <row r="717" spans="13:18" x14ac:dyDescent="0.3">
      <c r="M717" s="18" t="str">
        <f>IF($K717="","",IFERROR(VLOOKUP(--SUBSTITUTE(SUBSTITUTE(TRIM($K717),"-","")," ",""),마스터시트!$A$2:$H$1946,2,FALSE),"미등록"))</f>
        <v/>
      </c>
      <c r="N717" s="53" t="str">
        <f>IF($K717="","",IFERROR(VLOOKUP(--SUBSTITUTE(SUBSTITUTE(TRIM($K717),"-","")," ",""),마스터시트!$A$2:$H$1946,3,FALSE),"미등록"))</f>
        <v/>
      </c>
      <c r="O717" s="18" t="str">
        <f>IF($K717="","",IFERROR(VLOOKUP(--SUBSTITUTE(SUBSTITUTE(TRIM($K717),"-","")," ",""),마스터시트!$A$2:$H$1946,4,FALSE),""))</f>
        <v/>
      </c>
      <c r="P717" s="18" t="str">
        <f>IF($K717="","",IFERROR(VLOOKUP(--SUBSTITUTE(SUBSTITUTE(TRIM($K717),"-","")," ",""),마스터시트!$A$2:$H$1946,5,FALSE),""))</f>
        <v/>
      </c>
      <c r="Q717" s="18" t="str">
        <f>IF($K717="","",IFERROR(VLOOKUP(--SUBSTITUTE(SUBSTITUTE(TRIM($K717),"-","")," ",""),마스터시트!$A$2:$H$1946,6,FALSE),""))</f>
        <v/>
      </c>
      <c r="R717" s="18" t="str">
        <f>IF($K717="","",IFERROR(VLOOKUP(--SUBSTITUTE(SUBSTITUTE(TRIM($K717),"-","")," ",""),마스터시트!$A$2:$H$1946,7,FALSE),""))</f>
        <v/>
      </c>
    </row>
    <row r="718" spans="13:18" x14ac:dyDescent="0.3">
      <c r="M718" s="18" t="str">
        <f>IF($K718="","",IFERROR(VLOOKUP(--SUBSTITUTE(SUBSTITUTE(TRIM($K718),"-","")," ",""),마스터시트!$A$2:$H$1946,2,FALSE),"미등록"))</f>
        <v/>
      </c>
      <c r="N718" s="53" t="str">
        <f>IF($K718="","",IFERROR(VLOOKUP(--SUBSTITUTE(SUBSTITUTE(TRIM($K718),"-","")," ",""),마스터시트!$A$2:$H$1946,3,FALSE),"미등록"))</f>
        <v/>
      </c>
      <c r="O718" s="18" t="str">
        <f>IF($K718="","",IFERROR(VLOOKUP(--SUBSTITUTE(SUBSTITUTE(TRIM($K718),"-","")," ",""),마스터시트!$A$2:$H$1946,4,FALSE),""))</f>
        <v/>
      </c>
      <c r="P718" s="18" t="str">
        <f>IF($K718="","",IFERROR(VLOOKUP(--SUBSTITUTE(SUBSTITUTE(TRIM($K718),"-","")," ",""),마스터시트!$A$2:$H$1946,5,FALSE),""))</f>
        <v/>
      </c>
      <c r="Q718" s="18" t="str">
        <f>IF($K718="","",IFERROR(VLOOKUP(--SUBSTITUTE(SUBSTITUTE(TRIM($K718),"-","")," ",""),마스터시트!$A$2:$H$1946,6,FALSE),""))</f>
        <v/>
      </c>
      <c r="R718" s="18" t="str">
        <f>IF($K718="","",IFERROR(VLOOKUP(--SUBSTITUTE(SUBSTITUTE(TRIM($K718),"-","")," ",""),마스터시트!$A$2:$H$1946,7,FALSE),""))</f>
        <v/>
      </c>
    </row>
    <row r="719" spans="13:18" x14ac:dyDescent="0.3">
      <c r="M719" s="18" t="str">
        <f>IF($K719="","",IFERROR(VLOOKUP(--SUBSTITUTE(SUBSTITUTE(TRIM($K719),"-","")," ",""),마스터시트!$A$2:$H$1946,2,FALSE),"미등록"))</f>
        <v/>
      </c>
      <c r="N719" s="53" t="str">
        <f>IF($K719="","",IFERROR(VLOOKUP(--SUBSTITUTE(SUBSTITUTE(TRIM($K719),"-","")," ",""),마스터시트!$A$2:$H$1946,3,FALSE),"미등록"))</f>
        <v/>
      </c>
      <c r="O719" s="18" t="str">
        <f>IF($K719="","",IFERROR(VLOOKUP(--SUBSTITUTE(SUBSTITUTE(TRIM($K719),"-","")," ",""),마스터시트!$A$2:$H$1946,4,FALSE),""))</f>
        <v/>
      </c>
      <c r="P719" s="18" t="str">
        <f>IF($K719="","",IFERROR(VLOOKUP(--SUBSTITUTE(SUBSTITUTE(TRIM($K719),"-","")," ",""),마스터시트!$A$2:$H$1946,5,FALSE),""))</f>
        <v/>
      </c>
      <c r="Q719" s="18" t="str">
        <f>IF($K719="","",IFERROR(VLOOKUP(--SUBSTITUTE(SUBSTITUTE(TRIM($K719),"-","")," ",""),마스터시트!$A$2:$H$1946,6,FALSE),""))</f>
        <v/>
      </c>
      <c r="R719" s="18" t="str">
        <f>IF($K719="","",IFERROR(VLOOKUP(--SUBSTITUTE(SUBSTITUTE(TRIM($K719),"-","")," ",""),마스터시트!$A$2:$H$1946,7,FALSE),""))</f>
        <v/>
      </c>
    </row>
    <row r="720" spans="13:18" x14ac:dyDescent="0.3">
      <c r="M720" s="18" t="str">
        <f>IF($K720="","",IFERROR(VLOOKUP(--SUBSTITUTE(SUBSTITUTE(TRIM($K720),"-","")," ",""),마스터시트!$A$2:$H$1946,2,FALSE),"미등록"))</f>
        <v/>
      </c>
      <c r="N720" s="53" t="str">
        <f>IF($K720="","",IFERROR(VLOOKUP(--SUBSTITUTE(SUBSTITUTE(TRIM($K720),"-","")," ",""),마스터시트!$A$2:$H$1946,3,FALSE),"미등록"))</f>
        <v/>
      </c>
      <c r="O720" s="18" t="str">
        <f>IF($K720="","",IFERROR(VLOOKUP(--SUBSTITUTE(SUBSTITUTE(TRIM($K720),"-","")," ",""),마스터시트!$A$2:$H$1946,4,FALSE),""))</f>
        <v/>
      </c>
      <c r="P720" s="18" t="str">
        <f>IF($K720="","",IFERROR(VLOOKUP(--SUBSTITUTE(SUBSTITUTE(TRIM($K720),"-","")," ",""),마스터시트!$A$2:$H$1946,5,FALSE),""))</f>
        <v/>
      </c>
      <c r="Q720" s="18" t="str">
        <f>IF($K720="","",IFERROR(VLOOKUP(--SUBSTITUTE(SUBSTITUTE(TRIM($K720),"-","")," ",""),마스터시트!$A$2:$H$1946,6,FALSE),""))</f>
        <v/>
      </c>
      <c r="R720" s="18" t="str">
        <f>IF($K720="","",IFERROR(VLOOKUP(--SUBSTITUTE(SUBSTITUTE(TRIM($K720),"-","")," ",""),마스터시트!$A$2:$H$1946,7,FALSE),""))</f>
        <v/>
      </c>
    </row>
    <row r="721" spans="13:18" x14ac:dyDescent="0.3">
      <c r="M721" s="18" t="str">
        <f>IF($K721="","",IFERROR(VLOOKUP(--SUBSTITUTE(SUBSTITUTE(TRIM($K721),"-","")," ",""),마스터시트!$A$2:$H$1946,2,FALSE),"미등록"))</f>
        <v/>
      </c>
      <c r="N721" s="53" t="str">
        <f>IF($K721="","",IFERROR(VLOOKUP(--SUBSTITUTE(SUBSTITUTE(TRIM($K721),"-","")," ",""),마스터시트!$A$2:$H$1946,3,FALSE),"미등록"))</f>
        <v/>
      </c>
      <c r="O721" s="18" t="str">
        <f>IF($K721="","",IFERROR(VLOOKUP(--SUBSTITUTE(SUBSTITUTE(TRIM($K721),"-","")," ",""),마스터시트!$A$2:$H$1946,4,FALSE),""))</f>
        <v/>
      </c>
      <c r="P721" s="18" t="str">
        <f>IF($K721="","",IFERROR(VLOOKUP(--SUBSTITUTE(SUBSTITUTE(TRIM($K721),"-","")," ",""),마스터시트!$A$2:$H$1946,5,FALSE),""))</f>
        <v/>
      </c>
      <c r="Q721" s="18" t="str">
        <f>IF($K721="","",IFERROR(VLOOKUP(--SUBSTITUTE(SUBSTITUTE(TRIM($K721),"-","")," ",""),마스터시트!$A$2:$H$1946,6,FALSE),""))</f>
        <v/>
      </c>
      <c r="R721" s="18" t="str">
        <f>IF($K721="","",IFERROR(VLOOKUP(--SUBSTITUTE(SUBSTITUTE(TRIM($K721),"-","")," ",""),마스터시트!$A$2:$H$1946,7,FALSE),""))</f>
        <v/>
      </c>
    </row>
    <row r="722" spans="13:18" x14ac:dyDescent="0.3">
      <c r="M722" s="18" t="str">
        <f>IF($K722="","",IFERROR(VLOOKUP(--SUBSTITUTE(SUBSTITUTE(TRIM($K722),"-","")," ",""),마스터시트!$A$2:$H$1946,2,FALSE),"미등록"))</f>
        <v/>
      </c>
      <c r="N722" s="53" t="str">
        <f>IF($K722="","",IFERROR(VLOOKUP(--SUBSTITUTE(SUBSTITUTE(TRIM($K722),"-","")," ",""),마스터시트!$A$2:$H$1946,3,FALSE),"미등록"))</f>
        <v/>
      </c>
      <c r="O722" s="18" t="str">
        <f>IF($K722="","",IFERROR(VLOOKUP(--SUBSTITUTE(SUBSTITUTE(TRIM($K722),"-","")," ",""),마스터시트!$A$2:$H$1946,4,FALSE),""))</f>
        <v/>
      </c>
      <c r="P722" s="18" t="str">
        <f>IF($K722="","",IFERROR(VLOOKUP(--SUBSTITUTE(SUBSTITUTE(TRIM($K722),"-","")," ",""),마스터시트!$A$2:$H$1946,5,FALSE),""))</f>
        <v/>
      </c>
      <c r="Q722" s="18" t="str">
        <f>IF($K722="","",IFERROR(VLOOKUP(--SUBSTITUTE(SUBSTITUTE(TRIM($K722),"-","")," ",""),마스터시트!$A$2:$H$1946,6,FALSE),""))</f>
        <v/>
      </c>
      <c r="R722" s="18" t="str">
        <f>IF($K722="","",IFERROR(VLOOKUP(--SUBSTITUTE(SUBSTITUTE(TRIM($K722),"-","")," ",""),마스터시트!$A$2:$H$1946,7,FALSE),""))</f>
        <v/>
      </c>
    </row>
    <row r="723" spans="13:18" x14ac:dyDescent="0.3">
      <c r="M723" s="18" t="str">
        <f>IF($K723="","",IFERROR(VLOOKUP(--SUBSTITUTE(SUBSTITUTE(TRIM($K723),"-","")," ",""),마스터시트!$A$2:$H$1946,2,FALSE),"미등록"))</f>
        <v/>
      </c>
      <c r="N723" s="53" t="str">
        <f>IF($K723="","",IFERROR(VLOOKUP(--SUBSTITUTE(SUBSTITUTE(TRIM($K723),"-","")," ",""),마스터시트!$A$2:$H$1946,3,FALSE),"미등록"))</f>
        <v/>
      </c>
      <c r="O723" s="18" t="str">
        <f>IF($K723="","",IFERROR(VLOOKUP(--SUBSTITUTE(SUBSTITUTE(TRIM($K723),"-","")," ",""),마스터시트!$A$2:$H$1946,4,FALSE),""))</f>
        <v/>
      </c>
      <c r="P723" s="18" t="str">
        <f>IF($K723="","",IFERROR(VLOOKUP(--SUBSTITUTE(SUBSTITUTE(TRIM($K723),"-","")," ",""),마스터시트!$A$2:$H$1946,5,FALSE),""))</f>
        <v/>
      </c>
      <c r="Q723" s="18" t="str">
        <f>IF($K723="","",IFERROR(VLOOKUP(--SUBSTITUTE(SUBSTITUTE(TRIM($K723),"-","")," ",""),마스터시트!$A$2:$H$1946,6,FALSE),""))</f>
        <v/>
      </c>
      <c r="R723" s="18" t="str">
        <f>IF($K723="","",IFERROR(VLOOKUP(--SUBSTITUTE(SUBSTITUTE(TRIM($K723),"-","")," ",""),마스터시트!$A$2:$H$1946,7,FALSE),""))</f>
        <v/>
      </c>
    </row>
    <row r="724" spans="13:18" x14ac:dyDescent="0.3">
      <c r="M724" s="18" t="str">
        <f>IF($K724="","",IFERROR(VLOOKUP(--SUBSTITUTE(SUBSTITUTE(TRIM($K724),"-","")," ",""),마스터시트!$A$2:$H$1946,2,FALSE),"미등록"))</f>
        <v/>
      </c>
      <c r="N724" s="53" t="str">
        <f>IF($K724="","",IFERROR(VLOOKUP(--SUBSTITUTE(SUBSTITUTE(TRIM($K724),"-","")," ",""),마스터시트!$A$2:$H$1946,3,FALSE),"미등록"))</f>
        <v/>
      </c>
      <c r="O724" s="18" t="str">
        <f>IF($K724="","",IFERROR(VLOOKUP(--SUBSTITUTE(SUBSTITUTE(TRIM($K724),"-","")," ",""),마스터시트!$A$2:$H$1946,4,FALSE),""))</f>
        <v/>
      </c>
      <c r="P724" s="18" t="str">
        <f>IF($K724="","",IFERROR(VLOOKUP(--SUBSTITUTE(SUBSTITUTE(TRIM($K724),"-","")," ",""),마스터시트!$A$2:$H$1946,5,FALSE),""))</f>
        <v/>
      </c>
      <c r="Q724" s="18" t="str">
        <f>IF($K724="","",IFERROR(VLOOKUP(--SUBSTITUTE(SUBSTITUTE(TRIM($K724),"-","")," ",""),마스터시트!$A$2:$H$1946,6,FALSE),""))</f>
        <v/>
      </c>
      <c r="R724" s="18" t="str">
        <f>IF($K724="","",IFERROR(VLOOKUP(--SUBSTITUTE(SUBSTITUTE(TRIM($K724),"-","")," ",""),마스터시트!$A$2:$H$1946,7,FALSE),""))</f>
        <v/>
      </c>
    </row>
    <row r="725" spans="13:18" x14ac:dyDescent="0.3">
      <c r="M725" s="18" t="str">
        <f>IF($K725="","",IFERROR(VLOOKUP(--SUBSTITUTE(SUBSTITUTE(TRIM($K725),"-","")," ",""),마스터시트!$A$2:$H$1946,2,FALSE),"미등록"))</f>
        <v/>
      </c>
      <c r="N725" s="53" t="str">
        <f>IF($K725="","",IFERROR(VLOOKUP(--SUBSTITUTE(SUBSTITUTE(TRIM($K725),"-","")," ",""),마스터시트!$A$2:$H$1946,3,FALSE),"미등록"))</f>
        <v/>
      </c>
      <c r="O725" s="18" t="str">
        <f>IF($K725="","",IFERROR(VLOOKUP(--SUBSTITUTE(SUBSTITUTE(TRIM($K725),"-","")," ",""),마스터시트!$A$2:$H$1946,4,FALSE),""))</f>
        <v/>
      </c>
      <c r="P725" s="18" t="str">
        <f>IF($K725="","",IFERROR(VLOOKUP(--SUBSTITUTE(SUBSTITUTE(TRIM($K725),"-","")," ",""),마스터시트!$A$2:$H$1946,5,FALSE),""))</f>
        <v/>
      </c>
      <c r="Q725" s="18" t="str">
        <f>IF($K725="","",IFERROR(VLOOKUP(--SUBSTITUTE(SUBSTITUTE(TRIM($K725),"-","")," ",""),마스터시트!$A$2:$H$1946,6,FALSE),""))</f>
        <v/>
      </c>
      <c r="R725" s="18" t="str">
        <f>IF($K725="","",IFERROR(VLOOKUP(--SUBSTITUTE(SUBSTITUTE(TRIM($K725),"-","")," ",""),마스터시트!$A$2:$H$1946,7,FALSE),""))</f>
        <v/>
      </c>
    </row>
    <row r="726" spans="13:18" x14ac:dyDescent="0.3">
      <c r="M726" s="18" t="str">
        <f>IF($K726="","",IFERROR(VLOOKUP(--SUBSTITUTE(SUBSTITUTE(TRIM($K726),"-","")," ",""),마스터시트!$A$2:$H$1946,2,FALSE),"미등록"))</f>
        <v/>
      </c>
      <c r="N726" s="53" t="str">
        <f>IF($K726="","",IFERROR(VLOOKUP(--SUBSTITUTE(SUBSTITUTE(TRIM($K726),"-","")," ",""),마스터시트!$A$2:$H$1946,3,FALSE),"미등록"))</f>
        <v/>
      </c>
      <c r="O726" s="18" t="str">
        <f>IF($K726="","",IFERROR(VLOOKUP(--SUBSTITUTE(SUBSTITUTE(TRIM($K726),"-","")," ",""),마스터시트!$A$2:$H$1946,4,FALSE),""))</f>
        <v/>
      </c>
      <c r="P726" s="18" t="str">
        <f>IF($K726="","",IFERROR(VLOOKUP(--SUBSTITUTE(SUBSTITUTE(TRIM($K726),"-","")," ",""),마스터시트!$A$2:$H$1946,5,FALSE),""))</f>
        <v/>
      </c>
      <c r="Q726" s="18" t="str">
        <f>IF($K726="","",IFERROR(VLOOKUP(--SUBSTITUTE(SUBSTITUTE(TRIM($K726),"-","")," ",""),마스터시트!$A$2:$H$1946,6,FALSE),""))</f>
        <v/>
      </c>
      <c r="R726" s="18" t="str">
        <f>IF($K726="","",IFERROR(VLOOKUP(--SUBSTITUTE(SUBSTITUTE(TRIM($K726),"-","")," ",""),마스터시트!$A$2:$H$1946,7,FALSE),""))</f>
        <v/>
      </c>
    </row>
    <row r="727" spans="13:18" x14ac:dyDescent="0.3">
      <c r="M727" s="18" t="str">
        <f>IF($K727="","",IFERROR(VLOOKUP(--SUBSTITUTE(SUBSTITUTE(TRIM($K727),"-","")," ",""),마스터시트!$A$2:$H$1946,2,FALSE),"미등록"))</f>
        <v/>
      </c>
      <c r="N727" s="53" t="str">
        <f>IF($K727="","",IFERROR(VLOOKUP(--SUBSTITUTE(SUBSTITUTE(TRIM($K727),"-","")," ",""),마스터시트!$A$2:$H$1946,3,FALSE),"미등록"))</f>
        <v/>
      </c>
      <c r="O727" s="18" t="str">
        <f>IF($K727="","",IFERROR(VLOOKUP(--SUBSTITUTE(SUBSTITUTE(TRIM($K727),"-","")," ",""),마스터시트!$A$2:$H$1946,4,FALSE),""))</f>
        <v/>
      </c>
      <c r="P727" s="18" t="str">
        <f>IF($K727="","",IFERROR(VLOOKUP(--SUBSTITUTE(SUBSTITUTE(TRIM($K727),"-","")," ",""),마스터시트!$A$2:$H$1946,5,FALSE),""))</f>
        <v/>
      </c>
      <c r="Q727" s="18" t="str">
        <f>IF($K727="","",IFERROR(VLOOKUP(--SUBSTITUTE(SUBSTITUTE(TRIM($K727),"-","")," ",""),마스터시트!$A$2:$H$1946,6,FALSE),""))</f>
        <v/>
      </c>
      <c r="R727" s="18" t="str">
        <f>IF($K727="","",IFERROR(VLOOKUP(--SUBSTITUTE(SUBSTITUTE(TRIM($K727),"-","")," ",""),마스터시트!$A$2:$H$1946,7,FALSE),""))</f>
        <v/>
      </c>
    </row>
    <row r="728" spans="13:18" x14ac:dyDescent="0.3">
      <c r="M728" s="18" t="str">
        <f>IF($K728="","",IFERROR(VLOOKUP(--SUBSTITUTE(SUBSTITUTE(TRIM($K728),"-","")," ",""),마스터시트!$A$2:$H$1946,2,FALSE),"미등록"))</f>
        <v/>
      </c>
      <c r="N728" s="53" t="str">
        <f>IF($K728="","",IFERROR(VLOOKUP(--SUBSTITUTE(SUBSTITUTE(TRIM($K728),"-","")," ",""),마스터시트!$A$2:$H$1946,3,FALSE),"미등록"))</f>
        <v/>
      </c>
      <c r="O728" s="18" t="str">
        <f>IF($K728="","",IFERROR(VLOOKUP(--SUBSTITUTE(SUBSTITUTE(TRIM($K728),"-","")," ",""),마스터시트!$A$2:$H$1946,4,FALSE),""))</f>
        <v/>
      </c>
      <c r="P728" s="18" t="str">
        <f>IF($K728="","",IFERROR(VLOOKUP(--SUBSTITUTE(SUBSTITUTE(TRIM($K728),"-","")," ",""),마스터시트!$A$2:$H$1946,5,FALSE),""))</f>
        <v/>
      </c>
      <c r="Q728" s="18" t="str">
        <f>IF($K728="","",IFERROR(VLOOKUP(--SUBSTITUTE(SUBSTITUTE(TRIM($K728),"-","")," ",""),마스터시트!$A$2:$H$1946,6,FALSE),""))</f>
        <v/>
      </c>
      <c r="R728" s="18" t="str">
        <f>IF($K728="","",IFERROR(VLOOKUP(--SUBSTITUTE(SUBSTITUTE(TRIM($K728),"-","")," ",""),마스터시트!$A$2:$H$1946,7,FALSE),""))</f>
        <v/>
      </c>
    </row>
    <row r="729" spans="13:18" x14ac:dyDescent="0.3">
      <c r="M729" s="18" t="str">
        <f>IF($K729="","",IFERROR(VLOOKUP(--SUBSTITUTE(SUBSTITUTE(TRIM($K729),"-","")," ",""),마스터시트!$A$2:$H$1946,2,FALSE),"미등록"))</f>
        <v/>
      </c>
      <c r="N729" s="53" t="str">
        <f>IF($K729="","",IFERROR(VLOOKUP(--SUBSTITUTE(SUBSTITUTE(TRIM($K729),"-","")," ",""),마스터시트!$A$2:$H$1946,3,FALSE),"미등록"))</f>
        <v/>
      </c>
      <c r="O729" s="18" t="str">
        <f>IF($K729="","",IFERROR(VLOOKUP(--SUBSTITUTE(SUBSTITUTE(TRIM($K729),"-","")," ",""),마스터시트!$A$2:$H$1946,4,FALSE),""))</f>
        <v/>
      </c>
      <c r="P729" s="18" t="str">
        <f>IF($K729="","",IFERROR(VLOOKUP(--SUBSTITUTE(SUBSTITUTE(TRIM($K729),"-","")," ",""),마스터시트!$A$2:$H$1946,5,FALSE),""))</f>
        <v/>
      </c>
      <c r="Q729" s="18" t="str">
        <f>IF($K729="","",IFERROR(VLOOKUP(--SUBSTITUTE(SUBSTITUTE(TRIM($K729),"-","")," ",""),마스터시트!$A$2:$H$1946,6,FALSE),""))</f>
        <v/>
      </c>
      <c r="R729" s="18" t="str">
        <f>IF($K729="","",IFERROR(VLOOKUP(--SUBSTITUTE(SUBSTITUTE(TRIM($K729),"-","")," ",""),마스터시트!$A$2:$H$1946,7,FALSE),""))</f>
        <v/>
      </c>
    </row>
    <row r="730" spans="13:18" x14ac:dyDescent="0.3">
      <c r="M730" s="18" t="str">
        <f>IF($K730="","",IFERROR(VLOOKUP(--SUBSTITUTE(SUBSTITUTE(TRIM($K730),"-","")," ",""),마스터시트!$A$2:$H$1946,2,FALSE),"미등록"))</f>
        <v/>
      </c>
      <c r="N730" s="53" t="str">
        <f>IF($K730="","",IFERROR(VLOOKUP(--SUBSTITUTE(SUBSTITUTE(TRIM($K730),"-","")," ",""),마스터시트!$A$2:$H$1946,3,FALSE),"미등록"))</f>
        <v/>
      </c>
      <c r="O730" s="18" t="str">
        <f>IF($K730="","",IFERROR(VLOOKUP(--SUBSTITUTE(SUBSTITUTE(TRIM($K730),"-","")," ",""),마스터시트!$A$2:$H$1946,4,FALSE),""))</f>
        <v/>
      </c>
      <c r="P730" s="18" t="str">
        <f>IF($K730="","",IFERROR(VLOOKUP(--SUBSTITUTE(SUBSTITUTE(TRIM($K730),"-","")," ",""),마스터시트!$A$2:$H$1946,5,FALSE),""))</f>
        <v/>
      </c>
      <c r="Q730" s="18" t="str">
        <f>IF($K730="","",IFERROR(VLOOKUP(--SUBSTITUTE(SUBSTITUTE(TRIM($K730),"-","")," ",""),마스터시트!$A$2:$H$1946,6,FALSE),""))</f>
        <v/>
      </c>
      <c r="R730" s="18" t="str">
        <f>IF($K730="","",IFERROR(VLOOKUP(--SUBSTITUTE(SUBSTITUTE(TRIM($K730),"-","")," ",""),마스터시트!$A$2:$H$1946,7,FALSE),""))</f>
        <v/>
      </c>
    </row>
    <row r="731" spans="13:18" x14ac:dyDescent="0.3">
      <c r="M731" s="18" t="str">
        <f>IF($K731="","",IFERROR(VLOOKUP(--SUBSTITUTE(SUBSTITUTE(TRIM($K731),"-","")," ",""),마스터시트!$A$2:$H$1946,2,FALSE),"미등록"))</f>
        <v/>
      </c>
      <c r="N731" s="53" t="str">
        <f>IF($K731="","",IFERROR(VLOOKUP(--SUBSTITUTE(SUBSTITUTE(TRIM($K731),"-","")," ",""),마스터시트!$A$2:$H$1946,3,FALSE),"미등록"))</f>
        <v/>
      </c>
      <c r="O731" s="18" t="str">
        <f>IF($K731="","",IFERROR(VLOOKUP(--SUBSTITUTE(SUBSTITUTE(TRIM($K731),"-","")," ",""),마스터시트!$A$2:$H$1946,4,FALSE),""))</f>
        <v/>
      </c>
      <c r="P731" s="18" t="str">
        <f>IF($K731="","",IFERROR(VLOOKUP(--SUBSTITUTE(SUBSTITUTE(TRIM($K731),"-","")," ",""),마스터시트!$A$2:$H$1946,5,FALSE),""))</f>
        <v/>
      </c>
      <c r="Q731" s="18" t="str">
        <f>IF($K731="","",IFERROR(VLOOKUP(--SUBSTITUTE(SUBSTITUTE(TRIM($K731),"-","")," ",""),마스터시트!$A$2:$H$1946,6,FALSE),""))</f>
        <v/>
      </c>
      <c r="R731" s="18" t="str">
        <f>IF($K731="","",IFERROR(VLOOKUP(--SUBSTITUTE(SUBSTITUTE(TRIM($K731),"-","")," ",""),마스터시트!$A$2:$H$1946,7,FALSE),""))</f>
        <v/>
      </c>
    </row>
    <row r="732" spans="13:18" x14ac:dyDescent="0.3">
      <c r="M732" s="18" t="str">
        <f>IF($K732="","",IFERROR(VLOOKUP(--SUBSTITUTE(SUBSTITUTE(TRIM($K732),"-","")," ",""),마스터시트!$A$2:$H$1946,2,FALSE),"미등록"))</f>
        <v/>
      </c>
      <c r="N732" s="53" t="str">
        <f>IF($K732="","",IFERROR(VLOOKUP(--SUBSTITUTE(SUBSTITUTE(TRIM($K732),"-","")," ",""),마스터시트!$A$2:$H$1946,3,FALSE),"미등록"))</f>
        <v/>
      </c>
      <c r="O732" s="18" t="str">
        <f>IF($K732="","",IFERROR(VLOOKUP(--SUBSTITUTE(SUBSTITUTE(TRIM($K732),"-","")," ",""),마스터시트!$A$2:$H$1946,4,FALSE),""))</f>
        <v/>
      </c>
      <c r="P732" s="18" t="str">
        <f>IF($K732="","",IFERROR(VLOOKUP(--SUBSTITUTE(SUBSTITUTE(TRIM($K732),"-","")," ",""),마스터시트!$A$2:$H$1946,5,FALSE),""))</f>
        <v/>
      </c>
      <c r="Q732" s="18" t="str">
        <f>IF($K732="","",IFERROR(VLOOKUP(--SUBSTITUTE(SUBSTITUTE(TRIM($K732),"-","")," ",""),마스터시트!$A$2:$H$1946,6,FALSE),""))</f>
        <v/>
      </c>
      <c r="R732" s="18" t="str">
        <f>IF($K732="","",IFERROR(VLOOKUP(--SUBSTITUTE(SUBSTITUTE(TRIM($K732),"-","")," ",""),마스터시트!$A$2:$H$1946,7,FALSE),""))</f>
        <v/>
      </c>
    </row>
    <row r="733" spans="13:18" x14ac:dyDescent="0.3">
      <c r="M733" s="18" t="str">
        <f>IF($K733="","",IFERROR(VLOOKUP(--SUBSTITUTE(SUBSTITUTE(TRIM($K733),"-","")," ",""),마스터시트!$A$2:$H$1946,2,FALSE),"미등록"))</f>
        <v/>
      </c>
      <c r="N733" s="53" t="str">
        <f>IF($K733="","",IFERROR(VLOOKUP(--SUBSTITUTE(SUBSTITUTE(TRIM($K733),"-","")," ",""),마스터시트!$A$2:$H$1946,3,FALSE),"미등록"))</f>
        <v/>
      </c>
      <c r="O733" s="18" t="str">
        <f>IF($K733="","",IFERROR(VLOOKUP(--SUBSTITUTE(SUBSTITUTE(TRIM($K733),"-","")," ",""),마스터시트!$A$2:$H$1946,4,FALSE),""))</f>
        <v/>
      </c>
      <c r="P733" s="18" t="str">
        <f>IF($K733="","",IFERROR(VLOOKUP(--SUBSTITUTE(SUBSTITUTE(TRIM($K733),"-","")," ",""),마스터시트!$A$2:$H$1946,5,FALSE),""))</f>
        <v/>
      </c>
      <c r="Q733" s="18" t="str">
        <f>IF($K733="","",IFERROR(VLOOKUP(--SUBSTITUTE(SUBSTITUTE(TRIM($K733),"-","")," ",""),마스터시트!$A$2:$H$1946,6,FALSE),""))</f>
        <v/>
      </c>
      <c r="R733" s="18" t="str">
        <f>IF($K733="","",IFERROR(VLOOKUP(--SUBSTITUTE(SUBSTITUTE(TRIM($K733),"-","")," ",""),마스터시트!$A$2:$H$1946,7,FALSE),""))</f>
        <v/>
      </c>
    </row>
    <row r="734" spans="13:18" x14ac:dyDescent="0.3">
      <c r="M734" s="18" t="str">
        <f>IF($K734="","",IFERROR(VLOOKUP(--SUBSTITUTE(SUBSTITUTE(TRIM($K734),"-","")," ",""),마스터시트!$A$2:$H$1946,2,FALSE),"미등록"))</f>
        <v/>
      </c>
      <c r="N734" s="53" t="str">
        <f>IF($K734="","",IFERROR(VLOOKUP(--SUBSTITUTE(SUBSTITUTE(TRIM($K734),"-","")," ",""),마스터시트!$A$2:$H$1946,3,FALSE),"미등록"))</f>
        <v/>
      </c>
      <c r="O734" s="18" t="str">
        <f>IF($K734="","",IFERROR(VLOOKUP(--SUBSTITUTE(SUBSTITUTE(TRIM($K734),"-","")," ",""),마스터시트!$A$2:$H$1946,4,FALSE),""))</f>
        <v/>
      </c>
      <c r="P734" s="18" t="str">
        <f>IF($K734="","",IFERROR(VLOOKUP(--SUBSTITUTE(SUBSTITUTE(TRIM($K734),"-","")," ",""),마스터시트!$A$2:$H$1946,5,FALSE),""))</f>
        <v/>
      </c>
      <c r="Q734" s="18" t="str">
        <f>IF($K734="","",IFERROR(VLOOKUP(--SUBSTITUTE(SUBSTITUTE(TRIM($K734),"-","")," ",""),마스터시트!$A$2:$H$1946,6,FALSE),""))</f>
        <v/>
      </c>
      <c r="R734" s="18" t="str">
        <f>IF($K734="","",IFERROR(VLOOKUP(--SUBSTITUTE(SUBSTITUTE(TRIM($K734),"-","")," ",""),마스터시트!$A$2:$H$1946,7,FALSE),""))</f>
        <v/>
      </c>
    </row>
    <row r="735" spans="13:18" x14ac:dyDescent="0.3">
      <c r="M735" s="18" t="str">
        <f>IF($K735="","",IFERROR(VLOOKUP(--SUBSTITUTE(SUBSTITUTE(TRIM($K735),"-","")," ",""),마스터시트!$A$2:$H$1946,2,FALSE),"미등록"))</f>
        <v/>
      </c>
      <c r="N735" s="53" t="str">
        <f>IF($K735="","",IFERROR(VLOOKUP(--SUBSTITUTE(SUBSTITUTE(TRIM($K735),"-","")," ",""),마스터시트!$A$2:$H$1946,3,FALSE),"미등록"))</f>
        <v/>
      </c>
      <c r="O735" s="18" t="str">
        <f>IF($K735="","",IFERROR(VLOOKUP(--SUBSTITUTE(SUBSTITUTE(TRIM($K735),"-","")," ",""),마스터시트!$A$2:$H$1946,4,FALSE),""))</f>
        <v/>
      </c>
      <c r="P735" s="18" t="str">
        <f>IF($K735="","",IFERROR(VLOOKUP(--SUBSTITUTE(SUBSTITUTE(TRIM($K735),"-","")," ",""),마스터시트!$A$2:$H$1946,5,FALSE),""))</f>
        <v/>
      </c>
      <c r="Q735" s="18" t="str">
        <f>IF($K735="","",IFERROR(VLOOKUP(--SUBSTITUTE(SUBSTITUTE(TRIM($K735),"-","")," ",""),마스터시트!$A$2:$H$1946,6,FALSE),""))</f>
        <v/>
      </c>
      <c r="R735" s="18" t="str">
        <f>IF($K735="","",IFERROR(VLOOKUP(--SUBSTITUTE(SUBSTITUTE(TRIM($K735),"-","")," ",""),마스터시트!$A$2:$H$1946,7,FALSE),""))</f>
        <v/>
      </c>
    </row>
    <row r="736" spans="13:18" x14ac:dyDescent="0.3">
      <c r="M736" s="18" t="str">
        <f>IF($K736="","",IFERROR(VLOOKUP(--SUBSTITUTE(SUBSTITUTE(TRIM($K736),"-","")," ",""),마스터시트!$A$2:$H$1946,2,FALSE),"미등록"))</f>
        <v/>
      </c>
      <c r="N736" s="53" t="str">
        <f>IF($K736="","",IFERROR(VLOOKUP(--SUBSTITUTE(SUBSTITUTE(TRIM($K736),"-","")," ",""),마스터시트!$A$2:$H$1946,3,FALSE),"미등록"))</f>
        <v/>
      </c>
      <c r="O736" s="18" t="str">
        <f>IF($K736="","",IFERROR(VLOOKUP(--SUBSTITUTE(SUBSTITUTE(TRIM($K736),"-","")," ",""),마스터시트!$A$2:$H$1946,4,FALSE),""))</f>
        <v/>
      </c>
      <c r="P736" s="18" t="str">
        <f>IF($K736="","",IFERROR(VLOOKUP(--SUBSTITUTE(SUBSTITUTE(TRIM($K736),"-","")," ",""),마스터시트!$A$2:$H$1946,5,FALSE),""))</f>
        <v/>
      </c>
      <c r="Q736" s="18" t="str">
        <f>IF($K736="","",IFERROR(VLOOKUP(--SUBSTITUTE(SUBSTITUTE(TRIM($K736),"-","")," ",""),마스터시트!$A$2:$H$1946,6,FALSE),""))</f>
        <v/>
      </c>
      <c r="R736" s="18" t="str">
        <f>IF($K736="","",IFERROR(VLOOKUP(--SUBSTITUTE(SUBSTITUTE(TRIM($K736),"-","")," ",""),마스터시트!$A$2:$H$1946,7,FALSE),""))</f>
        <v/>
      </c>
    </row>
    <row r="737" spans="13:18" x14ac:dyDescent="0.3">
      <c r="M737" s="18" t="str">
        <f>IF($K737="","",IFERROR(VLOOKUP(--SUBSTITUTE(SUBSTITUTE(TRIM($K737),"-","")," ",""),마스터시트!$A$2:$H$1946,2,FALSE),"미등록"))</f>
        <v/>
      </c>
      <c r="N737" s="53" t="str">
        <f>IF($K737="","",IFERROR(VLOOKUP(--SUBSTITUTE(SUBSTITUTE(TRIM($K737),"-","")," ",""),마스터시트!$A$2:$H$1946,3,FALSE),"미등록"))</f>
        <v/>
      </c>
      <c r="O737" s="18" t="str">
        <f>IF($K737="","",IFERROR(VLOOKUP(--SUBSTITUTE(SUBSTITUTE(TRIM($K737),"-","")," ",""),마스터시트!$A$2:$H$1946,4,FALSE),""))</f>
        <v/>
      </c>
      <c r="P737" s="18" t="str">
        <f>IF($K737="","",IFERROR(VLOOKUP(--SUBSTITUTE(SUBSTITUTE(TRIM($K737),"-","")," ",""),마스터시트!$A$2:$H$1946,5,FALSE),""))</f>
        <v/>
      </c>
      <c r="Q737" s="18" t="str">
        <f>IF($K737="","",IFERROR(VLOOKUP(--SUBSTITUTE(SUBSTITUTE(TRIM($K737),"-","")," ",""),마스터시트!$A$2:$H$1946,6,FALSE),""))</f>
        <v/>
      </c>
      <c r="R737" s="18" t="str">
        <f>IF($K737="","",IFERROR(VLOOKUP(--SUBSTITUTE(SUBSTITUTE(TRIM($K737),"-","")," ",""),마스터시트!$A$2:$H$1946,7,FALSE),""))</f>
        <v/>
      </c>
    </row>
    <row r="738" spans="13:18" x14ac:dyDescent="0.3">
      <c r="M738" s="18" t="str">
        <f>IF($K738="","",IFERROR(VLOOKUP(--SUBSTITUTE(SUBSTITUTE(TRIM($K738),"-","")," ",""),마스터시트!$A$2:$H$1946,2,FALSE),"미등록"))</f>
        <v/>
      </c>
      <c r="N738" s="53" t="str">
        <f>IF($K738="","",IFERROR(VLOOKUP(--SUBSTITUTE(SUBSTITUTE(TRIM($K738),"-","")," ",""),마스터시트!$A$2:$H$1946,3,FALSE),"미등록"))</f>
        <v/>
      </c>
      <c r="O738" s="18" t="str">
        <f>IF($K738="","",IFERROR(VLOOKUP(--SUBSTITUTE(SUBSTITUTE(TRIM($K738),"-","")," ",""),마스터시트!$A$2:$H$1946,4,FALSE),""))</f>
        <v/>
      </c>
      <c r="P738" s="18" t="str">
        <f>IF($K738="","",IFERROR(VLOOKUP(--SUBSTITUTE(SUBSTITUTE(TRIM($K738),"-","")," ",""),마스터시트!$A$2:$H$1946,5,FALSE),""))</f>
        <v/>
      </c>
      <c r="Q738" s="18" t="str">
        <f>IF($K738="","",IFERROR(VLOOKUP(--SUBSTITUTE(SUBSTITUTE(TRIM($K738),"-","")," ",""),마스터시트!$A$2:$H$1946,6,FALSE),""))</f>
        <v/>
      </c>
      <c r="R738" s="18" t="str">
        <f>IF($K738="","",IFERROR(VLOOKUP(--SUBSTITUTE(SUBSTITUTE(TRIM($K738),"-","")," ",""),마스터시트!$A$2:$H$1946,7,FALSE),""))</f>
        <v/>
      </c>
    </row>
    <row r="739" spans="13:18" x14ac:dyDescent="0.3">
      <c r="M739" s="18" t="str">
        <f>IF($K739="","",IFERROR(VLOOKUP(--SUBSTITUTE(SUBSTITUTE(TRIM($K739),"-","")," ",""),마스터시트!$A$2:$H$1946,2,FALSE),"미등록"))</f>
        <v/>
      </c>
      <c r="N739" s="53" t="str">
        <f>IF($K739="","",IFERROR(VLOOKUP(--SUBSTITUTE(SUBSTITUTE(TRIM($K739),"-","")," ",""),마스터시트!$A$2:$H$1946,3,FALSE),"미등록"))</f>
        <v/>
      </c>
      <c r="O739" s="18" t="str">
        <f>IF($K739="","",IFERROR(VLOOKUP(--SUBSTITUTE(SUBSTITUTE(TRIM($K739),"-","")," ",""),마스터시트!$A$2:$H$1946,4,FALSE),""))</f>
        <v/>
      </c>
      <c r="P739" s="18" t="str">
        <f>IF($K739="","",IFERROR(VLOOKUP(--SUBSTITUTE(SUBSTITUTE(TRIM($K739),"-","")," ",""),마스터시트!$A$2:$H$1946,5,FALSE),""))</f>
        <v/>
      </c>
      <c r="Q739" s="18" t="str">
        <f>IF($K739="","",IFERROR(VLOOKUP(--SUBSTITUTE(SUBSTITUTE(TRIM($K739),"-","")," ",""),마스터시트!$A$2:$H$1946,6,FALSE),""))</f>
        <v/>
      </c>
      <c r="R739" s="18" t="str">
        <f>IF($K739="","",IFERROR(VLOOKUP(--SUBSTITUTE(SUBSTITUTE(TRIM($K739),"-","")," ",""),마스터시트!$A$2:$H$1946,7,FALSE),""))</f>
        <v/>
      </c>
    </row>
    <row r="740" spans="13:18" x14ac:dyDescent="0.3">
      <c r="M740" s="18" t="str">
        <f>IF($K740="","",IFERROR(VLOOKUP(--SUBSTITUTE(SUBSTITUTE(TRIM($K740),"-","")," ",""),마스터시트!$A$2:$H$1946,2,FALSE),"미등록"))</f>
        <v/>
      </c>
      <c r="N740" s="53" t="str">
        <f>IF($K740="","",IFERROR(VLOOKUP(--SUBSTITUTE(SUBSTITUTE(TRIM($K740),"-","")," ",""),마스터시트!$A$2:$H$1946,3,FALSE),"미등록"))</f>
        <v/>
      </c>
      <c r="O740" s="18" t="str">
        <f>IF($K740="","",IFERROR(VLOOKUP(--SUBSTITUTE(SUBSTITUTE(TRIM($K740),"-","")," ",""),마스터시트!$A$2:$H$1946,4,FALSE),""))</f>
        <v/>
      </c>
      <c r="P740" s="18" t="str">
        <f>IF($K740="","",IFERROR(VLOOKUP(--SUBSTITUTE(SUBSTITUTE(TRIM($K740),"-","")," ",""),마스터시트!$A$2:$H$1946,5,FALSE),""))</f>
        <v/>
      </c>
      <c r="Q740" s="18" t="str">
        <f>IF($K740="","",IFERROR(VLOOKUP(--SUBSTITUTE(SUBSTITUTE(TRIM($K740),"-","")," ",""),마스터시트!$A$2:$H$1946,6,FALSE),""))</f>
        <v/>
      </c>
      <c r="R740" s="18" t="str">
        <f>IF($K740="","",IFERROR(VLOOKUP(--SUBSTITUTE(SUBSTITUTE(TRIM($K740),"-","")," ",""),마스터시트!$A$2:$H$1946,7,FALSE),""))</f>
        <v/>
      </c>
    </row>
    <row r="741" spans="13:18" x14ac:dyDescent="0.3">
      <c r="M741" s="18" t="str">
        <f>IF($K741="","",IFERROR(VLOOKUP(--SUBSTITUTE(SUBSTITUTE(TRIM($K741),"-","")," ",""),마스터시트!$A$2:$H$1946,2,FALSE),"미등록"))</f>
        <v/>
      </c>
      <c r="N741" s="53" t="str">
        <f>IF($K741="","",IFERROR(VLOOKUP(--SUBSTITUTE(SUBSTITUTE(TRIM($K741),"-","")," ",""),마스터시트!$A$2:$H$1946,3,FALSE),"미등록"))</f>
        <v/>
      </c>
      <c r="O741" s="18" t="str">
        <f>IF($K741="","",IFERROR(VLOOKUP(--SUBSTITUTE(SUBSTITUTE(TRIM($K741),"-","")," ",""),마스터시트!$A$2:$H$1946,4,FALSE),""))</f>
        <v/>
      </c>
      <c r="P741" s="18" t="str">
        <f>IF($K741="","",IFERROR(VLOOKUP(--SUBSTITUTE(SUBSTITUTE(TRIM($K741),"-","")," ",""),마스터시트!$A$2:$H$1946,5,FALSE),""))</f>
        <v/>
      </c>
      <c r="Q741" s="18" t="str">
        <f>IF($K741="","",IFERROR(VLOOKUP(--SUBSTITUTE(SUBSTITUTE(TRIM($K741),"-","")," ",""),마스터시트!$A$2:$H$1946,6,FALSE),""))</f>
        <v/>
      </c>
      <c r="R741" s="18" t="str">
        <f>IF($K741="","",IFERROR(VLOOKUP(--SUBSTITUTE(SUBSTITUTE(TRIM($K741),"-","")," ",""),마스터시트!$A$2:$H$1946,7,FALSE),""))</f>
        <v/>
      </c>
    </row>
    <row r="742" spans="13:18" x14ac:dyDescent="0.3">
      <c r="M742" s="18" t="str">
        <f>IF($K742="","",IFERROR(VLOOKUP(--SUBSTITUTE(SUBSTITUTE(TRIM($K742),"-","")," ",""),마스터시트!$A$2:$H$1946,2,FALSE),"미등록"))</f>
        <v/>
      </c>
      <c r="N742" s="53" t="str">
        <f>IF($K742="","",IFERROR(VLOOKUP(--SUBSTITUTE(SUBSTITUTE(TRIM($K742),"-","")," ",""),마스터시트!$A$2:$H$1946,3,FALSE),"미등록"))</f>
        <v/>
      </c>
      <c r="O742" s="18" t="str">
        <f>IF($K742="","",IFERROR(VLOOKUP(--SUBSTITUTE(SUBSTITUTE(TRIM($K742),"-","")," ",""),마스터시트!$A$2:$H$1946,4,FALSE),""))</f>
        <v/>
      </c>
      <c r="P742" s="18" t="str">
        <f>IF($K742="","",IFERROR(VLOOKUP(--SUBSTITUTE(SUBSTITUTE(TRIM($K742),"-","")," ",""),마스터시트!$A$2:$H$1946,5,FALSE),""))</f>
        <v/>
      </c>
      <c r="Q742" s="18" t="str">
        <f>IF($K742="","",IFERROR(VLOOKUP(--SUBSTITUTE(SUBSTITUTE(TRIM($K742),"-","")," ",""),마스터시트!$A$2:$H$1946,6,FALSE),""))</f>
        <v/>
      </c>
      <c r="R742" s="18" t="str">
        <f>IF($K742="","",IFERROR(VLOOKUP(--SUBSTITUTE(SUBSTITUTE(TRIM($K742),"-","")," ",""),마스터시트!$A$2:$H$1946,7,FALSE),""))</f>
        <v/>
      </c>
    </row>
    <row r="743" spans="13:18" x14ac:dyDescent="0.3">
      <c r="M743" s="18" t="str">
        <f>IF($K743="","",IFERROR(VLOOKUP(--SUBSTITUTE(SUBSTITUTE(TRIM($K743),"-","")," ",""),마스터시트!$A$2:$H$1946,2,FALSE),"미등록"))</f>
        <v/>
      </c>
      <c r="N743" s="53" t="str">
        <f>IF($K743="","",IFERROR(VLOOKUP(--SUBSTITUTE(SUBSTITUTE(TRIM($K743),"-","")," ",""),마스터시트!$A$2:$H$1946,3,FALSE),"미등록"))</f>
        <v/>
      </c>
      <c r="O743" s="18" t="str">
        <f>IF($K743="","",IFERROR(VLOOKUP(--SUBSTITUTE(SUBSTITUTE(TRIM($K743),"-","")," ",""),마스터시트!$A$2:$H$1946,4,FALSE),""))</f>
        <v/>
      </c>
      <c r="P743" s="18" t="str">
        <f>IF($K743="","",IFERROR(VLOOKUP(--SUBSTITUTE(SUBSTITUTE(TRIM($K743),"-","")," ",""),마스터시트!$A$2:$H$1946,5,FALSE),""))</f>
        <v/>
      </c>
      <c r="Q743" s="18" t="str">
        <f>IF($K743="","",IFERROR(VLOOKUP(--SUBSTITUTE(SUBSTITUTE(TRIM($K743),"-","")," ",""),마스터시트!$A$2:$H$1946,6,FALSE),""))</f>
        <v/>
      </c>
      <c r="R743" s="18" t="str">
        <f>IF($K743="","",IFERROR(VLOOKUP(--SUBSTITUTE(SUBSTITUTE(TRIM($K743),"-","")," ",""),마스터시트!$A$2:$H$1946,7,FALSE),""))</f>
        <v/>
      </c>
    </row>
    <row r="744" spans="13:18" x14ac:dyDescent="0.3">
      <c r="M744" s="18" t="str">
        <f>IF($K744="","",IFERROR(VLOOKUP(--SUBSTITUTE(SUBSTITUTE(TRIM($K744),"-","")," ",""),마스터시트!$A$2:$H$1946,2,FALSE),"미등록"))</f>
        <v/>
      </c>
      <c r="N744" s="53" t="str">
        <f>IF($K744="","",IFERROR(VLOOKUP(--SUBSTITUTE(SUBSTITUTE(TRIM($K744),"-","")," ",""),마스터시트!$A$2:$H$1946,3,FALSE),"미등록"))</f>
        <v/>
      </c>
      <c r="O744" s="18" t="str">
        <f>IF($K744="","",IFERROR(VLOOKUP(--SUBSTITUTE(SUBSTITUTE(TRIM($K744),"-","")," ",""),마스터시트!$A$2:$H$1946,4,FALSE),""))</f>
        <v/>
      </c>
      <c r="P744" s="18" t="str">
        <f>IF($K744="","",IFERROR(VLOOKUP(--SUBSTITUTE(SUBSTITUTE(TRIM($K744),"-","")," ",""),마스터시트!$A$2:$H$1946,5,FALSE),""))</f>
        <v/>
      </c>
      <c r="Q744" s="18" t="str">
        <f>IF($K744="","",IFERROR(VLOOKUP(--SUBSTITUTE(SUBSTITUTE(TRIM($K744),"-","")," ",""),마스터시트!$A$2:$H$1946,6,FALSE),""))</f>
        <v/>
      </c>
      <c r="R744" s="18" t="str">
        <f>IF($K744="","",IFERROR(VLOOKUP(--SUBSTITUTE(SUBSTITUTE(TRIM($K744),"-","")," ",""),마스터시트!$A$2:$H$1946,7,FALSE),""))</f>
        <v/>
      </c>
    </row>
    <row r="745" spans="13:18" x14ac:dyDescent="0.3">
      <c r="M745" s="18" t="str">
        <f>IF($K745="","",IFERROR(VLOOKUP(--SUBSTITUTE(SUBSTITUTE(TRIM($K745),"-","")," ",""),마스터시트!$A$2:$H$1946,2,FALSE),"미등록"))</f>
        <v/>
      </c>
      <c r="N745" s="53" t="str">
        <f>IF($K745="","",IFERROR(VLOOKUP(--SUBSTITUTE(SUBSTITUTE(TRIM($K745),"-","")," ",""),마스터시트!$A$2:$H$1946,3,FALSE),"미등록"))</f>
        <v/>
      </c>
      <c r="O745" s="18" t="str">
        <f>IF($K745="","",IFERROR(VLOOKUP(--SUBSTITUTE(SUBSTITUTE(TRIM($K745),"-","")," ",""),마스터시트!$A$2:$H$1946,4,FALSE),""))</f>
        <v/>
      </c>
      <c r="P745" s="18" t="str">
        <f>IF($K745="","",IFERROR(VLOOKUP(--SUBSTITUTE(SUBSTITUTE(TRIM($K745),"-","")," ",""),마스터시트!$A$2:$H$1946,5,FALSE),""))</f>
        <v/>
      </c>
      <c r="Q745" s="18" t="str">
        <f>IF($K745="","",IFERROR(VLOOKUP(--SUBSTITUTE(SUBSTITUTE(TRIM($K745),"-","")," ",""),마스터시트!$A$2:$H$1946,6,FALSE),""))</f>
        <v/>
      </c>
      <c r="R745" s="18" t="str">
        <f>IF($K745="","",IFERROR(VLOOKUP(--SUBSTITUTE(SUBSTITUTE(TRIM($K745),"-","")," ",""),마스터시트!$A$2:$H$1946,7,FALSE),""))</f>
        <v/>
      </c>
    </row>
    <row r="746" spans="13:18" x14ac:dyDescent="0.3">
      <c r="M746" s="18" t="str">
        <f>IF($K746="","",IFERROR(VLOOKUP(--SUBSTITUTE(SUBSTITUTE(TRIM($K746),"-","")," ",""),마스터시트!$A$2:$H$1946,2,FALSE),"미등록"))</f>
        <v/>
      </c>
      <c r="N746" s="53" t="str">
        <f>IF($K746="","",IFERROR(VLOOKUP(--SUBSTITUTE(SUBSTITUTE(TRIM($K746),"-","")," ",""),마스터시트!$A$2:$H$1946,3,FALSE),"미등록"))</f>
        <v/>
      </c>
      <c r="O746" s="18" t="str">
        <f>IF($K746="","",IFERROR(VLOOKUP(--SUBSTITUTE(SUBSTITUTE(TRIM($K746),"-","")," ",""),마스터시트!$A$2:$H$1946,4,FALSE),""))</f>
        <v/>
      </c>
      <c r="P746" s="18" t="str">
        <f>IF($K746="","",IFERROR(VLOOKUP(--SUBSTITUTE(SUBSTITUTE(TRIM($K746),"-","")," ",""),마스터시트!$A$2:$H$1946,5,FALSE),""))</f>
        <v/>
      </c>
      <c r="Q746" s="18" t="str">
        <f>IF($K746="","",IFERROR(VLOOKUP(--SUBSTITUTE(SUBSTITUTE(TRIM($K746),"-","")," ",""),마스터시트!$A$2:$H$1946,6,FALSE),""))</f>
        <v/>
      </c>
      <c r="R746" s="18" t="str">
        <f>IF($K746="","",IFERROR(VLOOKUP(--SUBSTITUTE(SUBSTITUTE(TRIM($K746),"-","")," ",""),마스터시트!$A$2:$H$1946,7,FALSE),""))</f>
        <v/>
      </c>
    </row>
    <row r="747" spans="13:18" x14ac:dyDescent="0.3">
      <c r="M747" s="18" t="str">
        <f>IF($K747="","",IFERROR(VLOOKUP(--SUBSTITUTE(SUBSTITUTE(TRIM($K747),"-","")," ",""),마스터시트!$A$2:$H$1946,2,FALSE),"미등록"))</f>
        <v/>
      </c>
      <c r="N747" s="53" t="str">
        <f>IF($K747="","",IFERROR(VLOOKUP(--SUBSTITUTE(SUBSTITUTE(TRIM($K747),"-","")," ",""),마스터시트!$A$2:$H$1946,3,FALSE),"미등록"))</f>
        <v/>
      </c>
      <c r="O747" s="18" t="str">
        <f>IF($K747="","",IFERROR(VLOOKUP(--SUBSTITUTE(SUBSTITUTE(TRIM($K747),"-","")," ",""),마스터시트!$A$2:$H$1946,4,FALSE),""))</f>
        <v/>
      </c>
      <c r="P747" s="18" t="str">
        <f>IF($K747="","",IFERROR(VLOOKUP(--SUBSTITUTE(SUBSTITUTE(TRIM($K747),"-","")," ",""),마스터시트!$A$2:$H$1946,5,FALSE),""))</f>
        <v/>
      </c>
      <c r="Q747" s="18" t="str">
        <f>IF($K747="","",IFERROR(VLOOKUP(--SUBSTITUTE(SUBSTITUTE(TRIM($K747),"-","")," ",""),마스터시트!$A$2:$H$1946,6,FALSE),""))</f>
        <v/>
      </c>
      <c r="R747" s="18" t="str">
        <f>IF($K747="","",IFERROR(VLOOKUP(--SUBSTITUTE(SUBSTITUTE(TRIM($K747),"-","")," ",""),마스터시트!$A$2:$H$1946,7,FALSE),""))</f>
        <v/>
      </c>
    </row>
    <row r="748" spans="13:18" x14ac:dyDescent="0.3">
      <c r="M748" s="18" t="str">
        <f>IF($K748="","",IFERROR(VLOOKUP(--SUBSTITUTE(SUBSTITUTE(TRIM($K748),"-","")," ",""),마스터시트!$A$2:$H$1946,2,FALSE),"미등록"))</f>
        <v/>
      </c>
      <c r="N748" s="53" t="str">
        <f>IF($K748="","",IFERROR(VLOOKUP(--SUBSTITUTE(SUBSTITUTE(TRIM($K748),"-","")," ",""),마스터시트!$A$2:$H$1946,3,FALSE),"미등록"))</f>
        <v/>
      </c>
      <c r="O748" s="18" t="str">
        <f>IF($K748="","",IFERROR(VLOOKUP(--SUBSTITUTE(SUBSTITUTE(TRIM($K748),"-","")," ",""),마스터시트!$A$2:$H$1946,4,FALSE),""))</f>
        <v/>
      </c>
      <c r="P748" s="18" t="str">
        <f>IF($K748="","",IFERROR(VLOOKUP(--SUBSTITUTE(SUBSTITUTE(TRIM($K748),"-","")," ",""),마스터시트!$A$2:$H$1946,5,FALSE),""))</f>
        <v/>
      </c>
      <c r="Q748" s="18" t="str">
        <f>IF($K748="","",IFERROR(VLOOKUP(--SUBSTITUTE(SUBSTITUTE(TRIM($K748),"-","")," ",""),마스터시트!$A$2:$H$1946,6,FALSE),""))</f>
        <v/>
      </c>
      <c r="R748" s="18" t="str">
        <f>IF($K748="","",IFERROR(VLOOKUP(--SUBSTITUTE(SUBSTITUTE(TRIM($K748),"-","")," ",""),마스터시트!$A$2:$H$1946,7,FALSE),""))</f>
        <v/>
      </c>
    </row>
    <row r="749" spans="13:18" x14ac:dyDescent="0.3">
      <c r="M749" s="18" t="str">
        <f>IF($K749="","",IFERROR(VLOOKUP(--SUBSTITUTE(SUBSTITUTE(TRIM($K749),"-","")," ",""),마스터시트!$A$2:$H$1946,2,FALSE),"미등록"))</f>
        <v/>
      </c>
      <c r="N749" s="53" t="str">
        <f>IF($K749="","",IFERROR(VLOOKUP(--SUBSTITUTE(SUBSTITUTE(TRIM($K749),"-","")," ",""),마스터시트!$A$2:$H$1946,3,FALSE),"미등록"))</f>
        <v/>
      </c>
      <c r="O749" s="18" t="str">
        <f>IF($K749="","",IFERROR(VLOOKUP(--SUBSTITUTE(SUBSTITUTE(TRIM($K749),"-","")," ",""),마스터시트!$A$2:$H$1946,4,FALSE),""))</f>
        <v/>
      </c>
      <c r="P749" s="18" t="str">
        <f>IF($K749="","",IFERROR(VLOOKUP(--SUBSTITUTE(SUBSTITUTE(TRIM($K749),"-","")," ",""),마스터시트!$A$2:$H$1946,5,FALSE),""))</f>
        <v/>
      </c>
      <c r="Q749" s="18" t="str">
        <f>IF($K749="","",IFERROR(VLOOKUP(--SUBSTITUTE(SUBSTITUTE(TRIM($K749),"-","")," ",""),마스터시트!$A$2:$H$1946,6,FALSE),""))</f>
        <v/>
      </c>
      <c r="R749" s="18" t="str">
        <f>IF($K749="","",IFERROR(VLOOKUP(--SUBSTITUTE(SUBSTITUTE(TRIM($K749),"-","")," ",""),마스터시트!$A$2:$H$1946,7,FALSE),""))</f>
        <v/>
      </c>
    </row>
    <row r="750" spans="13:18" x14ac:dyDescent="0.3">
      <c r="M750" s="18" t="str">
        <f>IF($K750="","",IFERROR(VLOOKUP(--SUBSTITUTE(SUBSTITUTE(TRIM($K750),"-","")," ",""),마스터시트!$A$2:$H$1946,2,FALSE),"미등록"))</f>
        <v/>
      </c>
      <c r="N750" s="53" t="str">
        <f>IF($K750="","",IFERROR(VLOOKUP(--SUBSTITUTE(SUBSTITUTE(TRIM($K750),"-","")," ",""),마스터시트!$A$2:$H$1946,3,FALSE),"미등록"))</f>
        <v/>
      </c>
      <c r="O750" s="18" t="str">
        <f>IF($K750="","",IFERROR(VLOOKUP(--SUBSTITUTE(SUBSTITUTE(TRIM($K750),"-","")," ",""),마스터시트!$A$2:$H$1946,4,FALSE),""))</f>
        <v/>
      </c>
      <c r="P750" s="18" t="str">
        <f>IF($K750="","",IFERROR(VLOOKUP(--SUBSTITUTE(SUBSTITUTE(TRIM($K750),"-","")," ",""),마스터시트!$A$2:$H$1946,5,FALSE),""))</f>
        <v/>
      </c>
      <c r="Q750" s="18" t="str">
        <f>IF($K750="","",IFERROR(VLOOKUP(--SUBSTITUTE(SUBSTITUTE(TRIM($K750),"-","")," ",""),마스터시트!$A$2:$H$1946,6,FALSE),""))</f>
        <v/>
      </c>
      <c r="R750" s="18" t="str">
        <f>IF($K750="","",IFERROR(VLOOKUP(--SUBSTITUTE(SUBSTITUTE(TRIM($K750),"-","")," ",""),마스터시트!$A$2:$H$1946,7,FALSE),""))</f>
        <v/>
      </c>
    </row>
    <row r="751" spans="13:18" x14ac:dyDescent="0.3">
      <c r="M751" s="18" t="str">
        <f>IF($K751="","",IFERROR(VLOOKUP(--SUBSTITUTE(SUBSTITUTE(TRIM($K751),"-","")," ",""),마스터시트!$A$2:$H$1946,2,FALSE),"미등록"))</f>
        <v/>
      </c>
      <c r="N751" s="53" t="str">
        <f>IF($K751="","",IFERROR(VLOOKUP(--SUBSTITUTE(SUBSTITUTE(TRIM($K751),"-","")," ",""),마스터시트!$A$2:$H$1946,3,FALSE),"미등록"))</f>
        <v/>
      </c>
      <c r="O751" s="18" t="str">
        <f>IF($K751="","",IFERROR(VLOOKUP(--SUBSTITUTE(SUBSTITUTE(TRIM($K751),"-","")," ",""),마스터시트!$A$2:$H$1946,4,FALSE),""))</f>
        <v/>
      </c>
      <c r="P751" s="18" t="str">
        <f>IF($K751="","",IFERROR(VLOOKUP(--SUBSTITUTE(SUBSTITUTE(TRIM($K751),"-","")," ",""),마스터시트!$A$2:$H$1946,5,FALSE),""))</f>
        <v/>
      </c>
      <c r="Q751" s="18" t="str">
        <f>IF($K751="","",IFERROR(VLOOKUP(--SUBSTITUTE(SUBSTITUTE(TRIM($K751),"-","")," ",""),마스터시트!$A$2:$H$1946,6,FALSE),""))</f>
        <v/>
      </c>
      <c r="R751" s="18" t="str">
        <f>IF($K751="","",IFERROR(VLOOKUP(--SUBSTITUTE(SUBSTITUTE(TRIM($K751),"-","")," ",""),마스터시트!$A$2:$H$1946,7,FALSE),""))</f>
        <v/>
      </c>
    </row>
    <row r="752" spans="13:18" x14ac:dyDescent="0.3">
      <c r="M752" s="18" t="str">
        <f>IF($K752="","",IFERROR(VLOOKUP(--SUBSTITUTE(SUBSTITUTE(TRIM($K752),"-","")," ",""),마스터시트!$A$2:$H$1946,2,FALSE),"미등록"))</f>
        <v/>
      </c>
      <c r="N752" s="53" t="str">
        <f>IF($K752="","",IFERROR(VLOOKUP(--SUBSTITUTE(SUBSTITUTE(TRIM($K752),"-","")," ",""),마스터시트!$A$2:$H$1946,3,FALSE),"미등록"))</f>
        <v/>
      </c>
      <c r="O752" s="18" t="str">
        <f>IF($K752="","",IFERROR(VLOOKUP(--SUBSTITUTE(SUBSTITUTE(TRIM($K752),"-","")," ",""),마스터시트!$A$2:$H$1946,4,FALSE),""))</f>
        <v/>
      </c>
      <c r="P752" s="18" t="str">
        <f>IF($K752="","",IFERROR(VLOOKUP(--SUBSTITUTE(SUBSTITUTE(TRIM($K752),"-","")," ",""),마스터시트!$A$2:$H$1946,5,FALSE),""))</f>
        <v/>
      </c>
      <c r="Q752" s="18" t="str">
        <f>IF($K752="","",IFERROR(VLOOKUP(--SUBSTITUTE(SUBSTITUTE(TRIM($K752),"-","")," ",""),마스터시트!$A$2:$H$1946,6,FALSE),""))</f>
        <v/>
      </c>
      <c r="R752" s="18" t="str">
        <f>IF($K752="","",IFERROR(VLOOKUP(--SUBSTITUTE(SUBSTITUTE(TRIM($K752),"-","")," ",""),마스터시트!$A$2:$H$1946,7,FALSE),""))</f>
        <v/>
      </c>
    </row>
    <row r="753" spans="13:18" x14ac:dyDescent="0.3">
      <c r="M753" s="18" t="str">
        <f>IF($K753="","",IFERROR(VLOOKUP(--SUBSTITUTE(SUBSTITUTE(TRIM($K753),"-","")," ",""),마스터시트!$A$2:$H$1946,2,FALSE),"미등록"))</f>
        <v/>
      </c>
      <c r="N753" s="53" t="str">
        <f>IF($K753="","",IFERROR(VLOOKUP(--SUBSTITUTE(SUBSTITUTE(TRIM($K753),"-","")," ",""),마스터시트!$A$2:$H$1946,3,FALSE),"미등록"))</f>
        <v/>
      </c>
      <c r="O753" s="18" t="str">
        <f>IF($K753="","",IFERROR(VLOOKUP(--SUBSTITUTE(SUBSTITUTE(TRIM($K753),"-","")," ",""),마스터시트!$A$2:$H$1946,4,FALSE),""))</f>
        <v/>
      </c>
      <c r="P753" s="18" t="str">
        <f>IF($K753="","",IFERROR(VLOOKUP(--SUBSTITUTE(SUBSTITUTE(TRIM($K753),"-","")," ",""),마스터시트!$A$2:$H$1946,5,FALSE),""))</f>
        <v/>
      </c>
      <c r="Q753" s="18" t="str">
        <f>IF($K753="","",IFERROR(VLOOKUP(--SUBSTITUTE(SUBSTITUTE(TRIM($K753),"-","")," ",""),마스터시트!$A$2:$H$1946,6,FALSE),""))</f>
        <v/>
      </c>
      <c r="R753" s="18" t="str">
        <f>IF($K753="","",IFERROR(VLOOKUP(--SUBSTITUTE(SUBSTITUTE(TRIM($K753),"-","")," ",""),마스터시트!$A$2:$H$1946,7,FALSE),""))</f>
        <v/>
      </c>
    </row>
    <row r="754" spans="13:18" x14ac:dyDescent="0.3">
      <c r="M754" s="18" t="str">
        <f>IF($K754="","",IFERROR(VLOOKUP(--SUBSTITUTE(SUBSTITUTE(TRIM($K754),"-","")," ",""),마스터시트!$A$2:$H$1946,2,FALSE),"미등록"))</f>
        <v/>
      </c>
      <c r="N754" s="53" t="str">
        <f>IF($K754="","",IFERROR(VLOOKUP(--SUBSTITUTE(SUBSTITUTE(TRIM($K754),"-","")," ",""),마스터시트!$A$2:$H$1946,3,FALSE),"미등록"))</f>
        <v/>
      </c>
      <c r="O754" s="18" t="str">
        <f>IF($K754="","",IFERROR(VLOOKUP(--SUBSTITUTE(SUBSTITUTE(TRIM($K754),"-","")," ",""),마스터시트!$A$2:$H$1946,4,FALSE),""))</f>
        <v/>
      </c>
      <c r="P754" s="18" t="str">
        <f>IF($K754="","",IFERROR(VLOOKUP(--SUBSTITUTE(SUBSTITUTE(TRIM($K754),"-","")," ",""),마스터시트!$A$2:$H$1946,5,FALSE),""))</f>
        <v/>
      </c>
      <c r="Q754" s="18" t="str">
        <f>IF($K754="","",IFERROR(VLOOKUP(--SUBSTITUTE(SUBSTITUTE(TRIM($K754),"-","")," ",""),마스터시트!$A$2:$H$1946,6,FALSE),""))</f>
        <v/>
      </c>
      <c r="R754" s="18" t="str">
        <f>IF($K754="","",IFERROR(VLOOKUP(--SUBSTITUTE(SUBSTITUTE(TRIM($K754),"-","")," ",""),마스터시트!$A$2:$H$1946,7,FALSE),""))</f>
        <v/>
      </c>
    </row>
    <row r="755" spans="13:18" x14ac:dyDescent="0.3">
      <c r="M755" s="18" t="str">
        <f>IF($K755="","",IFERROR(VLOOKUP(--SUBSTITUTE(SUBSTITUTE(TRIM($K755),"-","")," ",""),마스터시트!$A$2:$H$1946,2,FALSE),"미등록"))</f>
        <v/>
      </c>
      <c r="N755" s="53" t="str">
        <f>IF($K755="","",IFERROR(VLOOKUP(--SUBSTITUTE(SUBSTITUTE(TRIM($K755),"-","")," ",""),마스터시트!$A$2:$H$1946,3,FALSE),"미등록"))</f>
        <v/>
      </c>
      <c r="O755" s="18" t="str">
        <f>IF($K755="","",IFERROR(VLOOKUP(--SUBSTITUTE(SUBSTITUTE(TRIM($K755),"-","")," ",""),마스터시트!$A$2:$H$1946,4,FALSE),""))</f>
        <v/>
      </c>
      <c r="P755" s="18" t="str">
        <f>IF($K755="","",IFERROR(VLOOKUP(--SUBSTITUTE(SUBSTITUTE(TRIM($K755),"-","")," ",""),마스터시트!$A$2:$H$1946,5,FALSE),""))</f>
        <v/>
      </c>
      <c r="Q755" s="18" t="str">
        <f>IF($K755="","",IFERROR(VLOOKUP(--SUBSTITUTE(SUBSTITUTE(TRIM($K755),"-","")," ",""),마스터시트!$A$2:$H$1946,6,FALSE),""))</f>
        <v/>
      </c>
      <c r="R755" s="18" t="str">
        <f>IF($K755="","",IFERROR(VLOOKUP(--SUBSTITUTE(SUBSTITUTE(TRIM($K755),"-","")," ",""),마스터시트!$A$2:$H$1946,7,FALSE),""))</f>
        <v/>
      </c>
    </row>
    <row r="756" spans="13:18" x14ac:dyDescent="0.3">
      <c r="M756" s="18" t="str">
        <f>IF($K756="","",IFERROR(VLOOKUP(--SUBSTITUTE(SUBSTITUTE(TRIM($K756),"-","")," ",""),마스터시트!$A$2:$H$1946,2,FALSE),"미등록"))</f>
        <v/>
      </c>
      <c r="N756" s="53" t="str">
        <f>IF($K756="","",IFERROR(VLOOKUP(--SUBSTITUTE(SUBSTITUTE(TRIM($K756),"-","")," ",""),마스터시트!$A$2:$H$1946,3,FALSE),"미등록"))</f>
        <v/>
      </c>
      <c r="O756" s="18" t="str">
        <f>IF($K756="","",IFERROR(VLOOKUP(--SUBSTITUTE(SUBSTITUTE(TRIM($K756),"-","")," ",""),마스터시트!$A$2:$H$1946,4,FALSE),""))</f>
        <v/>
      </c>
      <c r="P756" s="18" t="str">
        <f>IF($K756="","",IFERROR(VLOOKUP(--SUBSTITUTE(SUBSTITUTE(TRIM($K756),"-","")," ",""),마스터시트!$A$2:$H$1946,5,FALSE),""))</f>
        <v/>
      </c>
      <c r="Q756" s="18" t="str">
        <f>IF($K756="","",IFERROR(VLOOKUP(--SUBSTITUTE(SUBSTITUTE(TRIM($K756),"-","")," ",""),마스터시트!$A$2:$H$1946,6,FALSE),""))</f>
        <v/>
      </c>
      <c r="R756" s="18" t="str">
        <f>IF($K756="","",IFERROR(VLOOKUP(--SUBSTITUTE(SUBSTITUTE(TRIM($K756),"-","")," ",""),마스터시트!$A$2:$H$1946,7,FALSE),""))</f>
        <v/>
      </c>
    </row>
    <row r="757" spans="13:18" x14ac:dyDescent="0.3">
      <c r="M757" s="18" t="str">
        <f>IF($K757="","",IFERROR(VLOOKUP(--SUBSTITUTE(SUBSTITUTE(TRIM($K757),"-","")," ",""),마스터시트!$A$2:$H$1946,2,FALSE),"미등록"))</f>
        <v/>
      </c>
      <c r="N757" s="53" t="str">
        <f>IF($K757="","",IFERROR(VLOOKUP(--SUBSTITUTE(SUBSTITUTE(TRIM($K757),"-","")," ",""),마스터시트!$A$2:$H$1946,3,FALSE),"미등록"))</f>
        <v/>
      </c>
      <c r="O757" s="18" t="str">
        <f>IF($K757="","",IFERROR(VLOOKUP(--SUBSTITUTE(SUBSTITUTE(TRIM($K757),"-","")," ",""),마스터시트!$A$2:$H$1946,4,FALSE),""))</f>
        <v/>
      </c>
      <c r="P757" s="18" t="str">
        <f>IF($K757="","",IFERROR(VLOOKUP(--SUBSTITUTE(SUBSTITUTE(TRIM($K757),"-","")," ",""),마스터시트!$A$2:$H$1946,5,FALSE),""))</f>
        <v/>
      </c>
      <c r="Q757" s="18" t="str">
        <f>IF($K757="","",IFERROR(VLOOKUP(--SUBSTITUTE(SUBSTITUTE(TRIM($K757),"-","")," ",""),마스터시트!$A$2:$H$1946,6,FALSE),""))</f>
        <v/>
      </c>
      <c r="R757" s="18" t="str">
        <f>IF($K757="","",IFERROR(VLOOKUP(--SUBSTITUTE(SUBSTITUTE(TRIM($K757),"-","")," ",""),마스터시트!$A$2:$H$1946,7,FALSE),""))</f>
        <v/>
      </c>
    </row>
    <row r="758" spans="13:18" x14ac:dyDescent="0.3">
      <c r="M758" s="18" t="str">
        <f>IF($K758="","",IFERROR(VLOOKUP(--SUBSTITUTE(SUBSTITUTE(TRIM($K758),"-","")," ",""),마스터시트!$A$2:$H$1946,2,FALSE),"미등록"))</f>
        <v/>
      </c>
      <c r="N758" s="53" t="str">
        <f>IF($K758="","",IFERROR(VLOOKUP(--SUBSTITUTE(SUBSTITUTE(TRIM($K758),"-","")," ",""),마스터시트!$A$2:$H$1946,3,FALSE),"미등록"))</f>
        <v/>
      </c>
      <c r="O758" s="18" t="str">
        <f>IF($K758="","",IFERROR(VLOOKUP(--SUBSTITUTE(SUBSTITUTE(TRIM($K758),"-","")," ",""),마스터시트!$A$2:$H$1946,4,FALSE),""))</f>
        <v/>
      </c>
      <c r="P758" s="18" t="str">
        <f>IF($K758="","",IFERROR(VLOOKUP(--SUBSTITUTE(SUBSTITUTE(TRIM($K758),"-","")," ",""),마스터시트!$A$2:$H$1946,5,FALSE),""))</f>
        <v/>
      </c>
      <c r="Q758" s="18" t="str">
        <f>IF($K758="","",IFERROR(VLOOKUP(--SUBSTITUTE(SUBSTITUTE(TRIM($K758),"-","")," ",""),마스터시트!$A$2:$H$1946,6,FALSE),""))</f>
        <v/>
      </c>
      <c r="R758" s="18" t="str">
        <f>IF($K758="","",IFERROR(VLOOKUP(--SUBSTITUTE(SUBSTITUTE(TRIM($K758),"-","")," ",""),마스터시트!$A$2:$H$1946,7,FALSE),""))</f>
        <v/>
      </c>
    </row>
    <row r="759" spans="13:18" x14ac:dyDescent="0.3">
      <c r="M759" s="18" t="str">
        <f>IF($K759="","",IFERROR(VLOOKUP(--SUBSTITUTE(SUBSTITUTE(TRIM($K759),"-","")," ",""),마스터시트!$A$2:$H$1946,2,FALSE),"미등록"))</f>
        <v/>
      </c>
      <c r="N759" s="53" t="str">
        <f>IF($K759="","",IFERROR(VLOOKUP(--SUBSTITUTE(SUBSTITUTE(TRIM($K759),"-","")," ",""),마스터시트!$A$2:$H$1946,3,FALSE),"미등록"))</f>
        <v/>
      </c>
      <c r="O759" s="18" t="str">
        <f>IF($K759="","",IFERROR(VLOOKUP(--SUBSTITUTE(SUBSTITUTE(TRIM($K759),"-","")," ",""),마스터시트!$A$2:$H$1946,4,FALSE),""))</f>
        <v/>
      </c>
      <c r="P759" s="18" t="str">
        <f>IF($K759="","",IFERROR(VLOOKUP(--SUBSTITUTE(SUBSTITUTE(TRIM($K759),"-","")," ",""),마스터시트!$A$2:$H$1946,5,FALSE),""))</f>
        <v/>
      </c>
      <c r="Q759" s="18" t="str">
        <f>IF($K759="","",IFERROR(VLOOKUP(--SUBSTITUTE(SUBSTITUTE(TRIM($K759),"-","")," ",""),마스터시트!$A$2:$H$1946,6,FALSE),""))</f>
        <v/>
      </c>
      <c r="R759" s="18" t="str">
        <f>IF($K759="","",IFERROR(VLOOKUP(--SUBSTITUTE(SUBSTITUTE(TRIM($K759),"-","")," ",""),마스터시트!$A$2:$H$1946,7,FALSE),""))</f>
        <v/>
      </c>
    </row>
    <row r="760" spans="13:18" x14ac:dyDescent="0.3">
      <c r="M760" s="18" t="str">
        <f>IF($K760="","",IFERROR(VLOOKUP(--SUBSTITUTE(SUBSTITUTE(TRIM($K760),"-","")," ",""),마스터시트!$A$2:$H$1946,2,FALSE),"미등록"))</f>
        <v/>
      </c>
      <c r="N760" s="53" t="str">
        <f>IF($K760="","",IFERROR(VLOOKUP(--SUBSTITUTE(SUBSTITUTE(TRIM($K760),"-","")," ",""),마스터시트!$A$2:$H$1946,3,FALSE),"미등록"))</f>
        <v/>
      </c>
      <c r="O760" s="18" t="str">
        <f>IF($K760="","",IFERROR(VLOOKUP(--SUBSTITUTE(SUBSTITUTE(TRIM($K760),"-","")," ",""),마스터시트!$A$2:$H$1946,4,FALSE),""))</f>
        <v/>
      </c>
      <c r="P760" s="18" t="str">
        <f>IF($K760="","",IFERROR(VLOOKUP(--SUBSTITUTE(SUBSTITUTE(TRIM($K760),"-","")," ",""),마스터시트!$A$2:$H$1946,5,FALSE),""))</f>
        <v/>
      </c>
      <c r="Q760" s="18" t="str">
        <f>IF($K760="","",IFERROR(VLOOKUP(--SUBSTITUTE(SUBSTITUTE(TRIM($K760),"-","")," ",""),마스터시트!$A$2:$H$1946,6,FALSE),""))</f>
        <v/>
      </c>
      <c r="R760" s="18" t="str">
        <f>IF($K760="","",IFERROR(VLOOKUP(--SUBSTITUTE(SUBSTITUTE(TRIM($K760),"-","")," ",""),마스터시트!$A$2:$H$1946,7,FALSE),""))</f>
        <v/>
      </c>
    </row>
    <row r="761" spans="13:18" x14ac:dyDescent="0.3">
      <c r="M761" s="18" t="str">
        <f>IF($K761="","",IFERROR(VLOOKUP(--SUBSTITUTE(SUBSTITUTE(TRIM($K761),"-","")," ",""),마스터시트!$A$2:$H$1946,2,FALSE),"미등록"))</f>
        <v/>
      </c>
      <c r="N761" s="53" t="str">
        <f>IF($K761="","",IFERROR(VLOOKUP(--SUBSTITUTE(SUBSTITUTE(TRIM($K761),"-","")," ",""),마스터시트!$A$2:$H$1946,3,FALSE),"미등록"))</f>
        <v/>
      </c>
      <c r="O761" s="18" t="str">
        <f>IF($K761="","",IFERROR(VLOOKUP(--SUBSTITUTE(SUBSTITUTE(TRIM($K761),"-","")," ",""),마스터시트!$A$2:$H$1946,4,FALSE),""))</f>
        <v/>
      </c>
      <c r="P761" s="18" t="str">
        <f>IF($K761="","",IFERROR(VLOOKUP(--SUBSTITUTE(SUBSTITUTE(TRIM($K761),"-","")," ",""),마스터시트!$A$2:$H$1946,5,FALSE),""))</f>
        <v/>
      </c>
      <c r="Q761" s="18" t="str">
        <f>IF($K761="","",IFERROR(VLOOKUP(--SUBSTITUTE(SUBSTITUTE(TRIM($K761),"-","")," ",""),마스터시트!$A$2:$H$1946,6,FALSE),""))</f>
        <v/>
      </c>
      <c r="R761" s="18" t="str">
        <f>IF($K761="","",IFERROR(VLOOKUP(--SUBSTITUTE(SUBSTITUTE(TRIM($K761),"-","")," ",""),마스터시트!$A$2:$H$1946,7,FALSE),""))</f>
        <v/>
      </c>
    </row>
    <row r="762" spans="13:18" x14ac:dyDescent="0.3">
      <c r="M762" s="18" t="str">
        <f>IF($K762="","",IFERROR(VLOOKUP(--SUBSTITUTE(SUBSTITUTE(TRIM($K762),"-","")," ",""),마스터시트!$A$2:$H$1946,2,FALSE),"미등록"))</f>
        <v/>
      </c>
      <c r="N762" s="53" t="str">
        <f>IF($K762="","",IFERROR(VLOOKUP(--SUBSTITUTE(SUBSTITUTE(TRIM($K762),"-","")," ",""),마스터시트!$A$2:$H$1946,3,FALSE),"미등록"))</f>
        <v/>
      </c>
      <c r="O762" s="18" t="str">
        <f>IF($K762="","",IFERROR(VLOOKUP(--SUBSTITUTE(SUBSTITUTE(TRIM($K762),"-","")," ",""),마스터시트!$A$2:$H$1946,4,FALSE),""))</f>
        <v/>
      </c>
      <c r="P762" s="18" t="str">
        <f>IF($K762="","",IFERROR(VLOOKUP(--SUBSTITUTE(SUBSTITUTE(TRIM($K762),"-","")," ",""),마스터시트!$A$2:$H$1946,5,FALSE),""))</f>
        <v/>
      </c>
      <c r="Q762" s="18" t="str">
        <f>IF($K762="","",IFERROR(VLOOKUP(--SUBSTITUTE(SUBSTITUTE(TRIM($K762),"-","")," ",""),마스터시트!$A$2:$H$1946,6,FALSE),""))</f>
        <v/>
      </c>
      <c r="R762" s="18" t="str">
        <f>IF($K762="","",IFERROR(VLOOKUP(--SUBSTITUTE(SUBSTITUTE(TRIM($K762),"-","")," ",""),마스터시트!$A$2:$H$1946,7,FALSE),""))</f>
        <v/>
      </c>
    </row>
    <row r="763" spans="13:18" x14ac:dyDescent="0.3">
      <c r="M763" s="18" t="str">
        <f>IF($K763="","",IFERROR(VLOOKUP(--SUBSTITUTE(SUBSTITUTE(TRIM($K763),"-","")," ",""),마스터시트!$A$2:$H$1946,2,FALSE),"미등록"))</f>
        <v/>
      </c>
      <c r="N763" s="53" t="str">
        <f>IF($K763="","",IFERROR(VLOOKUP(--SUBSTITUTE(SUBSTITUTE(TRIM($K763),"-","")," ",""),마스터시트!$A$2:$H$1946,3,FALSE),"미등록"))</f>
        <v/>
      </c>
      <c r="O763" s="18" t="str">
        <f>IF($K763="","",IFERROR(VLOOKUP(--SUBSTITUTE(SUBSTITUTE(TRIM($K763),"-","")," ",""),마스터시트!$A$2:$H$1946,4,FALSE),""))</f>
        <v/>
      </c>
      <c r="P763" s="18" t="str">
        <f>IF($K763="","",IFERROR(VLOOKUP(--SUBSTITUTE(SUBSTITUTE(TRIM($K763),"-","")," ",""),마스터시트!$A$2:$H$1946,5,FALSE),""))</f>
        <v/>
      </c>
      <c r="Q763" s="18" t="str">
        <f>IF($K763="","",IFERROR(VLOOKUP(--SUBSTITUTE(SUBSTITUTE(TRIM($K763),"-","")," ",""),마스터시트!$A$2:$H$1946,6,FALSE),""))</f>
        <v/>
      </c>
      <c r="R763" s="18" t="str">
        <f>IF($K763="","",IFERROR(VLOOKUP(--SUBSTITUTE(SUBSTITUTE(TRIM($K763),"-","")," ",""),마스터시트!$A$2:$H$1946,7,FALSE),""))</f>
        <v/>
      </c>
    </row>
    <row r="764" spans="13:18" x14ac:dyDescent="0.3">
      <c r="M764" s="18" t="str">
        <f>IF($K764="","",IFERROR(VLOOKUP(--SUBSTITUTE(SUBSTITUTE(TRIM($K764),"-","")," ",""),마스터시트!$A$2:$H$1946,2,FALSE),"미등록"))</f>
        <v/>
      </c>
      <c r="N764" s="53" t="str">
        <f>IF($K764="","",IFERROR(VLOOKUP(--SUBSTITUTE(SUBSTITUTE(TRIM($K764),"-","")," ",""),마스터시트!$A$2:$H$1946,3,FALSE),"미등록"))</f>
        <v/>
      </c>
      <c r="O764" s="18" t="str">
        <f>IF($K764="","",IFERROR(VLOOKUP(--SUBSTITUTE(SUBSTITUTE(TRIM($K764),"-","")," ",""),마스터시트!$A$2:$H$1946,4,FALSE),""))</f>
        <v/>
      </c>
      <c r="P764" s="18" t="str">
        <f>IF($K764="","",IFERROR(VLOOKUP(--SUBSTITUTE(SUBSTITUTE(TRIM($K764),"-","")," ",""),마스터시트!$A$2:$H$1946,5,FALSE),""))</f>
        <v/>
      </c>
      <c r="Q764" s="18" t="str">
        <f>IF($K764="","",IFERROR(VLOOKUP(--SUBSTITUTE(SUBSTITUTE(TRIM($K764),"-","")," ",""),마스터시트!$A$2:$H$1946,6,FALSE),""))</f>
        <v/>
      </c>
      <c r="R764" s="18" t="str">
        <f>IF($K764="","",IFERROR(VLOOKUP(--SUBSTITUTE(SUBSTITUTE(TRIM($K764),"-","")," ",""),마스터시트!$A$2:$H$1946,7,FALSE),""))</f>
        <v/>
      </c>
    </row>
    <row r="765" spans="13:18" x14ac:dyDescent="0.3">
      <c r="M765" s="18" t="str">
        <f>IF($K765="","",IFERROR(VLOOKUP(--SUBSTITUTE(SUBSTITUTE(TRIM($K765),"-","")," ",""),마스터시트!$A$2:$H$1946,2,FALSE),"미등록"))</f>
        <v/>
      </c>
      <c r="N765" s="53" t="str">
        <f>IF($K765="","",IFERROR(VLOOKUP(--SUBSTITUTE(SUBSTITUTE(TRIM($K765),"-","")," ",""),마스터시트!$A$2:$H$1946,3,FALSE),"미등록"))</f>
        <v/>
      </c>
      <c r="O765" s="18" t="str">
        <f>IF($K765="","",IFERROR(VLOOKUP(--SUBSTITUTE(SUBSTITUTE(TRIM($K765),"-","")," ",""),마스터시트!$A$2:$H$1946,4,FALSE),""))</f>
        <v/>
      </c>
      <c r="P765" s="18" t="str">
        <f>IF($K765="","",IFERROR(VLOOKUP(--SUBSTITUTE(SUBSTITUTE(TRIM($K765),"-","")," ",""),마스터시트!$A$2:$H$1946,5,FALSE),""))</f>
        <v/>
      </c>
      <c r="Q765" s="18" t="str">
        <f>IF($K765="","",IFERROR(VLOOKUP(--SUBSTITUTE(SUBSTITUTE(TRIM($K765),"-","")," ",""),마스터시트!$A$2:$H$1946,6,FALSE),""))</f>
        <v/>
      </c>
      <c r="R765" s="18" t="str">
        <f>IF($K765="","",IFERROR(VLOOKUP(--SUBSTITUTE(SUBSTITUTE(TRIM($K765),"-","")," ",""),마스터시트!$A$2:$H$1946,7,FALSE),""))</f>
        <v/>
      </c>
    </row>
    <row r="766" spans="13:18" x14ac:dyDescent="0.3">
      <c r="M766" s="18" t="str">
        <f>IF($K766="","",IFERROR(VLOOKUP(--SUBSTITUTE(SUBSTITUTE(TRIM($K766),"-","")," ",""),마스터시트!$A$2:$H$1946,2,FALSE),"미등록"))</f>
        <v/>
      </c>
      <c r="N766" s="53" t="str">
        <f>IF($K766="","",IFERROR(VLOOKUP(--SUBSTITUTE(SUBSTITUTE(TRIM($K766),"-","")," ",""),마스터시트!$A$2:$H$1946,3,FALSE),"미등록"))</f>
        <v/>
      </c>
      <c r="O766" s="18" t="str">
        <f>IF($K766="","",IFERROR(VLOOKUP(--SUBSTITUTE(SUBSTITUTE(TRIM($K766),"-","")," ",""),마스터시트!$A$2:$H$1946,4,FALSE),""))</f>
        <v/>
      </c>
      <c r="P766" s="18" t="str">
        <f>IF($K766="","",IFERROR(VLOOKUP(--SUBSTITUTE(SUBSTITUTE(TRIM($K766),"-","")," ",""),마스터시트!$A$2:$H$1946,5,FALSE),""))</f>
        <v/>
      </c>
      <c r="Q766" s="18" t="str">
        <f>IF($K766="","",IFERROR(VLOOKUP(--SUBSTITUTE(SUBSTITUTE(TRIM($K766),"-","")," ",""),마스터시트!$A$2:$H$1946,6,FALSE),""))</f>
        <v/>
      </c>
      <c r="R766" s="18" t="str">
        <f>IF($K766="","",IFERROR(VLOOKUP(--SUBSTITUTE(SUBSTITUTE(TRIM($K766),"-","")," ",""),마스터시트!$A$2:$H$1946,7,FALSE),""))</f>
        <v/>
      </c>
    </row>
    <row r="767" spans="13:18" x14ac:dyDescent="0.3">
      <c r="M767" s="18" t="str">
        <f>IF($K767="","",IFERROR(VLOOKUP(--SUBSTITUTE(SUBSTITUTE(TRIM($K767),"-","")," ",""),마스터시트!$A$2:$H$1946,2,FALSE),"미등록"))</f>
        <v/>
      </c>
      <c r="N767" s="53" t="str">
        <f>IF($K767="","",IFERROR(VLOOKUP(--SUBSTITUTE(SUBSTITUTE(TRIM($K767),"-","")," ",""),마스터시트!$A$2:$H$1946,3,FALSE),"미등록"))</f>
        <v/>
      </c>
      <c r="O767" s="18" t="str">
        <f>IF($K767="","",IFERROR(VLOOKUP(--SUBSTITUTE(SUBSTITUTE(TRIM($K767),"-","")," ",""),마스터시트!$A$2:$H$1946,4,FALSE),""))</f>
        <v/>
      </c>
      <c r="P767" s="18" t="str">
        <f>IF($K767="","",IFERROR(VLOOKUP(--SUBSTITUTE(SUBSTITUTE(TRIM($K767),"-","")," ",""),마스터시트!$A$2:$H$1946,5,FALSE),""))</f>
        <v/>
      </c>
      <c r="Q767" s="18" t="str">
        <f>IF($K767="","",IFERROR(VLOOKUP(--SUBSTITUTE(SUBSTITUTE(TRIM($K767),"-","")," ",""),마스터시트!$A$2:$H$1946,6,FALSE),""))</f>
        <v/>
      </c>
      <c r="R767" s="18" t="str">
        <f>IF($K767="","",IFERROR(VLOOKUP(--SUBSTITUTE(SUBSTITUTE(TRIM($K767),"-","")," ",""),마스터시트!$A$2:$H$1946,7,FALSE),""))</f>
        <v/>
      </c>
    </row>
    <row r="768" spans="13:18" x14ac:dyDescent="0.3">
      <c r="M768" s="18" t="str">
        <f>IF($K768="","",IFERROR(VLOOKUP(--SUBSTITUTE(SUBSTITUTE(TRIM($K768),"-","")," ",""),마스터시트!$A$2:$H$1946,2,FALSE),"미등록"))</f>
        <v/>
      </c>
      <c r="N768" s="53" t="str">
        <f>IF($K768="","",IFERROR(VLOOKUP(--SUBSTITUTE(SUBSTITUTE(TRIM($K768),"-","")," ",""),마스터시트!$A$2:$H$1946,3,FALSE),"미등록"))</f>
        <v/>
      </c>
      <c r="O768" s="18" t="str">
        <f>IF($K768="","",IFERROR(VLOOKUP(--SUBSTITUTE(SUBSTITUTE(TRIM($K768),"-","")," ",""),마스터시트!$A$2:$H$1946,4,FALSE),""))</f>
        <v/>
      </c>
      <c r="P768" s="18" t="str">
        <f>IF($K768="","",IFERROR(VLOOKUP(--SUBSTITUTE(SUBSTITUTE(TRIM($K768),"-","")," ",""),마스터시트!$A$2:$H$1946,5,FALSE),""))</f>
        <v/>
      </c>
      <c r="Q768" s="18" t="str">
        <f>IF($K768="","",IFERROR(VLOOKUP(--SUBSTITUTE(SUBSTITUTE(TRIM($K768),"-","")," ",""),마스터시트!$A$2:$H$1946,6,FALSE),""))</f>
        <v/>
      </c>
      <c r="R768" s="18" t="str">
        <f>IF($K768="","",IFERROR(VLOOKUP(--SUBSTITUTE(SUBSTITUTE(TRIM($K768),"-","")," ",""),마스터시트!$A$2:$H$1946,7,FALSE),""))</f>
        <v/>
      </c>
    </row>
    <row r="769" spans="13:18" x14ac:dyDescent="0.3">
      <c r="M769" s="18" t="str">
        <f>IF($K769="","",IFERROR(VLOOKUP(--SUBSTITUTE(SUBSTITUTE(TRIM($K769),"-","")," ",""),마스터시트!$A$2:$H$1946,2,FALSE),"미등록"))</f>
        <v/>
      </c>
      <c r="N769" s="53" t="str">
        <f>IF($K769="","",IFERROR(VLOOKUP(--SUBSTITUTE(SUBSTITUTE(TRIM($K769),"-","")," ",""),마스터시트!$A$2:$H$1946,3,FALSE),"미등록"))</f>
        <v/>
      </c>
      <c r="O769" s="18" t="str">
        <f>IF($K769="","",IFERROR(VLOOKUP(--SUBSTITUTE(SUBSTITUTE(TRIM($K769),"-","")," ",""),마스터시트!$A$2:$H$1946,4,FALSE),""))</f>
        <v/>
      </c>
      <c r="P769" s="18" t="str">
        <f>IF($K769="","",IFERROR(VLOOKUP(--SUBSTITUTE(SUBSTITUTE(TRIM($K769),"-","")," ",""),마스터시트!$A$2:$H$1946,5,FALSE),""))</f>
        <v/>
      </c>
      <c r="Q769" s="18" t="str">
        <f>IF($K769="","",IFERROR(VLOOKUP(--SUBSTITUTE(SUBSTITUTE(TRIM($K769),"-","")," ",""),마스터시트!$A$2:$H$1946,6,FALSE),""))</f>
        <v/>
      </c>
      <c r="R769" s="18" t="str">
        <f>IF($K769="","",IFERROR(VLOOKUP(--SUBSTITUTE(SUBSTITUTE(TRIM($K769),"-","")," ",""),마스터시트!$A$2:$H$1946,7,FALSE),""))</f>
        <v/>
      </c>
    </row>
    <row r="770" spans="13:18" x14ac:dyDescent="0.3">
      <c r="M770" s="18" t="str">
        <f>IF($K770="","",IFERROR(VLOOKUP(--SUBSTITUTE(SUBSTITUTE(TRIM($K770),"-","")," ",""),마스터시트!$A$2:$H$1946,2,FALSE),"미등록"))</f>
        <v/>
      </c>
      <c r="N770" s="53" t="str">
        <f>IF($K770="","",IFERROR(VLOOKUP(--SUBSTITUTE(SUBSTITUTE(TRIM($K770),"-","")," ",""),마스터시트!$A$2:$H$1946,3,FALSE),"미등록"))</f>
        <v/>
      </c>
      <c r="O770" s="18" t="str">
        <f>IF($K770="","",IFERROR(VLOOKUP(--SUBSTITUTE(SUBSTITUTE(TRIM($K770),"-","")," ",""),마스터시트!$A$2:$H$1946,4,FALSE),""))</f>
        <v/>
      </c>
      <c r="P770" s="18" t="str">
        <f>IF($K770="","",IFERROR(VLOOKUP(--SUBSTITUTE(SUBSTITUTE(TRIM($K770),"-","")," ",""),마스터시트!$A$2:$H$1946,5,FALSE),""))</f>
        <v/>
      </c>
      <c r="Q770" s="18" t="str">
        <f>IF($K770="","",IFERROR(VLOOKUP(--SUBSTITUTE(SUBSTITUTE(TRIM($K770),"-","")," ",""),마스터시트!$A$2:$H$1946,6,FALSE),""))</f>
        <v/>
      </c>
      <c r="R770" s="18" t="str">
        <f>IF($K770="","",IFERROR(VLOOKUP(--SUBSTITUTE(SUBSTITUTE(TRIM($K770),"-","")," ",""),마스터시트!$A$2:$H$1946,7,FALSE),""))</f>
        <v/>
      </c>
    </row>
    <row r="771" spans="13:18" x14ac:dyDescent="0.3">
      <c r="M771" s="18" t="str">
        <f>IF($K771="","",IFERROR(VLOOKUP(--SUBSTITUTE(SUBSTITUTE(TRIM($K771),"-","")," ",""),마스터시트!$A$2:$H$1946,2,FALSE),"미등록"))</f>
        <v/>
      </c>
      <c r="N771" s="53" t="str">
        <f>IF($K771="","",IFERROR(VLOOKUP(--SUBSTITUTE(SUBSTITUTE(TRIM($K771),"-","")," ",""),마스터시트!$A$2:$H$1946,3,FALSE),"미등록"))</f>
        <v/>
      </c>
      <c r="O771" s="18" t="str">
        <f>IF($K771="","",IFERROR(VLOOKUP(--SUBSTITUTE(SUBSTITUTE(TRIM($K771),"-","")," ",""),마스터시트!$A$2:$H$1946,4,FALSE),""))</f>
        <v/>
      </c>
      <c r="P771" s="18" t="str">
        <f>IF($K771="","",IFERROR(VLOOKUP(--SUBSTITUTE(SUBSTITUTE(TRIM($K771),"-","")," ",""),마스터시트!$A$2:$H$1946,5,FALSE),""))</f>
        <v/>
      </c>
      <c r="Q771" s="18" t="str">
        <f>IF($K771="","",IFERROR(VLOOKUP(--SUBSTITUTE(SUBSTITUTE(TRIM($K771),"-","")," ",""),마스터시트!$A$2:$H$1946,6,FALSE),""))</f>
        <v/>
      </c>
      <c r="R771" s="18" t="str">
        <f>IF($K771="","",IFERROR(VLOOKUP(--SUBSTITUTE(SUBSTITUTE(TRIM($K771),"-","")," ",""),마스터시트!$A$2:$H$1946,7,FALSE),""))</f>
        <v/>
      </c>
    </row>
    <row r="772" spans="13:18" x14ac:dyDescent="0.3">
      <c r="M772" s="18" t="str">
        <f>IF($K772="","",IFERROR(VLOOKUP(--SUBSTITUTE(SUBSTITUTE(TRIM($K772),"-","")," ",""),마스터시트!$A$2:$H$1946,2,FALSE),"미등록"))</f>
        <v/>
      </c>
      <c r="N772" s="53" t="str">
        <f>IF($K772="","",IFERROR(VLOOKUP(--SUBSTITUTE(SUBSTITUTE(TRIM($K772),"-","")," ",""),마스터시트!$A$2:$H$1946,3,FALSE),"미등록"))</f>
        <v/>
      </c>
      <c r="O772" s="18" t="str">
        <f>IF($K772="","",IFERROR(VLOOKUP(--SUBSTITUTE(SUBSTITUTE(TRIM($K772),"-","")," ",""),마스터시트!$A$2:$H$1946,4,FALSE),""))</f>
        <v/>
      </c>
      <c r="P772" s="18" t="str">
        <f>IF($K772="","",IFERROR(VLOOKUP(--SUBSTITUTE(SUBSTITUTE(TRIM($K772),"-","")," ",""),마스터시트!$A$2:$H$1946,5,FALSE),""))</f>
        <v/>
      </c>
      <c r="Q772" s="18" t="str">
        <f>IF($K772="","",IFERROR(VLOOKUP(--SUBSTITUTE(SUBSTITUTE(TRIM($K772),"-","")," ",""),마스터시트!$A$2:$H$1946,6,FALSE),""))</f>
        <v/>
      </c>
      <c r="R772" s="18" t="str">
        <f>IF($K772="","",IFERROR(VLOOKUP(--SUBSTITUTE(SUBSTITUTE(TRIM($K772),"-","")," ",""),마스터시트!$A$2:$H$1946,7,FALSE),""))</f>
        <v/>
      </c>
    </row>
    <row r="773" spans="13:18" x14ac:dyDescent="0.3">
      <c r="M773" s="18" t="str">
        <f>IF($K773="","",IFERROR(VLOOKUP(--SUBSTITUTE(SUBSTITUTE(TRIM($K773),"-","")," ",""),마스터시트!$A$2:$H$1946,2,FALSE),"미등록"))</f>
        <v/>
      </c>
      <c r="N773" s="53" t="str">
        <f>IF($K773="","",IFERROR(VLOOKUP(--SUBSTITUTE(SUBSTITUTE(TRIM($K773),"-","")," ",""),마스터시트!$A$2:$H$1946,3,FALSE),"미등록"))</f>
        <v/>
      </c>
      <c r="O773" s="18" t="str">
        <f>IF($K773="","",IFERROR(VLOOKUP(--SUBSTITUTE(SUBSTITUTE(TRIM($K773),"-","")," ",""),마스터시트!$A$2:$H$1946,4,FALSE),""))</f>
        <v/>
      </c>
      <c r="P773" s="18" t="str">
        <f>IF($K773="","",IFERROR(VLOOKUP(--SUBSTITUTE(SUBSTITUTE(TRIM($K773),"-","")," ",""),마스터시트!$A$2:$H$1946,5,FALSE),""))</f>
        <v/>
      </c>
      <c r="Q773" s="18" t="str">
        <f>IF($K773="","",IFERROR(VLOOKUP(--SUBSTITUTE(SUBSTITUTE(TRIM($K773),"-","")," ",""),마스터시트!$A$2:$H$1946,6,FALSE),""))</f>
        <v/>
      </c>
      <c r="R773" s="18" t="str">
        <f>IF($K773="","",IFERROR(VLOOKUP(--SUBSTITUTE(SUBSTITUTE(TRIM($K773),"-","")," ",""),마스터시트!$A$2:$H$1946,7,FALSE),""))</f>
        <v/>
      </c>
    </row>
    <row r="774" spans="13:18" x14ac:dyDescent="0.3">
      <c r="M774" s="18" t="str">
        <f>IF($K774="","",IFERROR(VLOOKUP(--SUBSTITUTE(SUBSTITUTE(TRIM($K774),"-","")," ",""),마스터시트!$A$2:$H$1946,2,FALSE),"미등록"))</f>
        <v/>
      </c>
      <c r="N774" s="53" t="str">
        <f>IF($K774="","",IFERROR(VLOOKUP(--SUBSTITUTE(SUBSTITUTE(TRIM($K774),"-","")," ",""),마스터시트!$A$2:$H$1946,3,FALSE),"미등록"))</f>
        <v/>
      </c>
      <c r="O774" s="18" t="str">
        <f>IF($K774="","",IFERROR(VLOOKUP(--SUBSTITUTE(SUBSTITUTE(TRIM($K774),"-","")," ",""),마스터시트!$A$2:$H$1946,4,FALSE),""))</f>
        <v/>
      </c>
      <c r="P774" s="18" t="str">
        <f>IF($K774="","",IFERROR(VLOOKUP(--SUBSTITUTE(SUBSTITUTE(TRIM($K774),"-","")," ",""),마스터시트!$A$2:$H$1946,5,FALSE),""))</f>
        <v/>
      </c>
      <c r="Q774" s="18" t="str">
        <f>IF($K774="","",IFERROR(VLOOKUP(--SUBSTITUTE(SUBSTITUTE(TRIM($K774),"-","")," ",""),마스터시트!$A$2:$H$1946,6,FALSE),""))</f>
        <v/>
      </c>
      <c r="R774" s="18" t="str">
        <f>IF($K774="","",IFERROR(VLOOKUP(--SUBSTITUTE(SUBSTITUTE(TRIM($K774),"-","")," ",""),마스터시트!$A$2:$H$1946,7,FALSE),""))</f>
        <v/>
      </c>
    </row>
    <row r="775" spans="13:18" x14ac:dyDescent="0.3">
      <c r="M775" s="18" t="str">
        <f>IF($K775="","",IFERROR(VLOOKUP(--SUBSTITUTE(SUBSTITUTE(TRIM($K775),"-","")," ",""),마스터시트!$A$2:$H$1946,2,FALSE),"미등록"))</f>
        <v/>
      </c>
      <c r="N775" s="53" t="str">
        <f>IF($K775="","",IFERROR(VLOOKUP(--SUBSTITUTE(SUBSTITUTE(TRIM($K775),"-","")," ",""),마스터시트!$A$2:$H$1946,3,FALSE),"미등록"))</f>
        <v/>
      </c>
      <c r="O775" s="18" t="str">
        <f>IF($K775="","",IFERROR(VLOOKUP(--SUBSTITUTE(SUBSTITUTE(TRIM($K775),"-","")," ",""),마스터시트!$A$2:$H$1946,4,FALSE),""))</f>
        <v/>
      </c>
      <c r="P775" s="18" t="str">
        <f>IF($K775="","",IFERROR(VLOOKUP(--SUBSTITUTE(SUBSTITUTE(TRIM($K775),"-","")," ",""),마스터시트!$A$2:$H$1946,5,FALSE),""))</f>
        <v/>
      </c>
      <c r="Q775" s="18" t="str">
        <f>IF($K775="","",IFERROR(VLOOKUP(--SUBSTITUTE(SUBSTITUTE(TRIM($K775),"-","")," ",""),마스터시트!$A$2:$H$1946,6,FALSE),""))</f>
        <v/>
      </c>
      <c r="R775" s="18" t="str">
        <f>IF($K775="","",IFERROR(VLOOKUP(--SUBSTITUTE(SUBSTITUTE(TRIM($K775),"-","")," ",""),마스터시트!$A$2:$H$1946,7,FALSE),""))</f>
        <v/>
      </c>
    </row>
    <row r="776" spans="13:18" x14ac:dyDescent="0.3">
      <c r="M776" s="18" t="str">
        <f>IF($K776="","",IFERROR(VLOOKUP(--SUBSTITUTE(SUBSTITUTE(TRIM($K776),"-","")," ",""),마스터시트!$A$2:$H$1946,2,FALSE),"미등록"))</f>
        <v/>
      </c>
      <c r="N776" s="53" t="str">
        <f>IF($K776="","",IFERROR(VLOOKUP(--SUBSTITUTE(SUBSTITUTE(TRIM($K776),"-","")," ",""),마스터시트!$A$2:$H$1946,3,FALSE),"미등록"))</f>
        <v/>
      </c>
      <c r="O776" s="18" t="str">
        <f>IF($K776="","",IFERROR(VLOOKUP(--SUBSTITUTE(SUBSTITUTE(TRIM($K776),"-","")," ",""),마스터시트!$A$2:$H$1946,4,FALSE),""))</f>
        <v/>
      </c>
      <c r="P776" s="18" t="str">
        <f>IF($K776="","",IFERROR(VLOOKUP(--SUBSTITUTE(SUBSTITUTE(TRIM($K776),"-","")," ",""),마스터시트!$A$2:$H$1946,5,FALSE),""))</f>
        <v/>
      </c>
      <c r="Q776" s="18" t="str">
        <f>IF($K776="","",IFERROR(VLOOKUP(--SUBSTITUTE(SUBSTITUTE(TRIM($K776),"-","")," ",""),마스터시트!$A$2:$H$1946,6,FALSE),""))</f>
        <v/>
      </c>
      <c r="R776" s="18" t="str">
        <f>IF($K776="","",IFERROR(VLOOKUP(--SUBSTITUTE(SUBSTITUTE(TRIM($K776),"-","")," ",""),마스터시트!$A$2:$H$1946,7,FALSE),""))</f>
        <v/>
      </c>
    </row>
    <row r="777" spans="13:18" x14ac:dyDescent="0.3">
      <c r="M777" s="18" t="str">
        <f>IF($K777="","",IFERROR(VLOOKUP(--SUBSTITUTE(SUBSTITUTE(TRIM($K777),"-","")," ",""),마스터시트!$A$2:$H$1946,2,FALSE),"미등록"))</f>
        <v/>
      </c>
      <c r="N777" s="53" t="str">
        <f>IF($K777="","",IFERROR(VLOOKUP(--SUBSTITUTE(SUBSTITUTE(TRIM($K777),"-","")," ",""),마스터시트!$A$2:$H$1946,3,FALSE),"미등록"))</f>
        <v/>
      </c>
      <c r="O777" s="18" t="str">
        <f>IF($K777="","",IFERROR(VLOOKUP(--SUBSTITUTE(SUBSTITUTE(TRIM($K777),"-","")," ",""),마스터시트!$A$2:$H$1946,4,FALSE),""))</f>
        <v/>
      </c>
      <c r="P777" s="18" t="str">
        <f>IF($K777="","",IFERROR(VLOOKUP(--SUBSTITUTE(SUBSTITUTE(TRIM($K777),"-","")," ",""),마스터시트!$A$2:$H$1946,5,FALSE),""))</f>
        <v/>
      </c>
      <c r="Q777" s="18" t="str">
        <f>IF($K777="","",IFERROR(VLOOKUP(--SUBSTITUTE(SUBSTITUTE(TRIM($K777),"-","")," ",""),마스터시트!$A$2:$H$1946,6,FALSE),""))</f>
        <v/>
      </c>
      <c r="R777" s="18" t="str">
        <f>IF($K777="","",IFERROR(VLOOKUP(--SUBSTITUTE(SUBSTITUTE(TRIM($K777),"-","")," ",""),마스터시트!$A$2:$H$1946,7,FALSE),""))</f>
        <v/>
      </c>
    </row>
    <row r="778" spans="13:18" x14ac:dyDescent="0.3">
      <c r="M778" s="18" t="str">
        <f>IF($K778="","",IFERROR(VLOOKUP(--SUBSTITUTE(SUBSTITUTE(TRIM($K778),"-","")," ",""),마스터시트!$A$2:$H$1946,2,FALSE),"미등록"))</f>
        <v/>
      </c>
      <c r="N778" s="53" t="str">
        <f>IF($K778="","",IFERROR(VLOOKUP(--SUBSTITUTE(SUBSTITUTE(TRIM($K778),"-","")," ",""),마스터시트!$A$2:$H$1946,3,FALSE),"미등록"))</f>
        <v/>
      </c>
      <c r="O778" s="18" t="str">
        <f>IF($K778="","",IFERROR(VLOOKUP(--SUBSTITUTE(SUBSTITUTE(TRIM($K778),"-","")," ",""),마스터시트!$A$2:$H$1946,4,FALSE),""))</f>
        <v/>
      </c>
      <c r="P778" s="18" t="str">
        <f>IF($K778="","",IFERROR(VLOOKUP(--SUBSTITUTE(SUBSTITUTE(TRIM($K778),"-","")," ",""),마스터시트!$A$2:$H$1946,5,FALSE),""))</f>
        <v/>
      </c>
      <c r="Q778" s="18" t="str">
        <f>IF($K778="","",IFERROR(VLOOKUP(--SUBSTITUTE(SUBSTITUTE(TRIM($K778),"-","")," ",""),마스터시트!$A$2:$H$1946,6,FALSE),""))</f>
        <v/>
      </c>
      <c r="R778" s="18" t="str">
        <f>IF($K778="","",IFERROR(VLOOKUP(--SUBSTITUTE(SUBSTITUTE(TRIM($K778),"-","")," ",""),마스터시트!$A$2:$H$1946,7,FALSE),""))</f>
        <v/>
      </c>
    </row>
    <row r="779" spans="13:18" x14ac:dyDescent="0.3">
      <c r="M779" s="18" t="str">
        <f>IF($K779="","",IFERROR(VLOOKUP(--SUBSTITUTE(SUBSTITUTE(TRIM($K779),"-","")," ",""),마스터시트!$A$2:$H$1946,2,FALSE),"미등록"))</f>
        <v/>
      </c>
      <c r="N779" s="53" t="str">
        <f>IF($K779="","",IFERROR(VLOOKUP(--SUBSTITUTE(SUBSTITUTE(TRIM($K779),"-","")," ",""),마스터시트!$A$2:$H$1946,3,FALSE),"미등록"))</f>
        <v/>
      </c>
      <c r="O779" s="18" t="str">
        <f>IF($K779="","",IFERROR(VLOOKUP(--SUBSTITUTE(SUBSTITUTE(TRIM($K779),"-","")," ",""),마스터시트!$A$2:$H$1946,4,FALSE),""))</f>
        <v/>
      </c>
      <c r="P779" s="18" t="str">
        <f>IF($K779="","",IFERROR(VLOOKUP(--SUBSTITUTE(SUBSTITUTE(TRIM($K779),"-","")," ",""),마스터시트!$A$2:$H$1946,5,FALSE),""))</f>
        <v/>
      </c>
      <c r="Q779" s="18" t="str">
        <f>IF($K779="","",IFERROR(VLOOKUP(--SUBSTITUTE(SUBSTITUTE(TRIM($K779),"-","")," ",""),마스터시트!$A$2:$H$1946,6,FALSE),""))</f>
        <v/>
      </c>
      <c r="R779" s="18" t="str">
        <f>IF($K779="","",IFERROR(VLOOKUP(--SUBSTITUTE(SUBSTITUTE(TRIM($K779),"-","")," ",""),마스터시트!$A$2:$H$1946,7,FALSE),""))</f>
        <v/>
      </c>
    </row>
    <row r="780" spans="13:18" x14ac:dyDescent="0.3">
      <c r="M780" s="18" t="str">
        <f>IF($K780="","",IFERROR(VLOOKUP(--SUBSTITUTE(SUBSTITUTE(TRIM($K780),"-","")," ",""),마스터시트!$A$2:$H$1946,2,FALSE),"미등록"))</f>
        <v/>
      </c>
      <c r="N780" s="53" t="str">
        <f>IF($K780="","",IFERROR(VLOOKUP(--SUBSTITUTE(SUBSTITUTE(TRIM($K780),"-","")," ",""),마스터시트!$A$2:$H$1946,3,FALSE),"미등록"))</f>
        <v/>
      </c>
      <c r="O780" s="18" t="str">
        <f>IF($K780="","",IFERROR(VLOOKUP(--SUBSTITUTE(SUBSTITUTE(TRIM($K780),"-","")," ",""),마스터시트!$A$2:$H$1946,4,FALSE),""))</f>
        <v/>
      </c>
      <c r="P780" s="18" t="str">
        <f>IF($K780="","",IFERROR(VLOOKUP(--SUBSTITUTE(SUBSTITUTE(TRIM($K780),"-","")," ",""),마스터시트!$A$2:$H$1946,5,FALSE),""))</f>
        <v/>
      </c>
      <c r="Q780" s="18" t="str">
        <f>IF($K780="","",IFERROR(VLOOKUP(--SUBSTITUTE(SUBSTITUTE(TRIM($K780),"-","")," ",""),마스터시트!$A$2:$H$1946,6,FALSE),""))</f>
        <v/>
      </c>
      <c r="R780" s="18" t="str">
        <f>IF($K780="","",IFERROR(VLOOKUP(--SUBSTITUTE(SUBSTITUTE(TRIM($K780),"-","")," ",""),마스터시트!$A$2:$H$1946,7,FALSE),""))</f>
        <v/>
      </c>
    </row>
    <row r="781" spans="13:18" x14ac:dyDescent="0.3">
      <c r="M781" s="18" t="str">
        <f>IF($K781="","",IFERROR(VLOOKUP(--SUBSTITUTE(SUBSTITUTE(TRIM($K781),"-","")," ",""),마스터시트!$A$2:$H$1946,2,FALSE),"미등록"))</f>
        <v/>
      </c>
      <c r="N781" s="53" t="str">
        <f>IF($K781="","",IFERROR(VLOOKUP(--SUBSTITUTE(SUBSTITUTE(TRIM($K781),"-","")," ",""),마스터시트!$A$2:$H$1946,3,FALSE),"미등록"))</f>
        <v/>
      </c>
      <c r="O781" s="18" t="str">
        <f>IF($K781="","",IFERROR(VLOOKUP(--SUBSTITUTE(SUBSTITUTE(TRIM($K781),"-","")," ",""),마스터시트!$A$2:$H$1946,4,FALSE),""))</f>
        <v/>
      </c>
      <c r="P781" s="18" t="str">
        <f>IF($K781="","",IFERROR(VLOOKUP(--SUBSTITUTE(SUBSTITUTE(TRIM($K781),"-","")," ",""),마스터시트!$A$2:$H$1946,5,FALSE),""))</f>
        <v/>
      </c>
      <c r="Q781" s="18" t="str">
        <f>IF($K781="","",IFERROR(VLOOKUP(--SUBSTITUTE(SUBSTITUTE(TRIM($K781),"-","")," ",""),마스터시트!$A$2:$H$1946,6,FALSE),""))</f>
        <v/>
      </c>
      <c r="R781" s="18" t="str">
        <f>IF($K781="","",IFERROR(VLOOKUP(--SUBSTITUTE(SUBSTITUTE(TRIM($K781),"-","")," ",""),마스터시트!$A$2:$H$1946,7,FALSE),""))</f>
        <v/>
      </c>
    </row>
    <row r="782" spans="13:18" x14ac:dyDescent="0.3">
      <c r="M782" s="18" t="str">
        <f>IF($K782="","",IFERROR(VLOOKUP(--SUBSTITUTE(SUBSTITUTE(TRIM($K782),"-","")," ",""),마스터시트!$A$2:$H$1946,2,FALSE),"미등록"))</f>
        <v/>
      </c>
      <c r="N782" s="53" t="str">
        <f>IF($K782="","",IFERROR(VLOOKUP(--SUBSTITUTE(SUBSTITUTE(TRIM($K782),"-","")," ",""),마스터시트!$A$2:$H$1946,3,FALSE),"미등록"))</f>
        <v/>
      </c>
      <c r="O782" s="18" t="str">
        <f>IF($K782="","",IFERROR(VLOOKUP(--SUBSTITUTE(SUBSTITUTE(TRIM($K782),"-","")," ",""),마스터시트!$A$2:$H$1946,4,FALSE),""))</f>
        <v/>
      </c>
      <c r="P782" s="18" t="str">
        <f>IF($K782="","",IFERROR(VLOOKUP(--SUBSTITUTE(SUBSTITUTE(TRIM($K782),"-","")," ",""),마스터시트!$A$2:$H$1946,5,FALSE),""))</f>
        <v/>
      </c>
      <c r="Q782" s="18" t="str">
        <f>IF($K782="","",IFERROR(VLOOKUP(--SUBSTITUTE(SUBSTITUTE(TRIM($K782),"-","")," ",""),마스터시트!$A$2:$H$1946,6,FALSE),""))</f>
        <v/>
      </c>
      <c r="R782" s="18" t="str">
        <f>IF($K782="","",IFERROR(VLOOKUP(--SUBSTITUTE(SUBSTITUTE(TRIM($K782),"-","")," ",""),마스터시트!$A$2:$H$1946,7,FALSE),""))</f>
        <v/>
      </c>
    </row>
    <row r="783" spans="13:18" x14ac:dyDescent="0.3">
      <c r="M783" s="18" t="str">
        <f>IF($K783="","",IFERROR(VLOOKUP(--SUBSTITUTE(SUBSTITUTE(TRIM($K783),"-","")," ",""),마스터시트!$A$2:$H$1946,2,FALSE),"미등록"))</f>
        <v/>
      </c>
      <c r="N783" s="53" t="str">
        <f>IF($K783="","",IFERROR(VLOOKUP(--SUBSTITUTE(SUBSTITUTE(TRIM($K783),"-","")," ",""),마스터시트!$A$2:$H$1946,3,FALSE),"미등록"))</f>
        <v/>
      </c>
      <c r="O783" s="18" t="str">
        <f>IF($K783="","",IFERROR(VLOOKUP(--SUBSTITUTE(SUBSTITUTE(TRIM($K783),"-","")," ",""),마스터시트!$A$2:$H$1946,4,FALSE),""))</f>
        <v/>
      </c>
      <c r="P783" s="18" t="str">
        <f>IF($K783="","",IFERROR(VLOOKUP(--SUBSTITUTE(SUBSTITUTE(TRIM($K783),"-","")," ",""),마스터시트!$A$2:$H$1946,5,FALSE),""))</f>
        <v/>
      </c>
      <c r="Q783" s="18" t="str">
        <f>IF($K783="","",IFERROR(VLOOKUP(--SUBSTITUTE(SUBSTITUTE(TRIM($K783),"-","")," ",""),마스터시트!$A$2:$H$1946,6,FALSE),""))</f>
        <v/>
      </c>
      <c r="R783" s="18" t="str">
        <f>IF($K783="","",IFERROR(VLOOKUP(--SUBSTITUTE(SUBSTITUTE(TRIM($K783),"-","")," ",""),마스터시트!$A$2:$H$1946,7,FALSE),""))</f>
        <v/>
      </c>
    </row>
    <row r="784" spans="13:18" x14ac:dyDescent="0.3">
      <c r="M784" s="18" t="str">
        <f>IF($K784="","",IFERROR(VLOOKUP(--SUBSTITUTE(SUBSTITUTE(TRIM($K784),"-","")," ",""),마스터시트!$A$2:$H$1946,2,FALSE),"미등록"))</f>
        <v/>
      </c>
      <c r="N784" s="53" t="str">
        <f>IF($K784="","",IFERROR(VLOOKUP(--SUBSTITUTE(SUBSTITUTE(TRIM($K784),"-","")," ",""),마스터시트!$A$2:$H$1946,3,FALSE),"미등록"))</f>
        <v/>
      </c>
      <c r="O784" s="18" t="str">
        <f>IF($K784="","",IFERROR(VLOOKUP(--SUBSTITUTE(SUBSTITUTE(TRIM($K784),"-","")," ",""),마스터시트!$A$2:$H$1946,4,FALSE),""))</f>
        <v/>
      </c>
      <c r="P784" s="18" t="str">
        <f>IF($K784="","",IFERROR(VLOOKUP(--SUBSTITUTE(SUBSTITUTE(TRIM($K784),"-","")," ",""),마스터시트!$A$2:$H$1946,5,FALSE),""))</f>
        <v/>
      </c>
      <c r="Q784" s="18" t="str">
        <f>IF($K784="","",IFERROR(VLOOKUP(--SUBSTITUTE(SUBSTITUTE(TRIM($K784),"-","")," ",""),마스터시트!$A$2:$H$1946,6,FALSE),""))</f>
        <v/>
      </c>
      <c r="R784" s="18" t="str">
        <f>IF($K784="","",IFERROR(VLOOKUP(--SUBSTITUTE(SUBSTITUTE(TRIM($K784),"-","")," ",""),마스터시트!$A$2:$H$1946,7,FALSE),""))</f>
        <v/>
      </c>
    </row>
    <row r="785" spans="13:18" x14ac:dyDescent="0.3">
      <c r="M785" s="18" t="str">
        <f>IF($K785="","",IFERROR(VLOOKUP(--SUBSTITUTE(SUBSTITUTE(TRIM($K785),"-","")," ",""),마스터시트!$A$2:$H$1946,2,FALSE),"미등록"))</f>
        <v/>
      </c>
      <c r="N785" s="53" t="str">
        <f>IF($K785="","",IFERROR(VLOOKUP(--SUBSTITUTE(SUBSTITUTE(TRIM($K785),"-","")," ",""),마스터시트!$A$2:$H$1946,3,FALSE),"미등록"))</f>
        <v/>
      </c>
      <c r="O785" s="18" t="str">
        <f>IF($K785="","",IFERROR(VLOOKUP(--SUBSTITUTE(SUBSTITUTE(TRIM($K785),"-","")," ",""),마스터시트!$A$2:$H$1946,4,FALSE),""))</f>
        <v/>
      </c>
      <c r="P785" s="18" t="str">
        <f>IF($K785="","",IFERROR(VLOOKUP(--SUBSTITUTE(SUBSTITUTE(TRIM($K785),"-","")," ",""),마스터시트!$A$2:$H$1946,5,FALSE),""))</f>
        <v/>
      </c>
      <c r="Q785" s="18" t="str">
        <f>IF($K785="","",IFERROR(VLOOKUP(--SUBSTITUTE(SUBSTITUTE(TRIM($K785),"-","")," ",""),마스터시트!$A$2:$H$1946,6,FALSE),""))</f>
        <v/>
      </c>
      <c r="R785" s="18" t="str">
        <f>IF($K785="","",IFERROR(VLOOKUP(--SUBSTITUTE(SUBSTITUTE(TRIM($K785),"-","")," ",""),마스터시트!$A$2:$H$1946,7,FALSE),""))</f>
        <v/>
      </c>
    </row>
    <row r="786" spans="13:18" x14ac:dyDescent="0.3">
      <c r="M786" s="18" t="str">
        <f>IF($K786="","",IFERROR(VLOOKUP(--SUBSTITUTE(SUBSTITUTE(TRIM($K786),"-","")," ",""),마스터시트!$A$2:$H$1946,2,FALSE),"미등록"))</f>
        <v/>
      </c>
      <c r="N786" s="53" t="str">
        <f>IF($K786="","",IFERROR(VLOOKUP(--SUBSTITUTE(SUBSTITUTE(TRIM($K786),"-","")," ",""),마스터시트!$A$2:$H$1946,3,FALSE),"미등록"))</f>
        <v/>
      </c>
      <c r="O786" s="18" t="str">
        <f>IF($K786="","",IFERROR(VLOOKUP(--SUBSTITUTE(SUBSTITUTE(TRIM($K786),"-","")," ",""),마스터시트!$A$2:$H$1946,4,FALSE),""))</f>
        <v/>
      </c>
      <c r="P786" s="18" t="str">
        <f>IF($K786="","",IFERROR(VLOOKUP(--SUBSTITUTE(SUBSTITUTE(TRIM($K786),"-","")," ",""),마스터시트!$A$2:$H$1946,5,FALSE),""))</f>
        <v/>
      </c>
      <c r="Q786" s="18" t="str">
        <f>IF($K786="","",IFERROR(VLOOKUP(--SUBSTITUTE(SUBSTITUTE(TRIM($K786),"-","")," ",""),마스터시트!$A$2:$H$1946,6,FALSE),""))</f>
        <v/>
      </c>
      <c r="R786" s="18" t="str">
        <f>IF($K786="","",IFERROR(VLOOKUP(--SUBSTITUTE(SUBSTITUTE(TRIM($K786),"-","")," ",""),마스터시트!$A$2:$H$1946,7,FALSE),""))</f>
        <v/>
      </c>
    </row>
    <row r="787" spans="13:18" x14ac:dyDescent="0.3">
      <c r="M787" s="18" t="str">
        <f>IF($K787="","",IFERROR(VLOOKUP(--SUBSTITUTE(SUBSTITUTE(TRIM($K787),"-","")," ",""),마스터시트!$A$2:$H$1946,2,FALSE),"미등록"))</f>
        <v/>
      </c>
      <c r="N787" s="53" t="str">
        <f>IF($K787="","",IFERROR(VLOOKUP(--SUBSTITUTE(SUBSTITUTE(TRIM($K787),"-","")," ",""),마스터시트!$A$2:$H$1946,3,FALSE),"미등록"))</f>
        <v/>
      </c>
      <c r="O787" s="18" t="str">
        <f>IF($K787="","",IFERROR(VLOOKUP(--SUBSTITUTE(SUBSTITUTE(TRIM($K787),"-","")," ",""),마스터시트!$A$2:$H$1946,4,FALSE),""))</f>
        <v/>
      </c>
      <c r="P787" s="18" t="str">
        <f>IF($K787="","",IFERROR(VLOOKUP(--SUBSTITUTE(SUBSTITUTE(TRIM($K787),"-","")," ",""),마스터시트!$A$2:$H$1946,5,FALSE),""))</f>
        <v/>
      </c>
      <c r="Q787" s="18" t="str">
        <f>IF($K787="","",IFERROR(VLOOKUP(--SUBSTITUTE(SUBSTITUTE(TRIM($K787),"-","")," ",""),마스터시트!$A$2:$H$1946,6,FALSE),""))</f>
        <v/>
      </c>
      <c r="R787" s="18" t="str">
        <f>IF($K787="","",IFERROR(VLOOKUP(--SUBSTITUTE(SUBSTITUTE(TRIM($K787),"-","")," ",""),마스터시트!$A$2:$H$1946,7,FALSE),""))</f>
        <v/>
      </c>
    </row>
    <row r="788" spans="13:18" x14ac:dyDescent="0.3">
      <c r="M788" s="18" t="str">
        <f>IF($K788="","",IFERROR(VLOOKUP(--SUBSTITUTE(SUBSTITUTE(TRIM($K788),"-","")," ",""),마스터시트!$A$2:$H$1946,2,FALSE),"미등록"))</f>
        <v/>
      </c>
      <c r="N788" s="53" t="str">
        <f>IF($K788="","",IFERROR(VLOOKUP(--SUBSTITUTE(SUBSTITUTE(TRIM($K788),"-","")," ",""),마스터시트!$A$2:$H$1946,3,FALSE),"미등록"))</f>
        <v/>
      </c>
      <c r="O788" s="18" t="str">
        <f>IF($K788="","",IFERROR(VLOOKUP(--SUBSTITUTE(SUBSTITUTE(TRIM($K788),"-","")," ",""),마스터시트!$A$2:$H$1946,4,FALSE),""))</f>
        <v/>
      </c>
      <c r="P788" s="18" t="str">
        <f>IF($K788="","",IFERROR(VLOOKUP(--SUBSTITUTE(SUBSTITUTE(TRIM($K788),"-","")," ",""),마스터시트!$A$2:$H$1946,5,FALSE),""))</f>
        <v/>
      </c>
      <c r="Q788" s="18" t="str">
        <f>IF($K788="","",IFERROR(VLOOKUP(--SUBSTITUTE(SUBSTITUTE(TRIM($K788),"-","")," ",""),마스터시트!$A$2:$H$1946,6,FALSE),""))</f>
        <v/>
      </c>
      <c r="R788" s="18" t="str">
        <f>IF($K788="","",IFERROR(VLOOKUP(--SUBSTITUTE(SUBSTITUTE(TRIM($K788),"-","")," ",""),마스터시트!$A$2:$H$1946,7,FALSE),""))</f>
        <v/>
      </c>
    </row>
    <row r="789" spans="13:18" x14ac:dyDescent="0.3">
      <c r="M789" s="18" t="str">
        <f>IF($K789="","",IFERROR(VLOOKUP(--SUBSTITUTE(SUBSTITUTE(TRIM($K789),"-","")," ",""),마스터시트!$A$2:$H$1946,2,FALSE),"미등록"))</f>
        <v/>
      </c>
      <c r="N789" s="53" t="str">
        <f>IF($K789="","",IFERROR(VLOOKUP(--SUBSTITUTE(SUBSTITUTE(TRIM($K789),"-","")," ",""),마스터시트!$A$2:$H$1946,3,FALSE),"미등록"))</f>
        <v/>
      </c>
      <c r="O789" s="18" t="str">
        <f>IF($K789="","",IFERROR(VLOOKUP(--SUBSTITUTE(SUBSTITUTE(TRIM($K789),"-","")," ",""),마스터시트!$A$2:$H$1946,4,FALSE),""))</f>
        <v/>
      </c>
      <c r="P789" s="18" t="str">
        <f>IF($K789="","",IFERROR(VLOOKUP(--SUBSTITUTE(SUBSTITUTE(TRIM($K789),"-","")," ",""),마스터시트!$A$2:$H$1946,5,FALSE),""))</f>
        <v/>
      </c>
      <c r="Q789" s="18" t="str">
        <f>IF($K789="","",IFERROR(VLOOKUP(--SUBSTITUTE(SUBSTITUTE(TRIM($K789),"-","")," ",""),마스터시트!$A$2:$H$1946,6,FALSE),""))</f>
        <v/>
      </c>
      <c r="R789" s="18" t="str">
        <f>IF($K789="","",IFERROR(VLOOKUP(--SUBSTITUTE(SUBSTITUTE(TRIM($K789),"-","")," ",""),마스터시트!$A$2:$H$1946,7,FALSE),""))</f>
        <v/>
      </c>
    </row>
    <row r="790" spans="13:18" x14ac:dyDescent="0.3">
      <c r="M790" s="18" t="str">
        <f>IF($K790="","",IFERROR(VLOOKUP(--SUBSTITUTE(SUBSTITUTE(TRIM($K790),"-","")," ",""),마스터시트!$A$2:$H$1946,2,FALSE),"미등록"))</f>
        <v/>
      </c>
      <c r="N790" s="53" t="str">
        <f>IF($K790="","",IFERROR(VLOOKUP(--SUBSTITUTE(SUBSTITUTE(TRIM($K790),"-","")," ",""),마스터시트!$A$2:$H$1946,3,FALSE),"미등록"))</f>
        <v/>
      </c>
      <c r="O790" s="18" t="str">
        <f>IF($K790="","",IFERROR(VLOOKUP(--SUBSTITUTE(SUBSTITUTE(TRIM($K790),"-","")," ",""),마스터시트!$A$2:$H$1946,4,FALSE),""))</f>
        <v/>
      </c>
      <c r="P790" s="18" t="str">
        <f>IF($K790="","",IFERROR(VLOOKUP(--SUBSTITUTE(SUBSTITUTE(TRIM($K790),"-","")," ",""),마스터시트!$A$2:$H$1946,5,FALSE),""))</f>
        <v/>
      </c>
      <c r="Q790" s="18" t="str">
        <f>IF($K790="","",IFERROR(VLOOKUP(--SUBSTITUTE(SUBSTITUTE(TRIM($K790),"-","")," ",""),마스터시트!$A$2:$H$1946,6,FALSE),""))</f>
        <v/>
      </c>
      <c r="R790" s="18" t="str">
        <f>IF($K790="","",IFERROR(VLOOKUP(--SUBSTITUTE(SUBSTITUTE(TRIM($K790),"-","")," ",""),마스터시트!$A$2:$H$1946,7,FALSE),""))</f>
        <v/>
      </c>
    </row>
    <row r="791" spans="13:18" x14ac:dyDescent="0.3">
      <c r="M791" s="18" t="str">
        <f>IF($K791="","",IFERROR(VLOOKUP(--SUBSTITUTE(SUBSTITUTE(TRIM($K791),"-","")," ",""),마스터시트!$A$2:$H$1946,2,FALSE),"미등록"))</f>
        <v/>
      </c>
      <c r="N791" s="53" t="str">
        <f>IF($K791="","",IFERROR(VLOOKUP(--SUBSTITUTE(SUBSTITUTE(TRIM($K791),"-","")," ",""),마스터시트!$A$2:$H$1946,3,FALSE),"미등록"))</f>
        <v/>
      </c>
      <c r="O791" s="18" t="str">
        <f>IF($K791="","",IFERROR(VLOOKUP(--SUBSTITUTE(SUBSTITUTE(TRIM($K791),"-","")," ",""),마스터시트!$A$2:$H$1946,4,FALSE),""))</f>
        <v/>
      </c>
      <c r="P791" s="18" t="str">
        <f>IF($K791="","",IFERROR(VLOOKUP(--SUBSTITUTE(SUBSTITUTE(TRIM($K791),"-","")," ",""),마스터시트!$A$2:$H$1946,5,FALSE),""))</f>
        <v/>
      </c>
      <c r="Q791" s="18" t="str">
        <f>IF($K791="","",IFERROR(VLOOKUP(--SUBSTITUTE(SUBSTITUTE(TRIM($K791),"-","")," ",""),마스터시트!$A$2:$H$1946,6,FALSE),""))</f>
        <v/>
      </c>
      <c r="R791" s="18" t="str">
        <f>IF($K791="","",IFERROR(VLOOKUP(--SUBSTITUTE(SUBSTITUTE(TRIM($K791),"-","")," ",""),마스터시트!$A$2:$H$1946,7,FALSE),""))</f>
        <v/>
      </c>
    </row>
    <row r="792" spans="13:18" x14ac:dyDescent="0.3">
      <c r="M792" s="18" t="str">
        <f>IF($K792="","",IFERROR(VLOOKUP(--SUBSTITUTE(SUBSTITUTE(TRIM($K792),"-","")," ",""),마스터시트!$A$2:$H$1946,2,FALSE),"미등록"))</f>
        <v/>
      </c>
      <c r="N792" s="53" t="str">
        <f>IF($K792="","",IFERROR(VLOOKUP(--SUBSTITUTE(SUBSTITUTE(TRIM($K792),"-","")," ",""),마스터시트!$A$2:$H$1946,3,FALSE),"미등록"))</f>
        <v/>
      </c>
      <c r="O792" s="18" t="str">
        <f>IF($K792="","",IFERROR(VLOOKUP(--SUBSTITUTE(SUBSTITUTE(TRIM($K792),"-","")," ",""),마스터시트!$A$2:$H$1946,4,FALSE),""))</f>
        <v/>
      </c>
      <c r="P792" s="18" t="str">
        <f>IF($K792="","",IFERROR(VLOOKUP(--SUBSTITUTE(SUBSTITUTE(TRIM($K792),"-","")," ",""),마스터시트!$A$2:$H$1946,5,FALSE),""))</f>
        <v/>
      </c>
      <c r="Q792" s="18" t="str">
        <f>IF($K792="","",IFERROR(VLOOKUP(--SUBSTITUTE(SUBSTITUTE(TRIM($K792),"-","")," ",""),마스터시트!$A$2:$H$1946,6,FALSE),""))</f>
        <v/>
      </c>
      <c r="R792" s="18" t="str">
        <f>IF($K792="","",IFERROR(VLOOKUP(--SUBSTITUTE(SUBSTITUTE(TRIM($K792),"-","")," ",""),마스터시트!$A$2:$H$1946,7,FALSE),""))</f>
        <v/>
      </c>
    </row>
    <row r="793" spans="13:18" x14ac:dyDescent="0.3">
      <c r="M793" s="18" t="str">
        <f>IF($K793="","",IFERROR(VLOOKUP(--SUBSTITUTE(SUBSTITUTE(TRIM($K793),"-","")," ",""),마스터시트!$A$2:$H$1946,2,FALSE),"미등록"))</f>
        <v/>
      </c>
      <c r="N793" s="53" t="str">
        <f>IF($K793="","",IFERROR(VLOOKUP(--SUBSTITUTE(SUBSTITUTE(TRIM($K793),"-","")," ",""),마스터시트!$A$2:$H$1946,3,FALSE),"미등록"))</f>
        <v/>
      </c>
      <c r="O793" s="18" t="str">
        <f>IF($K793="","",IFERROR(VLOOKUP(--SUBSTITUTE(SUBSTITUTE(TRIM($K793),"-","")," ",""),마스터시트!$A$2:$H$1946,4,FALSE),""))</f>
        <v/>
      </c>
      <c r="P793" s="18" t="str">
        <f>IF($K793="","",IFERROR(VLOOKUP(--SUBSTITUTE(SUBSTITUTE(TRIM($K793),"-","")," ",""),마스터시트!$A$2:$H$1946,5,FALSE),""))</f>
        <v/>
      </c>
      <c r="Q793" s="18" t="str">
        <f>IF($K793="","",IFERROR(VLOOKUP(--SUBSTITUTE(SUBSTITUTE(TRIM($K793),"-","")," ",""),마스터시트!$A$2:$H$1946,6,FALSE),""))</f>
        <v/>
      </c>
      <c r="R793" s="18" t="str">
        <f>IF($K793="","",IFERROR(VLOOKUP(--SUBSTITUTE(SUBSTITUTE(TRIM($K793),"-","")," ",""),마스터시트!$A$2:$H$1946,7,FALSE),""))</f>
        <v/>
      </c>
    </row>
    <row r="794" spans="13:18" x14ac:dyDescent="0.3">
      <c r="M794" s="18" t="str">
        <f>IF($K794="","",IFERROR(VLOOKUP(--SUBSTITUTE(SUBSTITUTE(TRIM($K794),"-","")," ",""),마스터시트!$A$2:$H$1946,2,FALSE),"미등록"))</f>
        <v/>
      </c>
      <c r="N794" s="53" t="str">
        <f>IF($K794="","",IFERROR(VLOOKUP(--SUBSTITUTE(SUBSTITUTE(TRIM($K794),"-","")," ",""),마스터시트!$A$2:$H$1946,3,FALSE),"미등록"))</f>
        <v/>
      </c>
      <c r="O794" s="18" t="str">
        <f>IF($K794="","",IFERROR(VLOOKUP(--SUBSTITUTE(SUBSTITUTE(TRIM($K794),"-","")," ",""),마스터시트!$A$2:$H$1946,4,FALSE),""))</f>
        <v/>
      </c>
      <c r="P794" s="18" t="str">
        <f>IF($K794="","",IFERROR(VLOOKUP(--SUBSTITUTE(SUBSTITUTE(TRIM($K794),"-","")," ",""),마스터시트!$A$2:$H$1946,5,FALSE),""))</f>
        <v/>
      </c>
      <c r="Q794" s="18" t="str">
        <f>IF($K794="","",IFERROR(VLOOKUP(--SUBSTITUTE(SUBSTITUTE(TRIM($K794),"-","")," ",""),마스터시트!$A$2:$H$1946,6,FALSE),""))</f>
        <v/>
      </c>
      <c r="R794" s="18" t="str">
        <f>IF($K794="","",IFERROR(VLOOKUP(--SUBSTITUTE(SUBSTITUTE(TRIM($K794),"-","")," ",""),마스터시트!$A$2:$H$1946,7,FALSE),""))</f>
        <v/>
      </c>
    </row>
    <row r="795" spans="13:18" x14ac:dyDescent="0.3">
      <c r="M795" s="18" t="str">
        <f>IF($K795="","",IFERROR(VLOOKUP(--SUBSTITUTE(SUBSTITUTE(TRIM($K795),"-","")," ",""),마스터시트!$A$2:$H$1946,2,FALSE),"미등록"))</f>
        <v/>
      </c>
      <c r="N795" s="53" t="str">
        <f>IF($K795="","",IFERROR(VLOOKUP(--SUBSTITUTE(SUBSTITUTE(TRIM($K795),"-","")," ",""),마스터시트!$A$2:$H$1946,3,FALSE),"미등록"))</f>
        <v/>
      </c>
      <c r="O795" s="18" t="str">
        <f>IF($K795="","",IFERROR(VLOOKUP(--SUBSTITUTE(SUBSTITUTE(TRIM($K795),"-","")," ",""),마스터시트!$A$2:$H$1946,4,FALSE),""))</f>
        <v/>
      </c>
      <c r="P795" s="18" t="str">
        <f>IF($K795="","",IFERROR(VLOOKUP(--SUBSTITUTE(SUBSTITUTE(TRIM($K795),"-","")," ",""),마스터시트!$A$2:$H$1946,5,FALSE),""))</f>
        <v/>
      </c>
      <c r="Q795" s="18" t="str">
        <f>IF($K795="","",IFERROR(VLOOKUP(--SUBSTITUTE(SUBSTITUTE(TRIM($K795),"-","")," ",""),마스터시트!$A$2:$H$1946,6,FALSE),""))</f>
        <v/>
      </c>
      <c r="R795" s="18" t="str">
        <f>IF($K795="","",IFERROR(VLOOKUP(--SUBSTITUTE(SUBSTITUTE(TRIM($K795),"-","")," ",""),마스터시트!$A$2:$H$1946,7,FALSE),""))</f>
        <v/>
      </c>
    </row>
    <row r="796" spans="13:18" x14ac:dyDescent="0.3">
      <c r="M796" s="18" t="str">
        <f>IF($K796="","",IFERROR(VLOOKUP(--SUBSTITUTE(SUBSTITUTE(TRIM($K796),"-","")," ",""),마스터시트!$A$2:$H$1946,2,FALSE),"미등록"))</f>
        <v/>
      </c>
      <c r="N796" s="53" t="str">
        <f>IF($K796="","",IFERROR(VLOOKUP(--SUBSTITUTE(SUBSTITUTE(TRIM($K796),"-","")," ",""),마스터시트!$A$2:$H$1946,3,FALSE),"미등록"))</f>
        <v/>
      </c>
      <c r="O796" s="18" t="str">
        <f>IF($K796="","",IFERROR(VLOOKUP(--SUBSTITUTE(SUBSTITUTE(TRIM($K796),"-","")," ",""),마스터시트!$A$2:$H$1946,4,FALSE),""))</f>
        <v/>
      </c>
      <c r="P796" s="18" t="str">
        <f>IF($K796="","",IFERROR(VLOOKUP(--SUBSTITUTE(SUBSTITUTE(TRIM($K796),"-","")," ",""),마스터시트!$A$2:$H$1946,5,FALSE),""))</f>
        <v/>
      </c>
      <c r="Q796" s="18" t="str">
        <f>IF($K796="","",IFERROR(VLOOKUP(--SUBSTITUTE(SUBSTITUTE(TRIM($K796),"-","")," ",""),마스터시트!$A$2:$H$1946,6,FALSE),""))</f>
        <v/>
      </c>
      <c r="R796" s="18" t="str">
        <f>IF($K796="","",IFERROR(VLOOKUP(--SUBSTITUTE(SUBSTITUTE(TRIM($K796),"-","")," ",""),마스터시트!$A$2:$H$1946,7,FALSE),""))</f>
        <v/>
      </c>
    </row>
    <row r="797" spans="13:18" x14ac:dyDescent="0.3">
      <c r="M797" s="18" t="str">
        <f>IF($K797="","",IFERROR(VLOOKUP(--SUBSTITUTE(SUBSTITUTE(TRIM($K797),"-","")," ",""),마스터시트!$A$2:$H$1946,2,FALSE),"미등록"))</f>
        <v/>
      </c>
      <c r="N797" s="53" t="str">
        <f>IF($K797="","",IFERROR(VLOOKUP(--SUBSTITUTE(SUBSTITUTE(TRIM($K797),"-","")," ",""),마스터시트!$A$2:$H$1946,3,FALSE),"미등록"))</f>
        <v/>
      </c>
      <c r="O797" s="18" t="str">
        <f>IF($K797="","",IFERROR(VLOOKUP(--SUBSTITUTE(SUBSTITUTE(TRIM($K797),"-","")," ",""),마스터시트!$A$2:$H$1946,4,FALSE),""))</f>
        <v/>
      </c>
      <c r="P797" s="18" t="str">
        <f>IF($K797="","",IFERROR(VLOOKUP(--SUBSTITUTE(SUBSTITUTE(TRIM($K797),"-","")," ",""),마스터시트!$A$2:$H$1946,5,FALSE),""))</f>
        <v/>
      </c>
      <c r="Q797" s="18" t="str">
        <f>IF($K797="","",IFERROR(VLOOKUP(--SUBSTITUTE(SUBSTITUTE(TRIM($K797),"-","")," ",""),마스터시트!$A$2:$H$1946,6,FALSE),""))</f>
        <v/>
      </c>
      <c r="R797" s="18" t="str">
        <f>IF($K797="","",IFERROR(VLOOKUP(--SUBSTITUTE(SUBSTITUTE(TRIM($K797),"-","")," ",""),마스터시트!$A$2:$H$1946,7,FALSE),""))</f>
        <v/>
      </c>
    </row>
    <row r="798" spans="13:18" x14ac:dyDescent="0.3">
      <c r="M798" s="18" t="str">
        <f>IF($K798="","",IFERROR(VLOOKUP(--SUBSTITUTE(SUBSTITUTE(TRIM($K798),"-","")," ",""),마스터시트!$A$2:$H$1946,2,FALSE),"미등록"))</f>
        <v/>
      </c>
      <c r="N798" s="53" t="str">
        <f>IF($K798="","",IFERROR(VLOOKUP(--SUBSTITUTE(SUBSTITUTE(TRIM($K798),"-","")," ",""),마스터시트!$A$2:$H$1946,3,FALSE),"미등록"))</f>
        <v/>
      </c>
      <c r="O798" s="18" t="str">
        <f>IF($K798="","",IFERROR(VLOOKUP(--SUBSTITUTE(SUBSTITUTE(TRIM($K798),"-","")," ",""),마스터시트!$A$2:$H$1946,4,FALSE),""))</f>
        <v/>
      </c>
      <c r="P798" s="18" t="str">
        <f>IF($K798="","",IFERROR(VLOOKUP(--SUBSTITUTE(SUBSTITUTE(TRIM($K798),"-","")," ",""),마스터시트!$A$2:$H$1946,5,FALSE),""))</f>
        <v/>
      </c>
      <c r="Q798" s="18" t="str">
        <f>IF($K798="","",IFERROR(VLOOKUP(--SUBSTITUTE(SUBSTITUTE(TRIM($K798),"-","")," ",""),마스터시트!$A$2:$H$1946,6,FALSE),""))</f>
        <v/>
      </c>
      <c r="R798" s="18" t="str">
        <f>IF($K798="","",IFERROR(VLOOKUP(--SUBSTITUTE(SUBSTITUTE(TRIM($K798),"-","")," ",""),마스터시트!$A$2:$H$1946,7,FALSE),""))</f>
        <v/>
      </c>
    </row>
    <row r="799" spans="13:18" x14ac:dyDescent="0.3">
      <c r="M799" s="18" t="str">
        <f>IF($K799="","",IFERROR(VLOOKUP(--SUBSTITUTE(SUBSTITUTE(TRIM($K799),"-","")," ",""),마스터시트!$A$2:$H$1946,2,FALSE),"미등록"))</f>
        <v/>
      </c>
      <c r="N799" s="53" t="str">
        <f>IF($K799="","",IFERROR(VLOOKUP(--SUBSTITUTE(SUBSTITUTE(TRIM($K799),"-","")," ",""),마스터시트!$A$2:$H$1946,3,FALSE),"미등록"))</f>
        <v/>
      </c>
      <c r="O799" s="18" t="str">
        <f>IF($K799="","",IFERROR(VLOOKUP(--SUBSTITUTE(SUBSTITUTE(TRIM($K799),"-","")," ",""),마스터시트!$A$2:$H$1946,4,FALSE),""))</f>
        <v/>
      </c>
      <c r="P799" s="18" t="str">
        <f>IF($K799="","",IFERROR(VLOOKUP(--SUBSTITUTE(SUBSTITUTE(TRIM($K799),"-","")," ",""),마스터시트!$A$2:$H$1946,5,FALSE),""))</f>
        <v/>
      </c>
      <c r="Q799" s="18" t="str">
        <f>IF($K799="","",IFERROR(VLOOKUP(--SUBSTITUTE(SUBSTITUTE(TRIM($K799),"-","")," ",""),마스터시트!$A$2:$H$1946,6,FALSE),""))</f>
        <v/>
      </c>
      <c r="R799" s="18" t="str">
        <f>IF($K799="","",IFERROR(VLOOKUP(--SUBSTITUTE(SUBSTITUTE(TRIM($K799),"-","")," ",""),마스터시트!$A$2:$H$1946,7,FALSE),""))</f>
        <v/>
      </c>
    </row>
    <row r="800" spans="13:18" x14ac:dyDescent="0.3">
      <c r="M800" s="18" t="str">
        <f>IF($K800="","",IFERROR(VLOOKUP(--SUBSTITUTE(SUBSTITUTE(TRIM($K800),"-","")," ",""),마스터시트!$A$2:$H$1946,2,FALSE),"미등록"))</f>
        <v/>
      </c>
      <c r="N800" s="53" t="str">
        <f>IF($K800="","",IFERROR(VLOOKUP(--SUBSTITUTE(SUBSTITUTE(TRIM($K800),"-","")," ",""),마스터시트!$A$2:$H$1946,3,FALSE),"미등록"))</f>
        <v/>
      </c>
      <c r="O800" s="18" t="str">
        <f>IF($K800="","",IFERROR(VLOOKUP(--SUBSTITUTE(SUBSTITUTE(TRIM($K800),"-","")," ",""),마스터시트!$A$2:$H$1946,4,FALSE),""))</f>
        <v/>
      </c>
      <c r="P800" s="18" t="str">
        <f>IF($K800="","",IFERROR(VLOOKUP(--SUBSTITUTE(SUBSTITUTE(TRIM($K800),"-","")," ",""),마스터시트!$A$2:$H$1946,5,FALSE),""))</f>
        <v/>
      </c>
      <c r="Q800" s="18" t="str">
        <f>IF($K800="","",IFERROR(VLOOKUP(--SUBSTITUTE(SUBSTITUTE(TRIM($K800),"-","")," ",""),마스터시트!$A$2:$H$1946,6,FALSE),""))</f>
        <v/>
      </c>
      <c r="R800" s="18" t="str">
        <f>IF($K800="","",IFERROR(VLOOKUP(--SUBSTITUTE(SUBSTITUTE(TRIM($K800),"-","")," ",""),마스터시트!$A$2:$H$1946,7,FALSE),""))</f>
        <v/>
      </c>
    </row>
    <row r="801" spans="13:18" x14ac:dyDescent="0.3">
      <c r="M801" s="18" t="str">
        <f>IF($K801="","",IFERROR(VLOOKUP(--SUBSTITUTE(SUBSTITUTE(TRIM($K801),"-","")," ",""),마스터시트!$A$2:$H$1946,2,FALSE),"미등록"))</f>
        <v/>
      </c>
      <c r="N801" s="53" t="str">
        <f>IF($K801="","",IFERROR(VLOOKUP(--SUBSTITUTE(SUBSTITUTE(TRIM($K801),"-","")," ",""),마스터시트!$A$2:$H$1946,3,FALSE),"미등록"))</f>
        <v/>
      </c>
      <c r="O801" s="18" t="str">
        <f>IF($K801="","",IFERROR(VLOOKUP(--SUBSTITUTE(SUBSTITUTE(TRIM($K801),"-","")," ",""),마스터시트!$A$2:$H$1946,4,FALSE),""))</f>
        <v/>
      </c>
      <c r="P801" s="18" t="str">
        <f>IF($K801="","",IFERROR(VLOOKUP(--SUBSTITUTE(SUBSTITUTE(TRIM($K801),"-","")," ",""),마스터시트!$A$2:$H$1946,5,FALSE),""))</f>
        <v/>
      </c>
      <c r="Q801" s="18" t="str">
        <f>IF($K801="","",IFERROR(VLOOKUP(--SUBSTITUTE(SUBSTITUTE(TRIM($K801),"-","")," ",""),마스터시트!$A$2:$H$1946,6,FALSE),""))</f>
        <v/>
      </c>
      <c r="R801" s="18" t="str">
        <f>IF($K801="","",IFERROR(VLOOKUP(--SUBSTITUTE(SUBSTITUTE(TRIM($K801),"-","")," ",""),마스터시트!$A$2:$H$1946,7,FALSE),""))</f>
        <v/>
      </c>
    </row>
    <row r="802" spans="13:18" x14ac:dyDescent="0.3">
      <c r="M802" s="18" t="str">
        <f>IF($K802="","",IFERROR(VLOOKUP(--SUBSTITUTE(SUBSTITUTE(TRIM($K802),"-","")," ",""),마스터시트!$A$2:$H$1946,2,FALSE),"미등록"))</f>
        <v/>
      </c>
      <c r="N802" s="53" t="str">
        <f>IF($K802="","",IFERROR(VLOOKUP(--SUBSTITUTE(SUBSTITUTE(TRIM($K802),"-","")," ",""),마스터시트!$A$2:$H$1946,3,FALSE),"미등록"))</f>
        <v/>
      </c>
      <c r="O802" s="18" t="str">
        <f>IF($K802="","",IFERROR(VLOOKUP(--SUBSTITUTE(SUBSTITUTE(TRIM($K802),"-","")," ",""),마스터시트!$A$2:$H$1946,4,FALSE),""))</f>
        <v/>
      </c>
      <c r="P802" s="18" t="str">
        <f>IF($K802="","",IFERROR(VLOOKUP(--SUBSTITUTE(SUBSTITUTE(TRIM($K802),"-","")," ",""),마스터시트!$A$2:$H$1946,5,FALSE),""))</f>
        <v/>
      </c>
      <c r="Q802" s="18" t="str">
        <f>IF($K802="","",IFERROR(VLOOKUP(--SUBSTITUTE(SUBSTITUTE(TRIM($K802),"-","")," ",""),마스터시트!$A$2:$H$1946,6,FALSE),""))</f>
        <v/>
      </c>
      <c r="R802" s="18" t="str">
        <f>IF($K802="","",IFERROR(VLOOKUP(--SUBSTITUTE(SUBSTITUTE(TRIM($K802),"-","")," ",""),마스터시트!$A$2:$H$1946,7,FALSE),""))</f>
        <v/>
      </c>
    </row>
    <row r="803" spans="13:18" x14ac:dyDescent="0.3">
      <c r="M803" s="18" t="str">
        <f>IF($K803="","",IFERROR(VLOOKUP(--SUBSTITUTE(SUBSTITUTE(TRIM($K803),"-","")," ",""),마스터시트!$A$2:$H$1946,2,FALSE),"미등록"))</f>
        <v/>
      </c>
      <c r="N803" s="53" t="str">
        <f>IF($K803="","",IFERROR(VLOOKUP(--SUBSTITUTE(SUBSTITUTE(TRIM($K803),"-","")," ",""),마스터시트!$A$2:$H$1946,3,FALSE),"미등록"))</f>
        <v/>
      </c>
      <c r="O803" s="18" t="str">
        <f>IF($K803="","",IFERROR(VLOOKUP(--SUBSTITUTE(SUBSTITUTE(TRIM($K803),"-","")," ",""),마스터시트!$A$2:$H$1946,4,FALSE),""))</f>
        <v/>
      </c>
      <c r="P803" s="18" t="str">
        <f>IF($K803="","",IFERROR(VLOOKUP(--SUBSTITUTE(SUBSTITUTE(TRIM($K803),"-","")," ",""),마스터시트!$A$2:$H$1946,5,FALSE),""))</f>
        <v/>
      </c>
      <c r="Q803" s="18" t="str">
        <f>IF($K803="","",IFERROR(VLOOKUP(--SUBSTITUTE(SUBSTITUTE(TRIM($K803),"-","")," ",""),마스터시트!$A$2:$H$1946,6,FALSE),""))</f>
        <v/>
      </c>
      <c r="R803" s="18" t="str">
        <f>IF($K803="","",IFERROR(VLOOKUP(--SUBSTITUTE(SUBSTITUTE(TRIM($K803),"-","")," ",""),마스터시트!$A$2:$H$1946,7,FALSE),""))</f>
        <v/>
      </c>
    </row>
    <row r="804" spans="13:18" x14ac:dyDescent="0.3">
      <c r="M804" s="18" t="str">
        <f>IF($K804="","",IFERROR(VLOOKUP(--SUBSTITUTE(SUBSTITUTE(TRIM($K804),"-","")," ",""),마스터시트!$A$2:$H$1946,2,FALSE),"미등록"))</f>
        <v/>
      </c>
      <c r="N804" s="53" t="str">
        <f>IF($K804="","",IFERROR(VLOOKUP(--SUBSTITUTE(SUBSTITUTE(TRIM($K804),"-","")," ",""),마스터시트!$A$2:$H$1946,3,FALSE),"미등록"))</f>
        <v/>
      </c>
      <c r="O804" s="18" t="str">
        <f>IF($K804="","",IFERROR(VLOOKUP(--SUBSTITUTE(SUBSTITUTE(TRIM($K804),"-","")," ",""),마스터시트!$A$2:$H$1946,4,FALSE),""))</f>
        <v/>
      </c>
      <c r="P804" s="18" t="str">
        <f>IF($K804="","",IFERROR(VLOOKUP(--SUBSTITUTE(SUBSTITUTE(TRIM($K804),"-","")," ",""),마스터시트!$A$2:$H$1946,5,FALSE),""))</f>
        <v/>
      </c>
      <c r="Q804" s="18" t="str">
        <f>IF($K804="","",IFERROR(VLOOKUP(--SUBSTITUTE(SUBSTITUTE(TRIM($K804),"-","")," ",""),마스터시트!$A$2:$H$1946,6,FALSE),""))</f>
        <v/>
      </c>
      <c r="R804" s="18" t="str">
        <f>IF($K804="","",IFERROR(VLOOKUP(--SUBSTITUTE(SUBSTITUTE(TRIM($K804),"-","")," ",""),마스터시트!$A$2:$H$1946,7,FALSE),""))</f>
        <v/>
      </c>
    </row>
    <row r="805" spans="13:18" x14ac:dyDescent="0.3">
      <c r="M805" s="18" t="str">
        <f>IF($K805="","",IFERROR(VLOOKUP(--SUBSTITUTE(SUBSTITUTE(TRIM($K805),"-","")," ",""),마스터시트!$A$2:$H$1946,2,FALSE),"미등록"))</f>
        <v/>
      </c>
      <c r="N805" s="53" t="str">
        <f>IF($K805="","",IFERROR(VLOOKUP(--SUBSTITUTE(SUBSTITUTE(TRIM($K805),"-","")," ",""),마스터시트!$A$2:$H$1946,3,FALSE),"미등록"))</f>
        <v/>
      </c>
      <c r="O805" s="18" t="str">
        <f>IF($K805="","",IFERROR(VLOOKUP(--SUBSTITUTE(SUBSTITUTE(TRIM($K805),"-","")," ",""),마스터시트!$A$2:$H$1946,4,FALSE),""))</f>
        <v/>
      </c>
      <c r="P805" s="18" t="str">
        <f>IF($K805="","",IFERROR(VLOOKUP(--SUBSTITUTE(SUBSTITUTE(TRIM($K805),"-","")," ",""),마스터시트!$A$2:$H$1946,5,FALSE),""))</f>
        <v/>
      </c>
      <c r="Q805" s="18" t="str">
        <f>IF($K805="","",IFERROR(VLOOKUP(--SUBSTITUTE(SUBSTITUTE(TRIM($K805),"-","")," ",""),마스터시트!$A$2:$H$1946,6,FALSE),""))</f>
        <v/>
      </c>
      <c r="R805" s="18" t="str">
        <f>IF($K805="","",IFERROR(VLOOKUP(--SUBSTITUTE(SUBSTITUTE(TRIM($K805),"-","")," ",""),마스터시트!$A$2:$H$1946,7,FALSE),""))</f>
        <v/>
      </c>
    </row>
    <row r="806" spans="13:18" x14ac:dyDescent="0.3">
      <c r="M806" s="18" t="str">
        <f>IF($K806="","",IFERROR(VLOOKUP(--SUBSTITUTE(SUBSTITUTE(TRIM($K806),"-","")," ",""),마스터시트!$A$2:$H$1946,2,FALSE),"미등록"))</f>
        <v/>
      </c>
      <c r="N806" s="53" t="str">
        <f>IF($K806="","",IFERROR(VLOOKUP(--SUBSTITUTE(SUBSTITUTE(TRIM($K806),"-","")," ",""),마스터시트!$A$2:$H$1946,3,FALSE),"미등록"))</f>
        <v/>
      </c>
      <c r="O806" s="18" t="str">
        <f>IF($K806="","",IFERROR(VLOOKUP(--SUBSTITUTE(SUBSTITUTE(TRIM($K806),"-","")," ",""),마스터시트!$A$2:$H$1946,4,FALSE),""))</f>
        <v/>
      </c>
      <c r="P806" s="18" t="str">
        <f>IF($K806="","",IFERROR(VLOOKUP(--SUBSTITUTE(SUBSTITUTE(TRIM($K806),"-","")," ",""),마스터시트!$A$2:$H$1946,5,FALSE),""))</f>
        <v/>
      </c>
      <c r="Q806" s="18" t="str">
        <f>IF($K806="","",IFERROR(VLOOKUP(--SUBSTITUTE(SUBSTITUTE(TRIM($K806),"-","")," ",""),마스터시트!$A$2:$H$1946,6,FALSE),""))</f>
        <v/>
      </c>
      <c r="R806" s="18" t="str">
        <f>IF($K806="","",IFERROR(VLOOKUP(--SUBSTITUTE(SUBSTITUTE(TRIM($K806),"-","")," ",""),마스터시트!$A$2:$H$1946,7,FALSE),""))</f>
        <v/>
      </c>
    </row>
    <row r="807" spans="13:18" x14ac:dyDescent="0.3">
      <c r="M807" s="18" t="str">
        <f>IF($K807="","",IFERROR(VLOOKUP(--SUBSTITUTE(SUBSTITUTE(TRIM($K807),"-","")," ",""),마스터시트!$A$2:$H$1946,2,FALSE),"미등록"))</f>
        <v/>
      </c>
      <c r="N807" s="53" t="str">
        <f>IF($K807="","",IFERROR(VLOOKUP(--SUBSTITUTE(SUBSTITUTE(TRIM($K807),"-","")," ",""),마스터시트!$A$2:$H$1946,3,FALSE),"미등록"))</f>
        <v/>
      </c>
      <c r="O807" s="18" t="str">
        <f>IF($K807="","",IFERROR(VLOOKUP(--SUBSTITUTE(SUBSTITUTE(TRIM($K807),"-","")," ",""),마스터시트!$A$2:$H$1946,4,FALSE),""))</f>
        <v/>
      </c>
      <c r="P807" s="18" t="str">
        <f>IF($K807="","",IFERROR(VLOOKUP(--SUBSTITUTE(SUBSTITUTE(TRIM($K807),"-","")," ",""),마스터시트!$A$2:$H$1946,5,FALSE),""))</f>
        <v/>
      </c>
      <c r="Q807" s="18" t="str">
        <f>IF($K807="","",IFERROR(VLOOKUP(--SUBSTITUTE(SUBSTITUTE(TRIM($K807),"-","")," ",""),마스터시트!$A$2:$H$1946,6,FALSE),""))</f>
        <v/>
      </c>
      <c r="R807" s="18" t="str">
        <f>IF($K807="","",IFERROR(VLOOKUP(--SUBSTITUTE(SUBSTITUTE(TRIM($K807),"-","")," ",""),마스터시트!$A$2:$H$1946,7,FALSE),""))</f>
        <v/>
      </c>
    </row>
    <row r="808" spans="13:18" x14ac:dyDescent="0.3">
      <c r="M808" s="18" t="str">
        <f>IF($K808="","",IFERROR(VLOOKUP(--SUBSTITUTE(SUBSTITUTE(TRIM($K808),"-","")," ",""),마스터시트!$A$2:$H$1946,2,FALSE),"미등록"))</f>
        <v/>
      </c>
      <c r="N808" s="53" t="str">
        <f>IF($K808="","",IFERROR(VLOOKUP(--SUBSTITUTE(SUBSTITUTE(TRIM($K808),"-","")," ",""),마스터시트!$A$2:$H$1946,3,FALSE),"미등록"))</f>
        <v/>
      </c>
      <c r="O808" s="18" t="str">
        <f>IF($K808="","",IFERROR(VLOOKUP(--SUBSTITUTE(SUBSTITUTE(TRIM($K808),"-","")," ",""),마스터시트!$A$2:$H$1946,4,FALSE),""))</f>
        <v/>
      </c>
      <c r="P808" s="18" t="str">
        <f>IF($K808="","",IFERROR(VLOOKUP(--SUBSTITUTE(SUBSTITUTE(TRIM($K808),"-","")," ",""),마스터시트!$A$2:$H$1946,5,FALSE),""))</f>
        <v/>
      </c>
      <c r="Q808" s="18" t="str">
        <f>IF($K808="","",IFERROR(VLOOKUP(--SUBSTITUTE(SUBSTITUTE(TRIM($K808),"-","")," ",""),마스터시트!$A$2:$H$1946,6,FALSE),""))</f>
        <v/>
      </c>
      <c r="R808" s="18" t="str">
        <f>IF($K808="","",IFERROR(VLOOKUP(--SUBSTITUTE(SUBSTITUTE(TRIM($K808),"-","")," ",""),마스터시트!$A$2:$H$1946,7,FALSE),""))</f>
        <v/>
      </c>
    </row>
    <row r="809" spans="13:18" x14ac:dyDescent="0.3">
      <c r="M809" s="18" t="str">
        <f>IF($K809="","",IFERROR(VLOOKUP(--SUBSTITUTE(SUBSTITUTE(TRIM($K809),"-","")," ",""),마스터시트!$A$2:$H$1946,2,FALSE),"미등록"))</f>
        <v/>
      </c>
      <c r="N809" s="53" t="str">
        <f>IF($K809="","",IFERROR(VLOOKUP(--SUBSTITUTE(SUBSTITUTE(TRIM($K809),"-","")," ",""),마스터시트!$A$2:$H$1946,3,FALSE),"미등록"))</f>
        <v/>
      </c>
      <c r="O809" s="18" t="str">
        <f>IF($K809="","",IFERROR(VLOOKUP(--SUBSTITUTE(SUBSTITUTE(TRIM($K809),"-","")," ",""),마스터시트!$A$2:$H$1946,4,FALSE),""))</f>
        <v/>
      </c>
      <c r="P809" s="18" t="str">
        <f>IF($K809="","",IFERROR(VLOOKUP(--SUBSTITUTE(SUBSTITUTE(TRIM($K809),"-","")," ",""),마스터시트!$A$2:$H$1946,5,FALSE),""))</f>
        <v/>
      </c>
      <c r="Q809" s="18" t="str">
        <f>IF($K809="","",IFERROR(VLOOKUP(--SUBSTITUTE(SUBSTITUTE(TRIM($K809),"-","")," ",""),마스터시트!$A$2:$H$1946,6,FALSE),""))</f>
        <v/>
      </c>
      <c r="R809" s="18" t="str">
        <f>IF($K809="","",IFERROR(VLOOKUP(--SUBSTITUTE(SUBSTITUTE(TRIM($K809),"-","")," ",""),마스터시트!$A$2:$H$1946,7,FALSE),""))</f>
        <v/>
      </c>
    </row>
    <row r="810" spans="13:18" x14ac:dyDescent="0.3">
      <c r="M810" s="18" t="str">
        <f>IF($K810="","",IFERROR(VLOOKUP(--SUBSTITUTE(SUBSTITUTE(TRIM($K810),"-","")," ",""),마스터시트!$A$2:$H$1946,2,FALSE),"미등록"))</f>
        <v/>
      </c>
      <c r="N810" s="53" t="str">
        <f>IF($K810="","",IFERROR(VLOOKUP(--SUBSTITUTE(SUBSTITUTE(TRIM($K810),"-","")," ",""),마스터시트!$A$2:$H$1946,3,FALSE),"미등록"))</f>
        <v/>
      </c>
      <c r="O810" s="18" t="str">
        <f>IF($K810="","",IFERROR(VLOOKUP(--SUBSTITUTE(SUBSTITUTE(TRIM($K810),"-","")," ",""),마스터시트!$A$2:$H$1946,4,FALSE),""))</f>
        <v/>
      </c>
      <c r="P810" s="18" t="str">
        <f>IF($K810="","",IFERROR(VLOOKUP(--SUBSTITUTE(SUBSTITUTE(TRIM($K810),"-","")," ",""),마스터시트!$A$2:$H$1946,5,FALSE),""))</f>
        <v/>
      </c>
      <c r="Q810" s="18" t="str">
        <f>IF($K810="","",IFERROR(VLOOKUP(--SUBSTITUTE(SUBSTITUTE(TRIM($K810),"-","")," ",""),마스터시트!$A$2:$H$1946,6,FALSE),""))</f>
        <v/>
      </c>
      <c r="R810" s="18" t="str">
        <f>IF($K810="","",IFERROR(VLOOKUP(--SUBSTITUTE(SUBSTITUTE(TRIM($K810),"-","")," ",""),마스터시트!$A$2:$H$1946,7,FALSE),""))</f>
        <v/>
      </c>
    </row>
    <row r="811" spans="13:18" x14ac:dyDescent="0.3">
      <c r="M811" s="18" t="str">
        <f>IF($K811="","",IFERROR(VLOOKUP(--SUBSTITUTE(SUBSTITUTE(TRIM($K811),"-","")," ",""),마스터시트!$A$2:$H$1946,2,FALSE),"미등록"))</f>
        <v/>
      </c>
      <c r="N811" s="53" t="str">
        <f>IF($K811="","",IFERROR(VLOOKUP(--SUBSTITUTE(SUBSTITUTE(TRIM($K811),"-","")," ",""),마스터시트!$A$2:$H$1946,3,FALSE),"미등록"))</f>
        <v/>
      </c>
      <c r="O811" s="18" t="str">
        <f>IF($K811="","",IFERROR(VLOOKUP(--SUBSTITUTE(SUBSTITUTE(TRIM($K811),"-","")," ",""),마스터시트!$A$2:$H$1946,4,FALSE),""))</f>
        <v/>
      </c>
      <c r="P811" s="18" t="str">
        <f>IF($K811="","",IFERROR(VLOOKUP(--SUBSTITUTE(SUBSTITUTE(TRIM($K811),"-","")," ",""),마스터시트!$A$2:$H$1946,5,FALSE),""))</f>
        <v/>
      </c>
      <c r="Q811" s="18" t="str">
        <f>IF($K811="","",IFERROR(VLOOKUP(--SUBSTITUTE(SUBSTITUTE(TRIM($K811),"-","")," ",""),마스터시트!$A$2:$H$1946,6,FALSE),""))</f>
        <v/>
      </c>
      <c r="R811" s="18" t="str">
        <f>IF($K811="","",IFERROR(VLOOKUP(--SUBSTITUTE(SUBSTITUTE(TRIM($K811),"-","")," ",""),마스터시트!$A$2:$H$1946,7,FALSE),""))</f>
        <v/>
      </c>
    </row>
    <row r="812" spans="13:18" x14ac:dyDescent="0.3">
      <c r="M812" s="18" t="str">
        <f>IF($K812="","",IFERROR(VLOOKUP(--SUBSTITUTE(SUBSTITUTE(TRIM($K812),"-","")," ",""),마스터시트!$A$2:$H$1946,2,FALSE),"미등록"))</f>
        <v/>
      </c>
      <c r="N812" s="53" t="str">
        <f>IF($K812="","",IFERROR(VLOOKUP(--SUBSTITUTE(SUBSTITUTE(TRIM($K812),"-","")," ",""),마스터시트!$A$2:$H$1946,3,FALSE),"미등록"))</f>
        <v/>
      </c>
      <c r="O812" s="18" t="str">
        <f>IF($K812="","",IFERROR(VLOOKUP(--SUBSTITUTE(SUBSTITUTE(TRIM($K812),"-","")," ",""),마스터시트!$A$2:$H$1946,4,FALSE),""))</f>
        <v/>
      </c>
      <c r="P812" s="18" t="str">
        <f>IF($K812="","",IFERROR(VLOOKUP(--SUBSTITUTE(SUBSTITUTE(TRIM($K812),"-","")," ",""),마스터시트!$A$2:$H$1946,5,FALSE),""))</f>
        <v/>
      </c>
      <c r="Q812" s="18" t="str">
        <f>IF($K812="","",IFERROR(VLOOKUP(--SUBSTITUTE(SUBSTITUTE(TRIM($K812),"-","")," ",""),마스터시트!$A$2:$H$1946,6,FALSE),""))</f>
        <v/>
      </c>
      <c r="R812" s="18" t="str">
        <f>IF($K812="","",IFERROR(VLOOKUP(--SUBSTITUTE(SUBSTITUTE(TRIM($K812),"-","")," ",""),마스터시트!$A$2:$H$1946,7,FALSE),""))</f>
        <v/>
      </c>
    </row>
    <row r="813" spans="13:18" x14ac:dyDescent="0.3">
      <c r="M813" s="18" t="str">
        <f>IF($K813="","",IFERROR(VLOOKUP(--SUBSTITUTE(SUBSTITUTE(TRIM($K813),"-","")," ",""),마스터시트!$A$2:$H$1946,2,FALSE),"미등록"))</f>
        <v/>
      </c>
      <c r="N813" s="53" t="str">
        <f>IF($K813="","",IFERROR(VLOOKUP(--SUBSTITUTE(SUBSTITUTE(TRIM($K813),"-","")," ",""),마스터시트!$A$2:$H$1946,3,FALSE),"미등록"))</f>
        <v/>
      </c>
      <c r="O813" s="18" t="str">
        <f>IF($K813="","",IFERROR(VLOOKUP(--SUBSTITUTE(SUBSTITUTE(TRIM($K813),"-","")," ",""),마스터시트!$A$2:$H$1946,4,FALSE),""))</f>
        <v/>
      </c>
      <c r="P813" s="18" t="str">
        <f>IF($K813="","",IFERROR(VLOOKUP(--SUBSTITUTE(SUBSTITUTE(TRIM($K813),"-","")," ",""),마스터시트!$A$2:$H$1946,5,FALSE),""))</f>
        <v/>
      </c>
      <c r="Q813" s="18" t="str">
        <f>IF($K813="","",IFERROR(VLOOKUP(--SUBSTITUTE(SUBSTITUTE(TRIM($K813),"-","")," ",""),마스터시트!$A$2:$H$1946,6,FALSE),""))</f>
        <v/>
      </c>
      <c r="R813" s="18" t="str">
        <f>IF($K813="","",IFERROR(VLOOKUP(--SUBSTITUTE(SUBSTITUTE(TRIM($K813),"-","")," ",""),마스터시트!$A$2:$H$1946,7,FALSE),""))</f>
        <v/>
      </c>
    </row>
    <row r="814" spans="13:18" x14ac:dyDescent="0.3">
      <c r="M814" s="18" t="str">
        <f>IF($K814="","",IFERROR(VLOOKUP(--SUBSTITUTE(SUBSTITUTE(TRIM($K814),"-","")," ",""),마스터시트!$A$2:$H$1946,2,FALSE),"미등록"))</f>
        <v/>
      </c>
      <c r="N814" s="53" t="str">
        <f>IF($K814="","",IFERROR(VLOOKUP(--SUBSTITUTE(SUBSTITUTE(TRIM($K814),"-","")," ",""),마스터시트!$A$2:$H$1946,3,FALSE),"미등록"))</f>
        <v/>
      </c>
      <c r="O814" s="18" t="str">
        <f>IF($K814="","",IFERROR(VLOOKUP(--SUBSTITUTE(SUBSTITUTE(TRIM($K814),"-","")," ",""),마스터시트!$A$2:$H$1946,4,FALSE),""))</f>
        <v/>
      </c>
      <c r="P814" s="18" t="str">
        <f>IF($K814="","",IFERROR(VLOOKUP(--SUBSTITUTE(SUBSTITUTE(TRIM($K814),"-","")," ",""),마스터시트!$A$2:$H$1946,5,FALSE),""))</f>
        <v/>
      </c>
      <c r="Q814" s="18" t="str">
        <f>IF($K814="","",IFERROR(VLOOKUP(--SUBSTITUTE(SUBSTITUTE(TRIM($K814),"-","")," ",""),마스터시트!$A$2:$H$1946,6,FALSE),""))</f>
        <v/>
      </c>
      <c r="R814" s="18" t="str">
        <f>IF($K814="","",IFERROR(VLOOKUP(--SUBSTITUTE(SUBSTITUTE(TRIM($K814),"-","")," ",""),마스터시트!$A$2:$H$1946,7,FALSE),""))</f>
        <v/>
      </c>
    </row>
    <row r="815" spans="13:18" x14ac:dyDescent="0.3">
      <c r="M815" s="18" t="str">
        <f>IF($K815="","",IFERROR(VLOOKUP(--SUBSTITUTE(SUBSTITUTE(TRIM($K815),"-","")," ",""),마스터시트!$A$2:$H$1946,2,FALSE),"미등록"))</f>
        <v/>
      </c>
      <c r="N815" s="53" t="str">
        <f>IF($K815="","",IFERROR(VLOOKUP(--SUBSTITUTE(SUBSTITUTE(TRIM($K815),"-","")," ",""),마스터시트!$A$2:$H$1946,3,FALSE),"미등록"))</f>
        <v/>
      </c>
      <c r="O815" s="18" t="str">
        <f>IF($K815="","",IFERROR(VLOOKUP(--SUBSTITUTE(SUBSTITUTE(TRIM($K815),"-","")," ",""),마스터시트!$A$2:$H$1946,4,FALSE),""))</f>
        <v/>
      </c>
      <c r="P815" s="18" t="str">
        <f>IF($K815="","",IFERROR(VLOOKUP(--SUBSTITUTE(SUBSTITUTE(TRIM($K815),"-","")," ",""),마스터시트!$A$2:$H$1946,5,FALSE),""))</f>
        <v/>
      </c>
      <c r="Q815" s="18" t="str">
        <f>IF($K815="","",IFERROR(VLOOKUP(--SUBSTITUTE(SUBSTITUTE(TRIM($K815),"-","")," ",""),마스터시트!$A$2:$H$1946,6,FALSE),""))</f>
        <v/>
      </c>
      <c r="R815" s="18" t="str">
        <f>IF($K815="","",IFERROR(VLOOKUP(--SUBSTITUTE(SUBSTITUTE(TRIM($K815),"-","")," ",""),마스터시트!$A$2:$H$1946,7,FALSE),""))</f>
        <v/>
      </c>
    </row>
    <row r="816" spans="13:18" x14ac:dyDescent="0.3">
      <c r="M816" s="18" t="str">
        <f>IF($K816="","",IFERROR(VLOOKUP(--SUBSTITUTE(SUBSTITUTE(TRIM($K816),"-","")," ",""),마스터시트!$A$2:$H$1946,2,FALSE),"미등록"))</f>
        <v/>
      </c>
      <c r="N816" s="53" t="str">
        <f>IF($K816="","",IFERROR(VLOOKUP(--SUBSTITUTE(SUBSTITUTE(TRIM($K816),"-","")," ",""),마스터시트!$A$2:$H$1946,3,FALSE),"미등록"))</f>
        <v/>
      </c>
      <c r="O816" s="18" t="str">
        <f>IF($K816="","",IFERROR(VLOOKUP(--SUBSTITUTE(SUBSTITUTE(TRIM($K816),"-","")," ",""),마스터시트!$A$2:$H$1946,4,FALSE),""))</f>
        <v/>
      </c>
      <c r="P816" s="18" t="str">
        <f>IF($K816="","",IFERROR(VLOOKUP(--SUBSTITUTE(SUBSTITUTE(TRIM($K816),"-","")," ",""),마스터시트!$A$2:$H$1946,5,FALSE),""))</f>
        <v/>
      </c>
      <c r="Q816" s="18" t="str">
        <f>IF($K816="","",IFERROR(VLOOKUP(--SUBSTITUTE(SUBSTITUTE(TRIM($K816),"-","")," ",""),마스터시트!$A$2:$H$1946,6,FALSE),""))</f>
        <v/>
      </c>
      <c r="R816" s="18" t="str">
        <f>IF($K816="","",IFERROR(VLOOKUP(--SUBSTITUTE(SUBSTITUTE(TRIM($K816),"-","")," ",""),마스터시트!$A$2:$H$1946,7,FALSE),""))</f>
        <v/>
      </c>
    </row>
    <row r="817" spans="13:18" x14ac:dyDescent="0.3">
      <c r="M817" s="18" t="str">
        <f>IF($K817="","",IFERROR(VLOOKUP(--SUBSTITUTE(SUBSTITUTE(TRIM($K817),"-","")," ",""),마스터시트!$A$2:$H$1946,2,FALSE),"미등록"))</f>
        <v/>
      </c>
      <c r="N817" s="53" t="str">
        <f>IF($K817="","",IFERROR(VLOOKUP(--SUBSTITUTE(SUBSTITUTE(TRIM($K817),"-","")," ",""),마스터시트!$A$2:$H$1946,3,FALSE),"미등록"))</f>
        <v/>
      </c>
      <c r="O817" s="18" t="str">
        <f>IF($K817="","",IFERROR(VLOOKUP(--SUBSTITUTE(SUBSTITUTE(TRIM($K817),"-","")," ",""),마스터시트!$A$2:$H$1946,4,FALSE),""))</f>
        <v/>
      </c>
      <c r="P817" s="18" t="str">
        <f>IF($K817="","",IFERROR(VLOOKUP(--SUBSTITUTE(SUBSTITUTE(TRIM($K817),"-","")," ",""),마스터시트!$A$2:$H$1946,5,FALSE),""))</f>
        <v/>
      </c>
      <c r="Q817" s="18" t="str">
        <f>IF($K817="","",IFERROR(VLOOKUP(--SUBSTITUTE(SUBSTITUTE(TRIM($K817),"-","")," ",""),마스터시트!$A$2:$H$1946,6,FALSE),""))</f>
        <v/>
      </c>
      <c r="R817" s="18" t="str">
        <f>IF($K817="","",IFERROR(VLOOKUP(--SUBSTITUTE(SUBSTITUTE(TRIM($K817),"-","")," ",""),마스터시트!$A$2:$H$1946,7,FALSE),""))</f>
        <v/>
      </c>
    </row>
    <row r="818" spans="13:18" x14ac:dyDescent="0.3">
      <c r="M818" s="18" t="str">
        <f>IF($K818="","",IFERROR(VLOOKUP(--SUBSTITUTE(SUBSTITUTE(TRIM($K818),"-","")," ",""),마스터시트!$A$2:$H$1946,2,FALSE),"미등록"))</f>
        <v/>
      </c>
      <c r="N818" s="53" t="str">
        <f>IF($K818="","",IFERROR(VLOOKUP(--SUBSTITUTE(SUBSTITUTE(TRIM($K818),"-","")," ",""),마스터시트!$A$2:$H$1946,3,FALSE),"미등록"))</f>
        <v/>
      </c>
      <c r="O818" s="18" t="str">
        <f>IF($K818="","",IFERROR(VLOOKUP(--SUBSTITUTE(SUBSTITUTE(TRIM($K818),"-","")," ",""),마스터시트!$A$2:$H$1946,4,FALSE),""))</f>
        <v/>
      </c>
      <c r="P818" s="18" t="str">
        <f>IF($K818="","",IFERROR(VLOOKUP(--SUBSTITUTE(SUBSTITUTE(TRIM($K818),"-","")," ",""),마스터시트!$A$2:$H$1946,5,FALSE),""))</f>
        <v/>
      </c>
      <c r="Q818" s="18" t="str">
        <f>IF($K818="","",IFERROR(VLOOKUP(--SUBSTITUTE(SUBSTITUTE(TRIM($K818),"-","")," ",""),마스터시트!$A$2:$H$1946,6,FALSE),""))</f>
        <v/>
      </c>
      <c r="R818" s="18" t="str">
        <f>IF($K818="","",IFERROR(VLOOKUP(--SUBSTITUTE(SUBSTITUTE(TRIM($K818),"-","")," ",""),마스터시트!$A$2:$H$1946,7,FALSE),""))</f>
        <v/>
      </c>
    </row>
    <row r="819" spans="13:18" x14ac:dyDescent="0.3">
      <c r="M819" s="18" t="str">
        <f>IF($K819="","",IFERROR(VLOOKUP(--SUBSTITUTE(SUBSTITUTE(TRIM($K819),"-","")," ",""),마스터시트!$A$2:$H$1946,2,FALSE),"미등록"))</f>
        <v/>
      </c>
      <c r="N819" s="53" t="str">
        <f>IF($K819="","",IFERROR(VLOOKUP(--SUBSTITUTE(SUBSTITUTE(TRIM($K819),"-","")," ",""),마스터시트!$A$2:$H$1946,3,FALSE),"미등록"))</f>
        <v/>
      </c>
      <c r="O819" s="18" t="str">
        <f>IF($K819="","",IFERROR(VLOOKUP(--SUBSTITUTE(SUBSTITUTE(TRIM($K819),"-","")," ",""),마스터시트!$A$2:$H$1946,4,FALSE),""))</f>
        <v/>
      </c>
      <c r="P819" s="18" t="str">
        <f>IF($K819="","",IFERROR(VLOOKUP(--SUBSTITUTE(SUBSTITUTE(TRIM($K819),"-","")," ",""),마스터시트!$A$2:$H$1946,5,FALSE),""))</f>
        <v/>
      </c>
      <c r="Q819" s="18" t="str">
        <f>IF($K819="","",IFERROR(VLOOKUP(--SUBSTITUTE(SUBSTITUTE(TRIM($K819),"-","")," ",""),마스터시트!$A$2:$H$1946,6,FALSE),""))</f>
        <v/>
      </c>
      <c r="R819" s="18" t="str">
        <f>IF($K819="","",IFERROR(VLOOKUP(--SUBSTITUTE(SUBSTITUTE(TRIM($K819),"-","")," ",""),마스터시트!$A$2:$H$1946,7,FALSE),""))</f>
        <v/>
      </c>
    </row>
    <row r="820" spans="13:18" x14ac:dyDescent="0.3">
      <c r="M820" s="18" t="str">
        <f>IF($K820="","",IFERROR(VLOOKUP(--SUBSTITUTE(SUBSTITUTE(TRIM($K820),"-","")," ",""),마스터시트!$A$2:$H$1946,2,FALSE),"미등록"))</f>
        <v/>
      </c>
      <c r="N820" s="53" t="str">
        <f>IF($K820="","",IFERROR(VLOOKUP(--SUBSTITUTE(SUBSTITUTE(TRIM($K820),"-","")," ",""),마스터시트!$A$2:$H$1946,3,FALSE),"미등록"))</f>
        <v/>
      </c>
      <c r="O820" s="18" t="str">
        <f>IF($K820="","",IFERROR(VLOOKUP(--SUBSTITUTE(SUBSTITUTE(TRIM($K820),"-","")," ",""),마스터시트!$A$2:$H$1946,4,FALSE),""))</f>
        <v/>
      </c>
      <c r="P820" s="18" t="str">
        <f>IF($K820="","",IFERROR(VLOOKUP(--SUBSTITUTE(SUBSTITUTE(TRIM($K820),"-","")," ",""),마스터시트!$A$2:$H$1946,5,FALSE),""))</f>
        <v/>
      </c>
      <c r="Q820" s="18" t="str">
        <f>IF($K820="","",IFERROR(VLOOKUP(--SUBSTITUTE(SUBSTITUTE(TRIM($K820),"-","")," ",""),마스터시트!$A$2:$H$1946,6,FALSE),""))</f>
        <v/>
      </c>
      <c r="R820" s="18" t="str">
        <f>IF($K820="","",IFERROR(VLOOKUP(--SUBSTITUTE(SUBSTITUTE(TRIM($K820),"-","")," ",""),마스터시트!$A$2:$H$1946,7,FALSE),""))</f>
        <v/>
      </c>
    </row>
    <row r="821" spans="13:18" x14ac:dyDescent="0.3">
      <c r="M821" s="18" t="str">
        <f>IF($K821="","",IFERROR(VLOOKUP(--SUBSTITUTE(SUBSTITUTE(TRIM($K821),"-","")," ",""),마스터시트!$A$2:$H$1946,2,FALSE),"미등록"))</f>
        <v/>
      </c>
      <c r="N821" s="53" t="str">
        <f>IF($K821="","",IFERROR(VLOOKUP(--SUBSTITUTE(SUBSTITUTE(TRIM($K821),"-","")," ",""),마스터시트!$A$2:$H$1946,3,FALSE),"미등록"))</f>
        <v/>
      </c>
      <c r="O821" s="18" t="str">
        <f>IF($K821="","",IFERROR(VLOOKUP(--SUBSTITUTE(SUBSTITUTE(TRIM($K821),"-","")," ",""),마스터시트!$A$2:$H$1946,4,FALSE),""))</f>
        <v/>
      </c>
      <c r="P821" s="18" t="str">
        <f>IF($K821="","",IFERROR(VLOOKUP(--SUBSTITUTE(SUBSTITUTE(TRIM($K821),"-","")," ",""),마스터시트!$A$2:$H$1946,5,FALSE),""))</f>
        <v/>
      </c>
      <c r="Q821" s="18" t="str">
        <f>IF($K821="","",IFERROR(VLOOKUP(--SUBSTITUTE(SUBSTITUTE(TRIM($K821),"-","")," ",""),마스터시트!$A$2:$H$1946,6,FALSE),""))</f>
        <v/>
      </c>
      <c r="R821" s="18" t="str">
        <f>IF($K821="","",IFERROR(VLOOKUP(--SUBSTITUTE(SUBSTITUTE(TRIM($K821),"-","")," ",""),마스터시트!$A$2:$H$1946,7,FALSE),""))</f>
        <v/>
      </c>
    </row>
    <row r="822" spans="13:18" x14ac:dyDescent="0.3">
      <c r="M822" s="18" t="str">
        <f>IF($K822="","",IFERROR(VLOOKUP(--SUBSTITUTE(SUBSTITUTE(TRIM($K822),"-","")," ",""),마스터시트!$A$2:$H$1946,2,FALSE),"미등록"))</f>
        <v/>
      </c>
      <c r="N822" s="53" t="str">
        <f>IF($K822="","",IFERROR(VLOOKUP(--SUBSTITUTE(SUBSTITUTE(TRIM($K822),"-","")," ",""),마스터시트!$A$2:$H$1946,3,FALSE),"미등록"))</f>
        <v/>
      </c>
      <c r="O822" s="18" t="str">
        <f>IF($K822="","",IFERROR(VLOOKUP(--SUBSTITUTE(SUBSTITUTE(TRIM($K822),"-","")," ",""),마스터시트!$A$2:$H$1946,4,FALSE),""))</f>
        <v/>
      </c>
      <c r="P822" s="18" t="str">
        <f>IF($K822="","",IFERROR(VLOOKUP(--SUBSTITUTE(SUBSTITUTE(TRIM($K822),"-","")," ",""),마스터시트!$A$2:$H$1946,5,FALSE),""))</f>
        <v/>
      </c>
      <c r="Q822" s="18" t="str">
        <f>IF($K822="","",IFERROR(VLOOKUP(--SUBSTITUTE(SUBSTITUTE(TRIM($K822),"-","")," ",""),마스터시트!$A$2:$H$1946,6,FALSE),""))</f>
        <v/>
      </c>
      <c r="R822" s="18" t="str">
        <f>IF($K822="","",IFERROR(VLOOKUP(--SUBSTITUTE(SUBSTITUTE(TRIM($K822),"-","")," ",""),마스터시트!$A$2:$H$1946,7,FALSE),""))</f>
        <v/>
      </c>
    </row>
    <row r="823" spans="13:18" x14ac:dyDescent="0.3">
      <c r="M823" s="18" t="str">
        <f>IF($K823="","",IFERROR(VLOOKUP(--SUBSTITUTE(SUBSTITUTE(TRIM($K823),"-","")," ",""),마스터시트!$A$2:$H$1946,2,FALSE),"미등록"))</f>
        <v/>
      </c>
      <c r="N823" s="53" t="str">
        <f>IF($K823="","",IFERROR(VLOOKUP(--SUBSTITUTE(SUBSTITUTE(TRIM($K823),"-","")," ",""),마스터시트!$A$2:$H$1946,3,FALSE),"미등록"))</f>
        <v/>
      </c>
      <c r="O823" s="18" t="str">
        <f>IF($K823="","",IFERROR(VLOOKUP(--SUBSTITUTE(SUBSTITUTE(TRIM($K823),"-","")," ",""),마스터시트!$A$2:$H$1946,4,FALSE),""))</f>
        <v/>
      </c>
      <c r="P823" s="18" t="str">
        <f>IF($K823="","",IFERROR(VLOOKUP(--SUBSTITUTE(SUBSTITUTE(TRIM($K823),"-","")," ",""),마스터시트!$A$2:$H$1946,5,FALSE),""))</f>
        <v/>
      </c>
      <c r="Q823" s="18" t="str">
        <f>IF($K823="","",IFERROR(VLOOKUP(--SUBSTITUTE(SUBSTITUTE(TRIM($K823),"-","")," ",""),마스터시트!$A$2:$H$1946,6,FALSE),""))</f>
        <v/>
      </c>
      <c r="R823" s="18" t="str">
        <f>IF($K823="","",IFERROR(VLOOKUP(--SUBSTITUTE(SUBSTITUTE(TRIM($K823),"-","")," ",""),마스터시트!$A$2:$H$1946,7,FALSE),""))</f>
        <v/>
      </c>
    </row>
    <row r="824" spans="13:18" x14ac:dyDescent="0.3">
      <c r="M824" s="18" t="str">
        <f>IF($K824="","",IFERROR(VLOOKUP(--SUBSTITUTE(SUBSTITUTE(TRIM($K824),"-","")," ",""),마스터시트!$A$2:$H$1946,2,FALSE),"미등록"))</f>
        <v/>
      </c>
      <c r="N824" s="53" t="str">
        <f>IF($K824="","",IFERROR(VLOOKUP(--SUBSTITUTE(SUBSTITUTE(TRIM($K824),"-","")," ",""),마스터시트!$A$2:$H$1946,3,FALSE),"미등록"))</f>
        <v/>
      </c>
      <c r="O824" s="18" t="str">
        <f>IF($K824="","",IFERROR(VLOOKUP(--SUBSTITUTE(SUBSTITUTE(TRIM($K824),"-","")," ",""),마스터시트!$A$2:$H$1946,4,FALSE),""))</f>
        <v/>
      </c>
      <c r="P824" s="18" t="str">
        <f>IF($K824="","",IFERROR(VLOOKUP(--SUBSTITUTE(SUBSTITUTE(TRIM($K824),"-","")," ",""),마스터시트!$A$2:$H$1946,5,FALSE),""))</f>
        <v/>
      </c>
      <c r="Q824" s="18" t="str">
        <f>IF($K824="","",IFERROR(VLOOKUP(--SUBSTITUTE(SUBSTITUTE(TRIM($K824),"-","")," ",""),마스터시트!$A$2:$H$1946,6,FALSE),""))</f>
        <v/>
      </c>
      <c r="R824" s="18" t="str">
        <f>IF($K824="","",IFERROR(VLOOKUP(--SUBSTITUTE(SUBSTITUTE(TRIM($K824),"-","")," ",""),마스터시트!$A$2:$H$1946,7,FALSE),""))</f>
        <v/>
      </c>
    </row>
    <row r="825" spans="13:18" x14ac:dyDescent="0.3">
      <c r="M825" s="18" t="str">
        <f>IF($K825="","",IFERROR(VLOOKUP(--SUBSTITUTE(SUBSTITUTE(TRIM($K825),"-","")," ",""),마스터시트!$A$2:$H$1946,2,FALSE),"미등록"))</f>
        <v/>
      </c>
      <c r="N825" s="53" t="str">
        <f>IF($K825="","",IFERROR(VLOOKUP(--SUBSTITUTE(SUBSTITUTE(TRIM($K825),"-","")," ",""),마스터시트!$A$2:$H$1946,3,FALSE),"미등록"))</f>
        <v/>
      </c>
      <c r="O825" s="18" t="str">
        <f>IF($K825="","",IFERROR(VLOOKUP(--SUBSTITUTE(SUBSTITUTE(TRIM($K825),"-","")," ",""),마스터시트!$A$2:$H$1946,4,FALSE),""))</f>
        <v/>
      </c>
      <c r="P825" s="18" t="str">
        <f>IF($K825="","",IFERROR(VLOOKUP(--SUBSTITUTE(SUBSTITUTE(TRIM($K825),"-","")," ",""),마스터시트!$A$2:$H$1946,5,FALSE),""))</f>
        <v/>
      </c>
      <c r="Q825" s="18" t="str">
        <f>IF($K825="","",IFERROR(VLOOKUP(--SUBSTITUTE(SUBSTITUTE(TRIM($K825),"-","")," ",""),마스터시트!$A$2:$H$1946,6,FALSE),""))</f>
        <v/>
      </c>
      <c r="R825" s="18" t="str">
        <f>IF($K825="","",IFERROR(VLOOKUP(--SUBSTITUTE(SUBSTITUTE(TRIM($K825),"-","")," ",""),마스터시트!$A$2:$H$1946,7,FALSE),""))</f>
        <v/>
      </c>
    </row>
    <row r="826" spans="13:18" x14ac:dyDescent="0.3">
      <c r="M826" s="18" t="str">
        <f>IF($K826="","",IFERROR(VLOOKUP(--SUBSTITUTE(SUBSTITUTE(TRIM($K826),"-","")," ",""),마스터시트!$A$2:$H$1946,2,FALSE),"미등록"))</f>
        <v/>
      </c>
      <c r="N826" s="53" t="str">
        <f>IF($K826="","",IFERROR(VLOOKUP(--SUBSTITUTE(SUBSTITUTE(TRIM($K826),"-","")," ",""),마스터시트!$A$2:$H$1946,3,FALSE),"미등록"))</f>
        <v/>
      </c>
      <c r="O826" s="18" t="str">
        <f>IF($K826="","",IFERROR(VLOOKUP(--SUBSTITUTE(SUBSTITUTE(TRIM($K826),"-","")," ",""),마스터시트!$A$2:$H$1946,4,FALSE),""))</f>
        <v/>
      </c>
      <c r="P826" s="18" t="str">
        <f>IF($K826="","",IFERROR(VLOOKUP(--SUBSTITUTE(SUBSTITUTE(TRIM($K826),"-","")," ",""),마스터시트!$A$2:$H$1946,5,FALSE),""))</f>
        <v/>
      </c>
      <c r="Q826" s="18" t="str">
        <f>IF($K826="","",IFERROR(VLOOKUP(--SUBSTITUTE(SUBSTITUTE(TRIM($K826),"-","")," ",""),마스터시트!$A$2:$H$1946,6,FALSE),""))</f>
        <v/>
      </c>
      <c r="R826" s="18" t="str">
        <f>IF($K826="","",IFERROR(VLOOKUP(--SUBSTITUTE(SUBSTITUTE(TRIM($K826),"-","")," ",""),마스터시트!$A$2:$H$1946,7,FALSE),""))</f>
        <v/>
      </c>
    </row>
    <row r="827" spans="13:18" x14ac:dyDescent="0.3">
      <c r="M827" s="18" t="str">
        <f>IF($K827="","",IFERROR(VLOOKUP(--SUBSTITUTE(SUBSTITUTE(TRIM($K827),"-","")," ",""),마스터시트!$A$2:$H$1946,2,FALSE),"미등록"))</f>
        <v/>
      </c>
      <c r="N827" s="53" t="str">
        <f>IF($K827="","",IFERROR(VLOOKUP(--SUBSTITUTE(SUBSTITUTE(TRIM($K827),"-","")," ",""),마스터시트!$A$2:$H$1946,3,FALSE),"미등록"))</f>
        <v/>
      </c>
      <c r="O827" s="18" t="str">
        <f>IF($K827="","",IFERROR(VLOOKUP(--SUBSTITUTE(SUBSTITUTE(TRIM($K827),"-","")," ",""),마스터시트!$A$2:$H$1946,4,FALSE),""))</f>
        <v/>
      </c>
      <c r="P827" s="18" t="str">
        <f>IF($K827="","",IFERROR(VLOOKUP(--SUBSTITUTE(SUBSTITUTE(TRIM($K827),"-","")," ",""),마스터시트!$A$2:$H$1946,5,FALSE),""))</f>
        <v/>
      </c>
      <c r="Q827" s="18" t="str">
        <f>IF($K827="","",IFERROR(VLOOKUP(--SUBSTITUTE(SUBSTITUTE(TRIM($K827),"-","")," ",""),마스터시트!$A$2:$H$1946,6,FALSE),""))</f>
        <v/>
      </c>
      <c r="R827" s="18" t="str">
        <f>IF($K827="","",IFERROR(VLOOKUP(--SUBSTITUTE(SUBSTITUTE(TRIM($K827),"-","")," ",""),마스터시트!$A$2:$H$1946,7,FALSE),""))</f>
        <v/>
      </c>
    </row>
    <row r="828" spans="13:18" x14ac:dyDescent="0.3">
      <c r="M828" s="18" t="str">
        <f>IF($K828="","",IFERROR(VLOOKUP(--SUBSTITUTE(SUBSTITUTE(TRIM($K828),"-","")," ",""),마스터시트!$A$2:$H$1946,2,FALSE),"미등록"))</f>
        <v/>
      </c>
      <c r="N828" s="53" t="str">
        <f>IF($K828="","",IFERROR(VLOOKUP(--SUBSTITUTE(SUBSTITUTE(TRIM($K828),"-","")," ",""),마스터시트!$A$2:$H$1946,3,FALSE),"미등록"))</f>
        <v/>
      </c>
      <c r="O828" s="18" t="str">
        <f>IF($K828="","",IFERROR(VLOOKUP(--SUBSTITUTE(SUBSTITUTE(TRIM($K828),"-","")," ",""),마스터시트!$A$2:$H$1946,4,FALSE),""))</f>
        <v/>
      </c>
      <c r="P828" s="18" t="str">
        <f>IF($K828="","",IFERROR(VLOOKUP(--SUBSTITUTE(SUBSTITUTE(TRIM($K828),"-","")," ",""),마스터시트!$A$2:$H$1946,5,FALSE),""))</f>
        <v/>
      </c>
      <c r="Q828" s="18" t="str">
        <f>IF($K828="","",IFERROR(VLOOKUP(--SUBSTITUTE(SUBSTITUTE(TRIM($K828),"-","")," ",""),마스터시트!$A$2:$H$1946,6,FALSE),""))</f>
        <v/>
      </c>
      <c r="R828" s="18" t="str">
        <f>IF($K828="","",IFERROR(VLOOKUP(--SUBSTITUTE(SUBSTITUTE(TRIM($K828),"-","")," ",""),마스터시트!$A$2:$H$1946,7,FALSE),""))</f>
        <v/>
      </c>
    </row>
    <row r="829" spans="13:18" x14ac:dyDescent="0.3">
      <c r="M829" s="18" t="str">
        <f>IF($K829="","",IFERROR(VLOOKUP(--SUBSTITUTE(SUBSTITUTE(TRIM($K829),"-","")," ",""),마스터시트!$A$2:$H$1946,2,FALSE),"미등록"))</f>
        <v/>
      </c>
      <c r="N829" s="53" t="str">
        <f>IF($K829="","",IFERROR(VLOOKUP(--SUBSTITUTE(SUBSTITUTE(TRIM($K829),"-","")," ",""),마스터시트!$A$2:$H$1946,3,FALSE),"미등록"))</f>
        <v/>
      </c>
      <c r="O829" s="18" t="str">
        <f>IF($K829="","",IFERROR(VLOOKUP(--SUBSTITUTE(SUBSTITUTE(TRIM($K829),"-","")," ",""),마스터시트!$A$2:$H$1946,4,FALSE),""))</f>
        <v/>
      </c>
      <c r="P829" s="18" t="str">
        <f>IF($K829="","",IFERROR(VLOOKUP(--SUBSTITUTE(SUBSTITUTE(TRIM($K829),"-","")," ",""),마스터시트!$A$2:$H$1946,5,FALSE),""))</f>
        <v/>
      </c>
      <c r="Q829" s="18" t="str">
        <f>IF($K829="","",IFERROR(VLOOKUP(--SUBSTITUTE(SUBSTITUTE(TRIM($K829),"-","")," ",""),마스터시트!$A$2:$H$1946,6,FALSE),""))</f>
        <v/>
      </c>
      <c r="R829" s="18" t="str">
        <f>IF($K829="","",IFERROR(VLOOKUP(--SUBSTITUTE(SUBSTITUTE(TRIM($K829),"-","")," ",""),마스터시트!$A$2:$H$1946,7,FALSE),""))</f>
        <v/>
      </c>
    </row>
    <row r="830" spans="13:18" x14ac:dyDescent="0.3">
      <c r="M830" s="18" t="str">
        <f>IF($K830="","",IFERROR(VLOOKUP(--SUBSTITUTE(SUBSTITUTE(TRIM($K830),"-","")," ",""),마스터시트!$A$2:$H$1946,2,FALSE),"미등록"))</f>
        <v/>
      </c>
      <c r="N830" s="53" t="str">
        <f>IF($K830="","",IFERROR(VLOOKUP(--SUBSTITUTE(SUBSTITUTE(TRIM($K830),"-","")," ",""),마스터시트!$A$2:$H$1946,3,FALSE),"미등록"))</f>
        <v/>
      </c>
      <c r="O830" s="18" t="str">
        <f>IF($K830="","",IFERROR(VLOOKUP(--SUBSTITUTE(SUBSTITUTE(TRIM($K830),"-","")," ",""),마스터시트!$A$2:$H$1946,4,FALSE),""))</f>
        <v/>
      </c>
      <c r="P830" s="18" t="str">
        <f>IF($K830="","",IFERROR(VLOOKUP(--SUBSTITUTE(SUBSTITUTE(TRIM($K830),"-","")," ",""),마스터시트!$A$2:$H$1946,5,FALSE),""))</f>
        <v/>
      </c>
      <c r="Q830" s="18" t="str">
        <f>IF($K830="","",IFERROR(VLOOKUP(--SUBSTITUTE(SUBSTITUTE(TRIM($K830),"-","")," ",""),마스터시트!$A$2:$H$1946,6,FALSE),""))</f>
        <v/>
      </c>
      <c r="R830" s="18" t="str">
        <f>IF($K830="","",IFERROR(VLOOKUP(--SUBSTITUTE(SUBSTITUTE(TRIM($K830),"-","")," ",""),마스터시트!$A$2:$H$1946,7,FALSE),""))</f>
        <v/>
      </c>
    </row>
    <row r="831" spans="13:18" x14ac:dyDescent="0.3">
      <c r="M831" s="18" t="str">
        <f>IF($K831="","",IFERROR(VLOOKUP(--SUBSTITUTE(SUBSTITUTE(TRIM($K831),"-","")," ",""),마스터시트!$A$2:$H$1946,2,FALSE),"미등록"))</f>
        <v/>
      </c>
      <c r="N831" s="53" t="str">
        <f>IF($K831="","",IFERROR(VLOOKUP(--SUBSTITUTE(SUBSTITUTE(TRIM($K831),"-","")," ",""),마스터시트!$A$2:$H$1946,3,FALSE),"미등록"))</f>
        <v/>
      </c>
      <c r="O831" s="18" t="str">
        <f>IF($K831="","",IFERROR(VLOOKUP(--SUBSTITUTE(SUBSTITUTE(TRIM($K831),"-","")," ",""),마스터시트!$A$2:$H$1946,4,FALSE),""))</f>
        <v/>
      </c>
      <c r="P831" s="18" t="str">
        <f>IF($K831="","",IFERROR(VLOOKUP(--SUBSTITUTE(SUBSTITUTE(TRIM($K831),"-","")," ",""),마스터시트!$A$2:$H$1946,5,FALSE),""))</f>
        <v/>
      </c>
      <c r="Q831" s="18" t="str">
        <f>IF($K831="","",IFERROR(VLOOKUP(--SUBSTITUTE(SUBSTITUTE(TRIM($K831),"-","")," ",""),마스터시트!$A$2:$H$1946,6,FALSE),""))</f>
        <v/>
      </c>
      <c r="R831" s="18" t="str">
        <f>IF($K831="","",IFERROR(VLOOKUP(--SUBSTITUTE(SUBSTITUTE(TRIM($K831),"-","")," ",""),마스터시트!$A$2:$H$1946,7,FALSE),""))</f>
        <v/>
      </c>
    </row>
    <row r="832" spans="13:18" x14ac:dyDescent="0.3">
      <c r="M832" s="18" t="str">
        <f>IF($K832="","",IFERROR(VLOOKUP(--SUBSTITUTE(SUBSTITUTE(TRIM($K832),"-","")," ",""),마스터시트!$A$2:$H$1946,2,FALSE),"미등록"))</f>
        <v/>
      </c>
      <c r="N832" s="53" t="str">
        <f>IF($K832="","",IFERROR(VLOOKUP(--SUBSTITUTE(SUBSTITUTE(TRIM($K832),"-","")," ",""),마스터시트!$A$2:$H$1946,3,FALSE),"미등록"))</f>
        <v/>
      </c>
      <c r="O832" s="18" t="str">
        <f>IF($K832="","",IFERROR(VLOOKUP(--SUBSTITUTE(SUBSTITUTE(TRIM($K832),"-","")," ",""),마스터시트!$A$2:$H$1946,4,FALSE),""))</f>
        <v/>
      </c>
      <c r="P832" s="18" t="str">
        <f>IF($K832="","",IFERROR(VLOOKUP(--SUBSTITUTE(SUBSTITUTE(TRIM($K832),"-","")," ",""),마스터시트!$A$2:$H$1946,5,FALSE),""))</f>
        <v/>
      </c>
      <c r="Q832" s="18" t="str">
        <f>IF($K832="","",IFERROR(VLOOKUP(--SUBSTITUTE(SUBSTITUTE(TRIM($K832),"-","")," ",""),마스터시트!$A$2:$H$1946,6,FALSE),""))</f>
        <v/>
      </c>
      <c r="R832" s="18" t="str">
        <f>IF($K832="","",IFERROR(VLOOKUP(--SUBSTITUTE(SUBSTITUTE(TRIM($K832),"-","")," ",""),마스터시트!$A$2:$H$1946,7,FALSE),""))</f>
        <v/>
      </c>
    </row>
    <row r="833" spans="13:18" x14ac:dyDescent="0.3">
      <c r="M833" s="18" t="str">
        <f>IF($K833="","",IFERROR(VLOOKUP(--SUBSTITUTE(SUBSTITUTE(TRIM($K833),"-","")," ",""),마스터시트!$A$2:$H$1946,2,FALSE),"미등록"))</f>
        <v/>
      </c>
      <c r="N833" s="53" t="str">
        <f>IF($K833="","",IFERROR(VLOOKUP(--SUBSTITUTE(SUBSTITUTE(TRIM($K833),"-","")," ",""),마스터시트!$A$2:$H$1946,3,FALSE),"미등록"))</f>
        <v/>
      </c>
      <c r="O833" s="18" t="str">
        <f>IF($K833="","",IFERROR(VLOOKUP(--SUBSTITUTE(SUBSTITUTE(TRIM($K833),"-","")," ",""),마스터시트!$A$2:$H$1946,4,FALSE),""))</f>
        <v/>
      </c>
      <c r="P833" s="18" t="str">
        <f>IF($K833="","",IFERROR(VLOOKUP(--SUBSTITUTE(SUBSTITUTE(TRIM($K833),"-","")," ",""),마스터시트!$A$2:$H$1946,5,FALSE),""))</f>
        <v/>
      </c>
      <c r="Q833" s="18" t="str">
        <f>IF($K833="","",IFERROR(VLOOKUP(--SUBSTITUTE(SUBSTITUTE(TRIM($K833),"-","")," ",""),마스터시트!$A$2:$H$1946,6,FALSE),""))</f>
        <v/>
      </c>
      <c r="R833" s="18" t="str">
        <f>IF($K833="","",IFERROR(VLOOKUP(--SUBSTITUTE(SUBSTITUTE(TRIM($K833),"-","")," ",""),마스터시트!$A$2:$H$1946,7,FALSE),""))</f>
        <v/>
      </c>
    </row>
    <row r="834" spans="13:18" x14ac:dyDescent="0.3">
      <c r="M834" s="18" t="str">
        <f>IF($K834="","",IFERROR(VLOOKUP(--SUBSTITUTE(SUBSTITUTE(TRIM($K834),"-","")," ",""),마스터시트!$A$2:$H$1946,2,FALSE),"미등록"))</f>
        <v/>
      </c>
      <c r="N834" s="53" t="str">
        <f>IF($K834="","",IFERROR(VLOOKUP(--SUBSTITUTE(SUBSTITUTE(TRIM($K834),"-","")," ",""),마스터시트!$A$2:$H$1946,3,FALSE),"미등록"))</f>
        <v/>
      </c>
      <c r="O834" s="18" t="str">
        <f>IF($K834="","",IFERROR(VLOOKUP(--SUBSTITUTE(SUBSTITUTE(TRIM($K834),"-","")," ",""),마스터시트!$A$2:$H$1946,4,FALSE),""))</f>
        <v/>
      </c>
      <c r="P834" s="18" t="str">
        <f>IF($K834="","",IFERROR(VLOOKUP(--SUBSTITUTE(SUBSTITUTE(TRIM($K834),"-","")," ",""),마스터시트!$A$2:$H$1946,5,FALSE),""))</f>
        <v/>
      </c>
      <c r="Q834" s="18" t="str">
        <f>IF($K834="","",IFERROR(VLOOKUP(--SUBSTITUTE(SUBSTITUTE(TRIM($K834),"-","")," ",""),마스터시트!$A$2:$H$1946,6,FALSE),""))</f>
        <v/>
      </c>
      <c r="R834" s="18" t="str">
        <f>IF($K834="","",IFERROR(VLOOKUP(--SUBSTITUTE(SUBSTITUTE(TRIM($K834),"-","")," ",""),마스터시트!$A$2:$H$1946,7,FALSE),""))</f>
        <v/>
      </c>
    </row>
    <row r="835" spans="13:18" x14ac:dyDescent="0.3">
      <c r="M835" s="18" t="str">
        <f>IF($K835="","",IFERROR(VLOOKUP(--SUBSTITUTE(SUBSTITUTE(TRIM($K835),"-","")," ",""),마스터시트!$A$2:$H$1946,2,FALSE),"미등록"))</f>
        <v/>
      </c>
      <c r="N835" s="53" t="str">
        <f>IF($K835="","",IFERROR(VLOOKUP(--SUBSTITUTE(SUBSTITUTE(TRIM($K835),"-","")," ",""),마스터시트!$A$2:$H$1946,3,FALSE),"미등록"))</f>
        <v/>
      </c>
      <c r="O835" s="18" t="str">
        <f>IF($K835="","",IFERROR(VLOOKUP(--SUBSTITUTE(SUBSTITUTE(TRIM($K835),"-","")," ",""),마스터시트!$A$2:$H$1946,4,FALSE),""))</f>
        <v/>
      </c>
      <c r="P835" s="18" t="str">
        <f>IF($K835="","",IFERROR(VLOOKUP(--SUBSTITUTE(SUBSTITUTE(TRIM($K835),"-","")," ",""),마스터시트!$A$2:$H$1946,5,FALSE),""))</f>
        <v/>
      </c>
      <c r="Q835" s="18" t="str">
        <f>IF($K835="","",IFERROR(VLOOKUP(--SUBSTITUTE(SUBSTITUTE(TRIM($K835),"-","")," ",""),마스터시트!$A$2:$H$1946,6,FALSE),""))</f>
        <v/>
      </c>
      <c r="R835" s="18" t="str">
        <f>IF($K835="","",IFERROR(VLOOKUP(--SUBSTITUTE(SUBSTITUTE(TRIM($K835),"-","")," ",""),마스터시트!$A$2:$H$1946,7,FALSE),""))</f>
        <v/>
      </c>
    </row>
    <row r="836" spans="13:18" x14ac:dyDescent="0.3">
      <c r="M836" s="18" t="str">
        <f>IF($K836="","",IFERROR(VLOOKUP(--SUBSTITUTE(SUBSTITUTE(TRIM($K836),"-","")," ",""),마스터시트!$A$2:$H$1946,2,FALSE),"미등록"))</f>
        <v/>
      </c>
      <c r="N836" s="53" t="str">
        <f>IF($K836="","",IFERROR(VLOOKUP(--SUBSTITUTE(SUBSTITUTE(TRIM($K836),"-","")," ",""),마스터시트!$A$2:$H$1946,3,FALSE),"미등록"))</f>
        <v/>
      </c>
      <c r="O836" s="18" t="str">
        <f>IF($K836="","",IFERROR(VLOOKUP(--SUBSTITUTE(SUBSTITUTE(TRIM($K836),"-","")," ",""),마스터시트!$A$2:$H$1946,4,FALSE),""))</f>
        <v/>
      </c>
      <c r="P836" s="18" t="str">
        <f>IF($K836="","",IFERROR(VLOOKUP(--SUBSTITUTE(SUBSTITUTE(TRIM($K836),"-","")," ",""),마스터시트!$A$2:$H$1946,5,FALSE),""))</f>
        <v/>
      </c>
      <c r="Q836" s="18" t="str">
        <f>IF($K836="","",IFERROR(VLOOKUP(--SUBSTITUTE(SUBSTITUTE(TRIM($K836),"-","")," ",""),마스터시트!$A$2:$H$1946,6,FALSE),""))</f>
        <v/>
      </c>
      <c r="R836" s="18" t="str">
        <f>IF($K836="","",IFERROR(VLOOKUP(--SUBSTITUTE(SUBSTITUTE(TRIM($K836),"-","")," ",""),마스터시트!$A$2:$H$1946,7,FALSE),""))</f>
        <v/>
      </c>
    </row>
    <row r="837" spans="13:18" x14ac:dyDescent="0.3">
      <c r="M837" s="18" t="str">
        <f>IF($K837="","",IFERROR(VLOOKUP(--SUBSTITUTE(SUBSTITUTE(TRIM($K837),"-","")," ",""),마스터시트!$A$2:$H$1946,2,FALSE),"미등록"))</f>
        <v/>
      </c>
      <c r="N837" s="53" t="str">
        <f>IF($K837="","",IFERROR(VLOOKUP(--SUBSTITUTE(SUBSTITUTE(TRIM($K837),"-","")," ",""),마스터시트!$A$2:$H$1946,3,FALSE),"미등록"))</f>
        <v/>
      </c>
      <c r="O837" s="18" t="str">
        <f>IF($K837="","",IFERROR(VLOOKUP(--SUBSTITUTE(SUBSTITUTE(TRIM($K837),"-","")," ",""),마스터시트!$A$2:$H$1946,4,FALSE),""))</f>
        <v/>
      </c>
      <c r="P837" s="18" t="str">
        <f>IF($K837="","",IFERROR(VLOOKUP(--SUBSTITUTE(SUBSTITUTE(TRIM($K837),"-","")," ",""),마스터시트!$A$2:$H$1946,5,FALSE),""))</f>
        <v/>
      </c>
      <c r="Q837" s="18" t="str">
        <f>IF($K837="","",IFERROR(VLOOKUP(--SUBSTITUTE(SUBSTITUTE(TRIM($K837),"-","")," ",""),마스터시트!$A$2:$H$1946,6,FALSE),""))</f>
        <v/>
      </c>
      <c r="R837" s="18" t="str">
        <f>IF($K837="","",IFERROR(VLOOKUP(--SUBSTITUTE(SUBSTITUTE(TRIM($K837),"-","")," ",""),마스터시트!$A$2:$H$1946,7,FALSE),""))</f>
        <v/>
      </c>
    </row>
    <row r="838" spans="13:18" x14ac:dyDescent="0.3">
      <c r="M838" s="18" t="str">
        <f>IF($K838="","",IFERROR(VLOOKUP(--SUBSTITUTE(SUBSTITUTE(TRIM($K838),"-","")," ",""),마스터시트!$A$2:$H$1946,2,FALSE),"미등록"))</f>
        <v/>
      </c>
      <c r="N838" s="53" t="str">
        <f>IF($K838="","",IFERROR(VLOOKUP(--SUBSTITUTE(SUBSTITUTE(TRIM($K838),"-","")," ",""),마스터시트!$A$2:$H$1946,3,FALSE),"미등록"))</f>
        <v/>
      </c>
      <c r="O838" s="18" t="str">
        <f>IF($K838="","",IFERROR(VLOOKUP(--SUBSTITUTE(SUBSTITUTE(TRIM($K838),"-","")," ",""),마스터시트!$A$2:$H$1946,4,FALSE),""))</f>
        <v/>
      </c>
      <c r="P838" s="18" t="str">
        <f>IF($K838="","",IFERROR(VLOOKUP(--SUBSTITUTE(SUBSTITUTE(TRIM($K838),"-","")," ",""),마스터시트!$A$2:$H$1946,5,FALSE),""))</f>
        <v/>
      </c>
      <c r="Q838" s="18" t="str">
        <f>IF($K838="","",IFERROR(VLOOKUP(--SUBSTITUTE(SUBSTITUTE(TRIM($K838),"-","")," ",""),마스터시트!$A$2:$H$1946,6,FALSE),""))</f>
        <v/>
      </c>
      <c r="R838" s="18" t="str">
        <f>IF($K838="","",IFERROR(VLOOKUP(--SUBSTITUTE(SUBSTITUTE(TRIM($K838),"-","")," ",""),마스터시트!$A$2:$H$1946,7,FALSE),""))</f>
        <v/>
      </c>
    </row>
    <row r="839" spans="13:18" x14ac:dyDescent="0.3">
      <c r="M839" s="18" t="str">
        <f>IF($K839="","",IFERROR(VLOOKUP(--SUBSTITUTE(SUBSTITUTE(TRIM($K839),"-","")," ",""),마스터시트!$A$2:$H$1946,2,FALSE),"미등록"))</f>
        <v/>
      </c>
      <c r="N839" s="53" t="str">
        <f>IF($K839="","",IFERROR(VLOOKUP(--SUBSTITUTE(SUBSTITUTE(TRIM($K839),"-","")," ",""),마스터시트!$A$2:$H$1946,3,FALSE),"미등록"))</f>
        <v/>
      </c>
      <c r="O839" s="18" t="str">
        <f>IF($K839="","",IFERROR(VLOOKUP(--SUBSTITUTE(SUBSTITUTE(TRIM($K839),"-","")," ",""),마스터시트!$A$2:$H$1946,4,FALSE),""))</f>
        <v/>
      </c>
      <c r="P839" s="18" t="str">
        <f>IF($K839="","",IFERROR(VLOOKUP(--SUBSTITUTE(SUBSTITUTE(TRIM($K839),"-","")," ",""),마스터시트!$A$2:$H$1946,5,FALSE),""))</f>
        <v/>
      </c>
      <c r="Q839" s="18" t="str">
        <f>IF($K839="","",IFERROR(VLOOKUP(--SUBSTITUTE(SUBSTITUTE(TRIM($K839),"-","")," ",""),마스터시트!$A$2:$H$1946,6,FALSE),""))</f>
        <v/>
      </c>
      <c r="R839" s="18" t="str">
        <f>IF($K839="","",IFERROR(VLOOKUP(--SUBSTITUTE(SUBSTITUTE(TRIM($K839),"-","")," ",""),마스터시트!$A$2:$H$1946,7,FALSE),""))</f>
        <v/>
      </c>
    </row>
    <row r="840" spans="13:18" x14ac:dyDescent="0.3">
      <c r="M840" s="18" t="str">
        <f>IF($K840="","",IFERROR(VLOOKUP(--SUBSTITUTE(SUBSTITUTE(TRIM($K840),"-","")," ",""),마스터시트!$A$2:$H$1946,2,FALSE),"미등록"))</f>
        <v/>
      </c>
      <c r="N840" s="53" t="str">
        <f>IF($K840="","",IFERROR(VLOOKUP(--SUBSTITUTE(SUBSTITUTE(TRIM($K840),"-","")," ",""),마스터시트!$A$2:$H$1946,3,FALSE),"미등록"))</f>
        <v/>
      </c>
      <c r="O840" s="18" t="str">
        <f>IF($K840="","",IFERROR(VLOOKUP(--SUBSTITUTE(SUBSTITUTE(TRIM($K840),"-","")," ",""),마스터시트!$A$2:$H$1946,4,FALSE),""))</f>
        <v/>
      </c>
      <c r="P840" s="18" t="str">
        <f>IF($K840="","",IFERROR(VLOOKUP(--SUBSTITUTE(SUBSTITUTE(TRIM($K840),"-","")," ",""),마스터시트!$A$2:$H$1946,5,FALSE),""))</f>
        <v/>
      </c>
      <c r="Q840" s="18" t="str">
        <f>IF($K840="","",IFERROR(VLOOKUP(--SUBSTITUTE(SUBSTITUTE(TRIM($K840),"-","")," ",""),마스터시트!$A$2:$H$1946,6,FALSE),""))</f>
        <v/>
      </c>
      <c r="R840" s="18" t="str">
        <f>IF($K840="","",IFERROR(VLOOKUP(--SUBSTITUTE(SUBSTITUTE(TRIM($K840),"-","")," ",""),마스터시트!$A$2:$H$1946,7,FALSE),""))</f>
        <v/>
      </c>
    </row>
    <row r="841" spans="13:18" x14ac:dyDescent="0.3">
      <c r="M841" s="18" t="str">
        <f>IF($K841="","",IFERROR(VLOOKUP(--SUBSTITUTE(SUBSTITUTE(TRIM($K841),"-","")," ",""),마스터시트!$A$2:$H$1946,2,FALSE),"미등록"))</f>
        <v/>
      </c>
      <c r="N841" s="53" t="str">
        <f>IF($K841="","",IFERROR(VLOOKUP(--SUBSTITUTE(SUBSTITUTE(TRIM($K841),"-","")," ",""),마스터시트!$A$2:$H$1946,3,FALSE),"미등록"))</f>
        <v/>
      </c>
      <c r="O841" s="18" t="str">
        <f>IF($K841="","",IFERROR(VLOOKUP(--SUBSTITUTE(SUBSTITUTE(TRIM($K841),"-","")," ",""),마스터시트!$A$2:$H$1946,4,FALSE),""))</f>
        <v/>
      </c>
      <c r="P841" s="18" t="str">
        <f>IF($K841="","",IFERROR(VLOOKUP(--SUBSTITUTE(SUBSTITUTE(TRIM($K841),"-","")," ",""),마스터시트!$A$2:$H$1946,5,FALSE),""))</f>
        <v/>
      </c>
      <c r="Q841" s="18" t="str">
        <f>IF($K841="","",IFERROR(VLOOKUP(--SUBSTITUTE(SUBSTITUTE(TRIM($K841),"-","")," ",""),마스터시트!$A$2:$H$1946,6,FALSE),""))</f>
        <v/>
      </c>
      <c r="R841" s="18" t="str">
        <f>IF($K841="","",IFERROR(VLOOKUP(--SUBSTITUTE(SUBSTITUTE(TRIM($K841),"-","")," ",""),마스터시트!$A$2:$H$1946,7,FALSE),""))</f>
        <v/>
      </c>
    </row>
    <row r="842" spans="13:18" x14ac:dyDescent="0.3">
      <c r="M842" s="18" t="str">
        <f>IF($K842="","",IFERROR(VLOOKUP(--SUBSTITUTE(SUBSTITUTE(TRIM($K842),"-","")," ",""),마스터시트!$A$2:$H$1946,2,FALSE),"미등록"))</f>
        <v/>
      </c>
      <c r="N842" s="53" t="str">
        <f>IF($K842="","",IFERROR(VLOOKUP(--SUBSTITUTE(SUBSTITUTE(TRIM($K842),"-","")," ",""),마스터시트!$A$2:$H$1946,3,FALSE),"미등록"))</f>
        <v/>
      </c>
      <c r="O842" s="18" t="str">
        <f>IF($K842="","",IFERROR(VLOOKUP(--SUBSTITUTE(SUBSTITUTE(TRIM($K842),"-","")," ",""),마스터시트!$A$2:$H$1946,4,FALSE),""))</f>
        <v/>
      </c>
      <c r="P842" s="18" t="str">
        <f>IF($K842="","",IFERROR(VLOOKUP(--SUBSTITUTE(SUBSTITUTE(TRIM($K842),"-","")," ",""),마스터시트!$A$2:$H$1946,5,FALSE),""))</f>
        <v/>
      </c>
      <c r="Q842" s="18" t="str">
        <f>IF($K842="","",IFERROR(VLOOKUP(--SUBSTITUTE(SUBSTITUTE(TRIM($K842),"-","")," ",""),마스터시트!$A$2:$H$1946,6,FALSE),""))</f>
        <v/>
      </c>
      <c r="R842" s="18" t="str">
        <f>IF($K842="","",IFERROR(VLOOKUP(--SUBSTITUTE(SUBSTITUTE(TRIM($K842),"-","")," ",""),마스터시트!$A$2:$H$1946,7,FALSE),""))</f>
        <v/>
      </c>
    </row>
    <row r="843" spans="13:18" x14ac:dyDescent="0.3">
      <c r="M843" s="18" t="str">
        <f>IF($K843="","",IFERROR(VLOOKUP(--SUBSTITUTE(SUBSTITUTE(TRIM($K843),"-","")," ",""),마스터시트!$A$2:$H$1946,2,FALSE),"미등록"))</f>
        <v/>
      </c>
      <c r="N843" s="53" t="str">
        <f>IF($K843="","",IFERROR(VLOOKUP(--SUBSTITUTE(SUBSTITUTE(TRIM($K843),"-","")," ",""),마스터시트!$A$2:$H$1946,3,FALSE),"미등록"))</f>
        <v/>
      </c>
      <c r="O843" s="18" t="str">
        <f>IF($K843="","",IFERROR(VLOOKUP(--SUBSTITUTE(SUBSTITUTE(TRIM($K843),"-","")," ",""),마스터시트!$A$2:$H$1946,4,FALSE),""))</f>
        <v/>
      </c>
      <c r="P843" s="18" t="str">
        <f>IF($K843="","",IFERROR(VLOOKUP(--SUBSTITUTE(SUBSTITUTE(TRIM($K843),"-","")," ",""),마스터시트!$A$2:$H$1946,5,FALSE),""))</f>
        <v/>
      </c>
      <c r="Q843" s="18" t="str">
        <f>IF($K843="","",IFERROR(VLOOKUP(--SUBSTITUTE(SUBSTITUTE(TRIM($K843),"-","")," ",""),마스터시트!$A$2:$H$1946,6,FALSE),""))</f>
        <v/>
      </c>
      <c r="R843" s="18" t="str">
        <f>IF($K843="","",IFERROR(VLOOKUP(--SUBSTITUTE(SUBSTITUTE(TRIM($K843),"-","")," ",""),마스터시트!$A$2:$H$1946,7,FALSE),""))</f>
        <v/>
      </c>
    </row>
    <row r="844" spans="13:18" x14ac:dyDescent="0.3">
      <c r="M844" s="18" t="str">
        <f>IF($K844="","",IFERROR(VLOOKUP(--SUBSTITUTE(SUBSTITUTE(TRIM($K844),"-","")," ",""),마스터시트!$A$2:$H$1946,2,FALSE),"미등록"))</f>
        <v/>
      </c>
      <c r="N844" s="53" t="str">
        <f>IF($K844="","",IFERROR(VLOOKUP(--SUBSTITUTE(SUBSTITUTE(TRIM($K844),"-","")," ",""),마스터시트!$A$2:$H$1946,3,FALSE),"미등록"))</f>
        <v/>
      </c>
      <c r="O844" s="18" t="str">
        <f>IF($K844="","",IFERROR(VLOOKUP(--SUBSTITUTE(SUBSTITUTE(TRIM($K844),"-","")," ",""),마스터시트!$A$2:$H$1946,4,FALSE),""))</f>
        <v/>
      </c>
      <c r="P844" s="18" t="str">
        <f>IF($K844="","",IFERROR(VLOOKUP(--SUBSTITUTE(SUBSTITUTE(TRIM($K844),"-","")," ",""),마스터시트!$A$2:$H$1946,5,FALSE),""))</f>
        <v/>
      </c>
      <c r="Q844" s="18" t="str">
        <f>IF($K844="","",IFERROR(VLOOKUP(--SUBSTITUTE(SUBSTITUTE(TRIM($K844),"-","")," ",""),마스터시트!$A$2:$H$1946,6,FALSE),""))</f>
        <v/>
      </c>
      <c r="R844" s="18" t="str">
        <f>IF($K844="","",IFERROR(VLOOKUP(--SUBSTITUTE(SUBSTITUTE(TRIM($K844),"-","")," ",""),마스터시트!$A$2:$H$1946,7,FALSE),""))</f>
        <v/>
      </c>
    </row>
    <row r="845" spans="13:18" x14ac:dyDescent="0.3">
      <c r="M845" s="18" t="str">
        <f>IF($K845="","",IFERROR(VLOOKUP(--SUBSTITUTE(SUBSTITUTE(TRIM($K845),"-","")," ",""),마스터시트!$A$2:$H$1946,2,FALSE),"미등록"))</f>
        <v/>
      </c>
      <c r="N845" s="53" t="str">
        <f>IF($K845="","",IFERROR(VLOOKUP(--SUBSTITUTE(SUBSTITUTE(TRIM($K845),"-","")," ",""),마스터시트!$A$2:$H$1946,3,FALSE),"미등록"))</f>
        <v/>
      </c>
      <c r="O845" s="18" t="str">
        <f>IF($K845="","",IFERROR(VLOOKUP(--SUBSTITUTE(SUBSTITUTE(TRIM($K845),"-","")," ",""),마스터시트!$A$2:$H$1946,4,FALSE),""))</f>
        <v/>
      </c>
      <c r="P845" s="18" t="str">
        <f>IF($K845="","",IFERROR(VLOOKUP(--SUBSTITUTE(SUBSTITUTE(TRIM($K845),"-","")," ",""),마스터시트!$A$2:$H$1946,5,FALSE),""))</f>
        <v/>
      </c>
      <c r="Q845" s="18" t="str">
        <f>IF($K845="","",IFERROR(VLOOKUP(--SUBSTITUTE(SUBSTITUTE(TRIM($K845),"-","")," ",""),마스터시트!$A$2:$H$1946,6,FALSE),""))</f>
        <v/>
      </c>
      <c r="R845" s="18" t="str">
        <f>IF($K845="","",IFERROR(VLOOKUP(--SUBSTITUTE(SUBSTITUTE(TRIM($K845),"-","")," ",""),마스터시트!$A$2:$H$1946,7,FALSE),""))</f>
        <v/>
      </c>
    </row>
    <row r="846" spans="13:18" x14ac:dyDescent="0.3">
      <c r="M846" s="18" t="str">
        <f>IF($K846="","",IFERROR(VLOOKUP(--SUBSTITUTE(SUBSTITUTE(TRIM($K846),"-","")," ",""),마스터시트!$A$2:$H$1946,2,FALSE),"미등록"))</f>
        <v/>
      </c>
      <c r="N846" s="53" t="str">
        <f>IF($K846="","",IFERROR(VLOOKUP(--SUBSTITUTE(SUBSTITUTE(TRIM($K846),"-","")," ",""),마스터시트!$A$2:$H$1946,3,FALSE),"미등록"))</f>
        <v/>
      </c>
      <c r="O846" s="18" t="str">
        <f>IF($K846="","",IFERROR(VLOOKUP(--SUBSTITUTE(SUBSTITUTE(TRIM($K846),"-","")," ",""),마스터시트!$A$2:$H$1946,4,FALSE),""))</f>
        <v/>
      </c>
      <c r="P846" s="18" t="str">
        <f>IF($K846="","",IFERROR(VLOOKUP(--SUBSTITUTE(SUBSTITUTE(TRIM($K846),"-","")," ",""),마스터시트!$A$2:$H$1946,5,FALSE),""))</f>
        <v/>
      </c>
      <c r="Q846" s="18" t="str">
        <f>IF($K846="","",IFERROR(VLOOKUP(--SUBSTITUTE(SUBSTITUTE(TRIM($K846),"-","")," ",""),마스터시트!$A$2:$H$1946,6,FALSE),""))</f>
        <v/>
      </c>
      <c r="R846" s="18" t="str">
        <f>IF($K846="","",IFERROR(VLOOKUP(--SUBSTITUTE(SUBSTITUTE(TRIM($K846),"-","")," ",""),마스터시트!$A$2:$H$1946,7,FALSE),""))</f>
        <v/>
      </c>
    </row>
    <row r="847" spans="13:18" x14ac:dyDescent="0.3">
      <c r="M847" s="18" t="str">
        <f>IF($K847="","",IFERROR(VLOOKUP(--SUBSTITUTE(SUBSTITUTE(TRIM($K847),"-","")," ",""),마스터시트!$A$2:$H$1946,2,FALSE),"미등록"))</f>
        <v/>
      </c>
      <c r="N847" s="53" t="str">
        <f>IF($K847="","",IFERROR(VLOOKUP(--SUBSTITUTE(SUBSTITUTE(TRIM($K847),"-","")," ",""),마스터시트!$A$2:$H$1946,3,FALSE),"미등록"))</f>
        <v/>
      </c>
      <c r="O847" s="18" t="str">
        <f>IF($K847="","",IFERROR(VLOOKUP(--SUBSTITUTE(SUBSTITUTE(TRIM($K847),"-","")," ",""),마스터시트!$A$2:$H$1946,4,FALSE),""))</f>
        <v/>
      </c>
      <c r="P847" s="18" t="str">
        <f>IF($K847="","",IFERROR(VLOOKUP(--SUBSTITUTE(SUBSTITUTE(TRIM($K847),"-","")," ",""),마스터시트!$A$2:$H$1946,5,FALSE),""))</f>
        <v/>
      </c>
      <c r="Q847" s="18" t="str">
        <f>IF($K847="","",IFERROR(VLOOKUP(--SUBSTITUTE(SUBSTITUTE(TRIM($K847),"-","")," ",""),마스터시트!$A$2:$H$1946,6,FALSE),""))</f>
        <v/>
      </c>
      <c r="R847" s="18" t="str">
        <f>IF($K847="","",IFERROR(VLOOKUP(--SUBSTITUTE(SUBSTITUTE(TRIM($K847),"-","")," ",""),마스터시트!$A$2:$H$1946,7,FALSE),""))</f>
        <v/>
      </c>
    </row>
    <row r="848" spans="13:18" x14ac:dyDescent="0.3">
      <c r="M848" s="18" t="str">
        <f>IF($K848="","",IFERROR(VLOOKUP(--SUBSTITUTE(SUBSTITUTE(TRIM($K848),"-","")," ",""),마스터시트!$A$2:$H$1946,2,FALSE),"미등록"))</f>
        <v/>
      </c>
      <c r="N848" s="53" t="str">
        <f>IF($K848="","",IFERROR(VLOOKUP(--SUBSTITUTE(SUBSTITUTE(TRIM($K848),"-","")," ",""),마스터시트!$A$2:$H$1946,3,FALSE),"미등록"))</f>
        <v/>
      </c>
      <c r="O848" s="18" t="str">
        <f>IF($K848="","",IFERROR(VLOOKUP(--SUBSTITUTE(SUBSTITUTE(TRIM($K848),"-","")," ",""),마스터시트!$A$2:$H$1946,4,FALSE),""))</f>
        <v/>
      </c>
      <c r="P848" s="18" t="str">
        <f>IF($K848="","",IFERROR(VLOOKUP(--SUBSTITUTE(SUBSTITUTE(TRIM($K848),"-","")," ",""),마스터시트!$A$2:$H$1946,5,FALSE),""))</f>
        <v/>
      </c>
      <c r="Q848" s="18" t="str">
        <f>IF($K848="","",IFERROR(VLOOKUP(--SUBSTITUTE(SUBSTITUTE(TRIM($K848),"-","")," ",""),마스터시트!$A$2:$H$1946,6,FALSE),""))</f>
        <v/>
      </c>
      <c r="R848" s="18" t="str">
        <f>IF($K848="","",IFERROR(VLOOKUP(--SUBSTITUTE(SUBSTITUTE(TRIM($K848),"-","")," ",""),마스터시트!$A$2:$H$1946,7,FALSE),""))</f>
        <v/>
      </c>
    </row>
    <row r="849" spans="13:18" x14ac:dyDescent="0.3">
      <c r="M849" s="18" t="str">
        <f>IF($K849="","",IFERROR(VLOOKUP(--SUBSTITUTE(SUBSTITUTE(TRIM($K849),"-","")," ",""),마스터시트!$A$2:$H$1946,2,FALSE),"미등록"))</f>
        <v/>
      </c>
      <c r="N849" s="53" t="str">
        <f>IF($K849="","",IFERROR(VLOOKUP(--SUBSTITUTE(SUBSTITUTE(TRIM($K849),"-","")," ",""),마스터시트!$A$2:$H$1946,3,FALSE),"미등록"))</f>
        <v/>
      </c>
      <c r="O849" s="18" t="str">
        <f>IF($K849="","",IFERROR(VLOOKUP(--SUBSTITUTE(SUBSTITUTE(TRIM($K849),"-","")," ",""),마스터시트!$A$2:$H$1946,4,FALSE),""))</f>
        <v/>
      </c>
      <c r="P849" s="18" t="str">
        <f>IF($K849="","",IFERROR(VLOOKUP(--SUBSTITUTE(SUBSTITUTE(TRIM($K849),"-","")," ",""),마스터시트!$A$2:$H$1946,5,FALSE),""))</f>
        <v/>
      </c>
      <c r="Q849" s="18" t="str">
        <f>IF($K849="","",IFERROR(VLOOKUP(--SUBSTITUTE(SUBSTITUTE(TRIM($K849),"-","")," ",""),마스터시트!$A$2:$H$1946,6,FALSE),""))</f>
        <v/>
      </c>
      <c r="R849" s="18" t="str">
        <f>IF($K849="","",IFERROR(VLOOKUP(--SUBSTITUTE(SUBSTITUTE(TRIM($K849),"-","")," ",""),마스터시트!$A$2:$H$1946,7,FALSE),""))</f>
        <v/>
      </c>
    </row>
    <row r="850" spans="13:18" x14ac:dyDescent="0.3">
      <c r="M850" s="18" t="str">
        <f>IF($K850="","",IFERROR(VLOOKUP(--SUBSTITUTE(SUBSTITUTE(TRIM($K850),"-","")," ",""),마스터시트!$A$2:$H$1946,2,FALSE),"미등록"))</f>
        <v/>
      </c>
      <c r="N850" s="53" t="str">
        <f>IF($K850="","",IFERROR(VLOOKUP(--SUBSTITUTE(SUBSTITUTE(TRIM($K850),"-","")," ",""),마스터시트!$A$2:$H$1946,3,FALSE),"미등록"))</f>
        <v/>
      </c>
      <c r="O850" s="18" t="str">
        <f>IF($K850="","",IFERROR(VLOOKUP(--SUBSTITUTE(SUBSTITUTE(TRIM($K850),"-","")," ",""),마스터시트!$A$2:$H$1946,4,FALSE),""))</f>
        <v/>
      </c>
      <c r="P850" s="18" t="str">
        <f>IF($K850="","",IFERROR(VLOOKUP(--SUBSTITUTE(SUBSTITUTE(TRIM($K850),"-","")," ",""),마스터시트!$A$2:$H$1946,5,FALSE),""))</f>
        <v/>
      </c>
      <c r="Q850" s="18" t="str">
        <f>IF($K850="","",IFERROR(VLOOKUP(--SUBSTITUTE(SUBSTITUTE(TRIM($K850),"-","")," ",""),마스터시트!$A$2:$H$1946,6,FALSE),""))</f>
        <v/>
      </c>
      <c r="R850" s="18" t="str">
        <f>IF($K850="","",IFERROR(VLOOKUP(--SUBSTITUTE(SUBSTITUTE(TRIM($K850),"-","")," ",""),마스터시트!$A$2:$H$1946,7,FALSE),""))</f>
        <v/>
      </c>
    </row>
    <row r="851" spans="13:18" x14ac:dyDescent="0.3">
      <c r="M851" s="18" t="str">
        <f>IF($K851="","",IFERROR(VLOOKUP(--SUBSTITUTE(SUBSTITUTE(TRIM($K851),"-","")," ",""),마스터시트!$A$2:$H$1946,2,FALSE),"미등록"))</f>
        <v/>
      </c>
      <c r="N851" s="53" t="str">
        <f>IF($K851="","",IFERROR(VLOOKUP(--SUBSTITUTE(SUBSTITUTE(TRIM($K851),"-","")," ",""),마스터시트!$A$2:$H$1946,3,FALSE),"미등록"))</f>
        <v/>
      </c>
      <c r="O851" s="18" t="str">
        <f>IF($K851="","",IFERROR(VLOOKUP(--SUBSTITUTE(SUBSTITUTE(TRIM($K851),"-","")," ",""),마스터시트!$A$2:$H$1946,4,FALSE),""))</f>
        <v/>
      </c>
      <c r="P851" s="18" t="str">
        <f>IF($K851="","",IFERROR(VLOOKUP(--SUBSTITUTE(SUBSTITUTE(TRIM($K851),"-","")," ",""),마스터시트!$A$2:$H$1946,5,FALSE),""))</f>
        <v/>
      </c>
      <c r="Q851" s="18" t="str">
        <f>IF($K851="","",IFERROR(VLOOKUP(--SUBSTITUTE(SUBSTITUTE(TRIM($K851),"-","")," ",""),마스터시트!$A$2:$H$1946,6,FALSE),""))</f>
        <v/>
      </c>
      <c r="R851" s="18" t="str">
        <f>IF($K851="","",IFERROR(VLOOKUP(--SUBSTITUTE(SUBSTITUTE(TRIM($K851),"-","")," ",""),마스터시트!$A$2:$H$1946,7,FALSE),""))</f>
        <v/>
      </c>
    </row>
    <row r="852" spans="13:18" x14ac:dyDescent="0.3">
      <c r="M852" s="18" t="str">
        <f>IF($K852="","",IFERROR(VLOOKUP(--SUBSTITUTE(SUBSTITUTE(TRIM($K852),"-","")," ",""),마스터시트!$A$2:$H$1946,2,FALSE),"미등록"))</f>
        <v/>
      </c>
      <c r="N852" s="53" t="str">
        <f>IF($K852="","",IFERROR(VLOOKUP(--SUBSTITUTE(SUBSTITUTE(TRIM($K852),"-","")," ",""),마스터시트!$A$2:$H$1946,3,FALSE),"미등록"))</f>
        <v/>
      </c>
      <c r="O852" s="18" t="str">
        <f>IF($K852="","",IFERROR(VLOOKUP(--SUBSTITUTE(SUBSTITUTE(TRIM($K852),"-","")," ",""),마스터시트!$A$2:$H$1946,4,FALSE),""))</f>
        <v/>
      </c>
      <c r="P852" s="18" t="str">
        <f>IF($K852="","",IFERROR(VLOOKUP(--SUBSTITUTE(SUBSTITUTE(TRIM($K852),"-","")," ",""),마스터시트!$A$2:$H$1946,5,FALSE),""))</f>
        <v/>
      </c>
      <c r="Q852" s="18" t="str">
        <f>IF($K852="","",IFERROR(VLOOKUP(--SUBSTITUTE(SUBSTITUTE(TRIM($K852),"-","")," ",""),마스터시트!$A$2:$H$1946,6,FALSE),""))</f>
        <v/>
      </c>
      <c r="R852" s="18" t="str">
        <f>IF($K852="","",IFERROR(VLOOKUP(--SUBSTITUTE(SUBSTITUTE(TRIM($K852),"-","")," ",""),마스터시트!$A$2:$H$1946,7,FALSE),""))</f>
        <v/>
      </c>
    </row>
    <row r="853" spans="13:18" x14ac:dyDescent="0.3">
      <c r="M853" s="18" t="str">
        <f>IF($K853="","",IFERROR(VLOOKUP(--SUBSTITUTE(SUBSTITUTE(TRIM($K853),"-","")," ",""),마스터시트!$A$2:$H$1946,2,FALSE),"미등록"))</f>
        <v/>
      </c>
      <c r="N853" s="53" t="str">
        <f>IF($K853="","",IFERROR(VLOOKUP(--SUBSTITUTE(SUBSTITUTE(TRIM($K853),"-","")," ",""),마스터시트!$A$2:$H$1946,3,FALSE),"미등록"))</f>
        <v/>
      </c>
      <c r="O853" s="18" t="str">
        <f>IF($K853="","",IFERROR(VLOOKUP(--SUBSTITUTE(SUBSTITUTE(TRIM($K853),"-","")," ",""),마스터시트!$A$2:$H$1946,4,FALSE),""))</f>
        <v/>
      </c>
      <c r="P853" s="18" t="str">
        <f>IF($K853="","",IFERROR(VLOOKUP(--SUBSTITUTE(SUBSTITUTE(TRIM($K853),"-","")," ",""),마스터시트!$A$2:$H$1946,5,FALSE),""))</f>
        <v/>
      </c>
      <c r="Q853" s="18" t="str">
        <f>IF($K853="","",IFERROR(VLOOKUP(--SUBSTITUTE(SUBSTITUTE(TRIM($K853),"-","")," ",""),마스터시트!$A$2:$H$1946,6,FALSE),""))</f>
        <v/>
      </c>
      <c r="R853" s="18" t="str">
        <f>IF($K853="","",IFERROR(VLOOKUP(--SUBSTITUTE(SUBSTITUTE(TRIM($K853),"-","")," ",""),마스터시트!$A$2:$H$1946,7,FALSE),""))</f>
        <v/>
      </c>
    </row>
    <row r="854" spans="13:18" x14ac:dyDescent="0.3">
      <c r="M854" s="18" t="str">
        <f>IF($K854="","",IFERROR(VLOOKUP(--SUBSTITUTE(SUBSTITUTE(TRIM($K854),"-","")," ",""),마스터시트!$A$2:$H$1946,2,FALSE),"미등록"))</f>
        <v/>
      </c>
      <c r="N854" s="53" t="str">
        <f>IF($K854="","",IFERROR(VLOOKUP(--SUBSTITUTE(SUBSTITUTE(TRIM($K854),"-","")," ",""),마스터시트!$A$2:$H$1946,3,FALSE),"미등록"))</f>
        <v/>
      </c>
      <c r="O854" s="18" t="str">
        <f>IF($K854="","",IFERROR(VLOOKUP(--SUBSTITUTE(SUBSTITUTE(TRIM($K854),"-","")," ",""),마스터시트!$A$2:$H$1946,4,FALSE),""))</f>
        <v/>
      </c>
      <c r="P854" s="18" t="str">
        <f>IF($K854="","",IFERROR(VLOOKUP(--SUBSTITUTE(SUBSTITUTE(TRIM($K854),"-","")," ",""),마스터시트!$A$2:$H$1946,5,FALSE),""))</f>
        <v/>
      </c>
      <c r="Q854" s="18" t="str">
        <f>IF($K854="","",IFERROR(VLOOKUP(--SUBSTITUTE(SUBSTITUTE(TRIM($K854),"-","")," ",""),마스터시트!$A$2:$H$1946,6,FALSE),""))</f>
        <v/>
      </c>
      <c r="R854" s="18" t="str">
        <f>IF($K854="","",IFERROR(VLOOKUP(--SUBSTITUTE(SUBSTITUTE(TRIM($K854),"-","")," ",""),마스터시트!$A$2:$H$1946,7,FALSE),""))</f>
        <v/>
      </c>
    </row>
    <row r="855" spans="13:18" x14ac:dyDescent="0.3">
      <c r="M855" s="18" t="str">
        <f>IF($K855="","",IFERROR(VLOOKUP(--SUBSTITUTE(SUBSTITUTE(TRIM($K855),"-","")," ",""),마스터시트!$A$2:$H$1946,2,FALSE),"미등록"))</f>
        <v/>
      </c>
      <c r="N855" s="53" t="str">
        <f>IF($K855="","",IFERROR(VLOOKUP(--SUBSTITUTE(SUBSTITUTE(TRIM($K855),"-","")," ",""),마스터시트!$A$2:$H$1946,3,FALSE),"미등록"))</f>
        <v/>
      </c>
      <c r="O855" s="18" t="str">
        <f>IF($K855="","",IFERROR(VLOOKUP(--SUBSTITUTE(SUBSTITUTE(TRIM($K855),"-","")," ",""),마스터시트!$A$2:$H$1946,4,FALSE),""))</f>
        <v/>
      </c>
      <c r="P855" s="18" t="str">
        <f>IF($K855="","",IFERROR(VLOOKUP(--SUBSTITUTE(SUBSTITUTE(TRIM($K855),"-","")," ",""),마스터시트!$A$2:$H$1946,5,FALSE),""))</f>
        <v/>
      </c>
      <c r="Q855" s="18" t="str">
        <f>IF($K855="","",IFERROR(VLOOKUP(--SUBSTITUTE(SUBSTITUTE(TRIM($K855),"-","")," ",""),마스터시트!$A$2:$H$1946,6,FALSE),""))</f>
        <v/>
      </c>
      <c r="R855" s="18" t="str">
        <f>IF($K855="","",IFERROR(VLOOKUP(--SUBSTITUTE(SUBSTITUTE(TRIM($K855),"-","")," ",""),마스터시트!$A$2:$H$1946,7,FALSE),""))</f>
        <v/>
      </c>
    </row>
    <row r="856" spans="13:18" x14ac:dyDescent="0.3">
      <c r="M856" s="18" t="str">
        <f>IF($K856="","",IFERROR(VLOOKUP(--SUBSTITUTE(SUBSTITUTE(TRIM($K856),"-","")," ",""),마스터시트!$A$2:$H$1946,2,FALSE),"미등록"))</f>
        <v/>
      </c>
      <c r="N856" s="53" t="str">
        <f>IF($K856="","",IFERROR(VLOOKUP(--SUBSTITUTE(SUBSTITUTE(TRIM($K856),"-","")," ",""),마스터시트!$A$2:$H$1946,3,FALSE),"미등록"))</f>
        <v/>
      </c>
      <c r="O856" s="18" t="str">
        <f>IF($K856="","",IFERROR(VLOOKUP(--SUBSTITUTE(SUBSTITUTE(TRIM($K856),"-","")," ",""),마스터시트!$A$2:$H$1946,4,FALSE),""))</f>
        <v/>
      </c>
      <c r="P856" s="18" t="str">
        <f>IF($K856="","",IFERROR(VLOOKUP(--SUBSTITUTE(SUBSTITUTE(TRIM($K856),"-","")," ",""),마스터시트!$A$2:$H$1946,5,FALSE),""))</f>
        <v/>
      </c>
      <c r="Q856" s="18" t="str">
        <f>IF($K856="","",IFERROR(VLOOKUP(--SUBSTITUTE(SUBSTITUTE(TRIM($K856),"-","")," ",""),마스터시트!$A$2:$H$1946,6,FALSE),""))</f>
        <v/>
      </c>
      <c r="R856" s="18" t="str">
        <f>IF($K856="","",IFERROR(VLOOKUP(--SUBSTITUTE(SUBSTITUTE(TRIM($K856),"-","")," ",""),마스터시트!$A$2:$H$1946,7,FALSE),""))</f>
        <v/>
      </c>
    </row>
    <row r="857" spans="13:18" x14ac:dyDescent="0.3">
      <c r="M857" s="18" t="str">
        <f>IF($K857="","",IFERROR(VLOOKUP(--SUBSTITUTE(SUBSTITUTE(TRIM($K857),"-","")," ",""),마스터시트!$A$2:$H$1946,2,FALSE),"미등록"))</f>
        <v/>
      </c>
      <c r="N857" s="53" t="str">
        <f>IF($K857="","",IFERROR(VLOOKUP(--SUBSTITUTE(SUBSTITUTE(TRIM($K857),"-","")," ",""),마스터시트!$A$2:$H$1946,3,FALSE),"미등록"))</f>
        <v/>
      </c>
      <c r="O857" s="18" t="str">
        <f>IF($K857="","",IFERROR(VLOOKUP(--SUBSTITUTE(SUBSTITUTE(TRIM($K857),"-","")," ",""),마스터시트!$A$2:$H$1946,4,FALSE),""))</f>
        <v/>
      </c>
      <c r="P857" s="18" t="str">
        <f>IF($K857="","",IFERROR(VLOOKUP(--SUBSTITUTE(SUBSTITUTE(TRIM($K857),"-","")," ",""),마스터시트!$A$2:$H$1946,5,FALSE),""))</f>
        <v/>
      </c>
      <c r="Q857" s="18" t="str">
        <f>IF($K857="","",IFERROR(VLOOKUP(--SUBSTITUTE(SUBSTITUTE(TRIM($K857),"-","")," ",""),마스터시트!$A$2:$H$1946,6,FALSE),""))</f>
        <v/>
      </c>
      <c r="R857" s="18" t="str">
        <f>IF($K857="","",IFERROR(VLOOKUP(--SUBSTITUTE(SUBSTITUTE(TRIM($K857),"-","")," ",""),마스터시트!$A$2:$H$1946,7,FALSE),""))</f>
        <v/>
      </c>
    </row>
    <row r="858" spans="13:18" x14ac:dyDescent="0.3">
      <c r="M858" s="18" t="str">
        <f>IF($K858="","",IFERROR(VLOOKUP(--SUBSTITUTE(SUBSTITUTE(TRIM($K858),"-","")," ",""),마스터시트!$A$2:$H$1946,2,FALSE),"미등록"))</f>
        <v/>
      </c>
      <c r="N858" s="53" t="str">
        <f>IF($K858="","",IFERROR(VLOOKUP(--SUBSTITUTE(SUBSTITUTE(TRIM($K858),"-","")," ",""),마스터시트!$A$2:$H$1946,3,FALSE),"미등록"))</f>
        <v/>
      </c>
      <c r="O858" s="18" t="str">
        <f>IF($K858="","",IFERROR(VLOOKUP(--SUBSTITUTE(SUBSTITUTE(TRIM($K858),"-","")," ",""),마스터시트!$A$2:$H$1946,4,FALSE),""))</f>
        <v/>
      </c>
      <c r="P858" s="18" t="str">
        <f>IF($K858="","",IFERROR(VLOOKUP(--SUBSTITUTE(SUBSTITUTE(TRIM($K858),"-","")," ",""),마스터시트!$A$2:$H$1946,5,FALSE),""))</f>
        <v/>
      </c>
      <c r="Q858" s="18" t="str">
        <f>IF($K858="","",IFERROR(VLOOKUP(--SUBSTITUTE(SUBSTITUTE(TRIM($K858),"-","")," ",""),마스터시트!$A$2:$H$1946,6,FALSE),""))</f>
        <v/>
      </c>
      <c r="R858" s="18" t="str">
        <f>IF($K858="","",IFERROR(VLOOKUP(--SUBSTITUTE(SUBSTITUTE(TRIM($K858),"-","")," ",""),마스터시트!$A$2:$H$1946,7,FALSE),""))</f>
        <v/>
      </c>
    </row>
    <row r="859" spans="13:18" x14ac:dyDescent="0.3">
      <c r="M859" s="18" t="str">
        <f>IF($K859="","",IFERROR(VLOOKUP(--SUBSTITUTE(SUBSTITUTE(TRIM($K859),"-","")," ",""),마스터시트!$A$2:$H$1946,2,FALSE),"미등록"))</f>
        <v/>
      </c>
      <c r="N859" s="53" t="str">
        <f>IF($K859="","",IFERROR(VLOOKUP(--SUBSTITUTE(SUBSTITUTE(TRIM($K859),"-","")," ",""),마스터시트!$A$2:$H$1946,3,FALSE),"미등록"))</f>
        <v/>
      </c>
      <c r="O859" s="18" t="str">
        <f>IF($K859="","",IFERROR(VLOOKUP(--SUBSTITUTE(SUBSTITUTE(TRIM($K859),"-","")," ",""),마스터시트!$A$2:$H$1946,4,FALSE),""))</f>
        <v/>
      </c>
      <c r="P859" s="18" t="str">
        <f>IF($K859="","",IFERROR(VLOOKUP(--SUBSTITUTE(SUBSTITUTE(TRIM($K859),"-","")," ",""),마스터시트!$A$2:$H$1946,5,FALSE),""))</f>
        <v/>
      </c>
      <c r="Q859" s="18" t="str">
        <f>IF($K859="","",IFERROR(VLOOKUP(--SUBSTITUTE(SUBSTITUTE(TRIM($K859),"-","")," ",""),마스터시트!$A$2:$H$1946,6,FALSE),""))</f>
        <v/>
      </c>
      <c r="R859" s="18" t="str">
        <f>IF($K859="","",IFERROR(VLOOKUP(--SUBSTITUTE(SUBSTITUTE(TRIM($K859),"-","")," ",""),마스터시트!$A$2:$H$1946,7,FALSE),""))</f>
        <v/>
      </c>
    </row>
    <row r="860" spans="13:18" x14ac:dyDescent="0.3">
      <c r="M860" s="18" t="str">
        <f>IF($K860="","",IFERROR(VLOOKUP(--SUBSTITUTE(SUBSTITUTE(TRIM($K860),"-","")," ",""),마스터시트!$A$2:$H$1946,2,FALSE),"미등록"))</f>
        <v/>
      </c>
      <c r="N860" s="53" t="str">
        <f>IF($K860="","",IFERROR(VLOOKUP(--SUBSTITUTE(SUBSTITUTE(TRIM($K860),"-","")," ",""),마스터시트!$A$2:$H$1946,3,FALSE),"미등록"))</f>
        <v/>
      </c>
      <c r="O860" s="18" t="str">
        <f>IF($K860="","",IFERROR(VLOOKUP(--SUBSTITUTE(SUBSTITUTE(TRIM($K860),"-","")," ",""),마스터시트!$A$2:$H$1946,4,FALSE),""))</f>
        <v/>
      </c>
      <c r="P860" s="18" t="str">
        <f>IF($K860="","",IFERROR(VLOOKUP(--SUBSTITUTE(SUBSTITUTE(TRIM($K860),"-","")," ",""),마스터시트!$A$2:$H$1946,5,FALSE),""))</f>
        <v/>
      </c>
      <c r="Q860" s="18" t="str">
        <f>IF($K860="","",IFERROR(VLOOKUP(--SUBSTITUTE(SUBSTITUTE(TRIM($K860),"-","")," ",""),마스터시트!$A$2:$H$1946,6,FALSE),""))</f>
        <v/>
      </c>
      <c r="R860" s="18" t="str">
        <f>IF($K860="","",IFERROR(VLOOKUP(--SUBSTITUTE(SUBSTITUTE(TRIM($K860),"-","")," ",""),마스터시트!$A$2:$H$1946,7,FALSE),""))</f>
        <v/>
      </c>
    </row>
    <row r="861" spans="13:18" x14ac:dyDescent="0.3">
      <c r="M861" s="18" t="str">
        <f>IF($K861="","",IFERROR(VLOOKUP(--SUBSTITUTE(SUBSTITUTE(TRIM($K861),"-","")," ",""),마스터시트!$A$2:$H$1946,2,FALSE),"미등록"))</f>
        <v/>
      </c>
      <c r="N861" s="53" t="str">
        <f>IF($K861="","",IFERROR(VLOOKUP(--SUBSTITUTE(SUBSTITUTE(TRIM($K861),"-","")," ",""),마스터시트!$A$2:$H$1946,3,FALSE),"미등록"))</f>
        <v/>
      </c>
      <c r="O861" s="18" t="str">
        <f>IF($K861="","",IFERROR(VLOOKUP(--SUBSTITUTE(SUBSTITUTE(TRIM($K861),"-","")," ",""),마스터시트!$A$2:$H$1946,4,FALSE),""))</f>
        <v/>
      </c>
      <c r="P861" s="18" t="str">
        <f>IF($K861="","",IFERROR(VLOOKUP(--SUBSTITUTE(SUBSTITUTE(TRIM($K861),"-","")," ",""),마스터시트!$A$2:$H$1946,5,FALSE),""))</f>
        <v/>
      </c>
      <c r="Q861" s="18" t="str">
        <f>IF($K861="","",IFERROR(VLOOKUP(--SUBSTITUTE(SUBSTITUTE(TRIM($K861),"-","")," ",""),마스터시트!$A$2:$H$1946,6,FALSE),""))</f>
        <v/>
      </c>
      <c r="R861" s="18" t="str">
        <f>IF($K861="","",IFERROR(VLOOKUP(--SUBSTITUTE(SUBSTITUTE(TRIM($K861),"-","")," ",""),마스터시트!$A$2:$H$1946,7,FALSE),""))</f>
        <v/>
      </c>
    </row>
    <row r="862" spans="13:18" x14ac:dyDescent="0.3">
      <c r="M862" s="18" t="str">
        <f>IF($K862="","",IFERROR(VLOOKUP(--SUBSTITUTE(SUBSTITUTE(TRIM($K862),"-","")," ",""),마스터시트!$A$2:$H$1946,2,FALSE),"미등록"))</f>
        <v/>
      </c>
      <c r="N862" s="53" t="str">
        <f>IF($K862="","",IFERROR(VLOOKUP(--SUBSTITUTE(SUBSTITUTE(TRIM($K862),"-","")," ",""),마스터시트!$A$2:$H$1946,3,FALSE),"미등록"))</f>
        <v/>
      </c>
      <c r="O862" s="18" t="str">
        <f>IF($K862="","",IFERROR(VLOOKUP(--SUBSTITUTE(SUBSTITUTE(TRIM($K862),"-","")," ",""),마스터시트!$A$2:$H$1946,4,FALSE),""))</f>
        <v/>
      </c>
      <c r="P862" s="18" t="str">
        <f>IF($K862="","",IFERROR(VLOOKUP(--SUBSTITUTE(SUBSTITUTE(TRIM($K862),"-","")," ",""),마스터시트!$A$2:$H$1946,5,FALSE),""))</f>
        <v/>
      </c>
      <c r="Q862" s="18" t="str">
        <f>IF($K862="","",IFERROR(VLOOKUP(--SUBSTITUTE(SUBSTITUTE(TRIM($K862),"-","")," ",""),마스터시트!$A$2:$H$1946,6,FALSE),""))</f>
        <v/>
      </c>
      <c r="R862" s="18" t="str">
        <f>IF($K862="","",IFERROR(VLOOKUP(--SUBSTITUTE(SUBSTITUTE(TRIM($K862),"-","")," ",""),마스터시트!$A$2:$H$1946,7,FALSE),""))</f>
        <v/>
      </c>
    </row>
    <row r="863" spans="13:18" x14ac:dyDescent="0.3">
      <c r="M863" s="18" t="str">
        <f>IF($K863="","",IFERROR(VLOOKUP(--SUBSTITUTE(SUBSTITUTE(TRIM($K863),"-","")," ",""),마스터시트!$A$2:$H$1946,2,FALSE),"미등록"))</f>
        <v/>
      </c>
      <c r="N863" s="53" t="str">
        <f>IF($K863="","",IFERROR(VLOOKUP(--SUBSTITUTE(SUBSTITUTE(TRIM($K863),"-","")," ",""),마스터시트!$A$2:$H$1946,3,FALSE),"미등록"))</f>
        <v/>
      </c>
      <c r="O863" s="18" t="str">
        <f>IF($K863="","",IFERROR(VLOOKUP(--SUBSTITUTE(SUBSTITUTE(TRIM($K863),"-","")," ",""),마스터시트!$A$2:$H$1946,4,FALSE),""))</f>
        <v/>
      </c>
      <c r="P863" s="18" t="str">
        <f>IF($K863="","",IFERROR(VLOOKUP(--SUBSTITUTE(SUBSTITUTE(TRIM($K863),"-","")," ",""),마스터시트!$A$2:$H$1946,5,FALSE),""))</f>
        <v/>
      </c>
      <c r="Q863" s="18" t="str">
        <f>IF($K863="","",IFERROR(VLOOKUP(--SUBSTITUTE(SUBSTITUTE(TRIM($K863),"-","")," ",""),마스터시트!$A$2:$H$1946,6,FALSE),""))</f>
        <v/>
      </c>
      <c r="R863" s="18" t="str">
        <f>IF($K863="","",IFERROR(VLOOKUP(--SUBSTITUTE(SUBSTITUTE(TRIM($K863),"-","")," ",""),마스터시트!$A$2:$H$1946,7,FALSE),""))</f>
        <v/>
      </c>
    </row>
    <row r="864" spans="13:18" x14ac:dyDescent="0.3">
      <c r="M864" s="18" t="str">
        <f>IF($K864="","",IFERROR(VLOOKUP(--SUBSTITUTE(SUBSTITUTE(TRIM($K864),"-","")," ",""),마스터시트!$A$2:$H$1946,2,FALSE),"미등록"))</f>
        <v/>
      </c>
      <c r="N864" s="53" t="str">
        <f>IF($K864="","",IFERROR(VLOOKUP(--SUBSTITUTE(SUBSTITUTE(TRIM($K864),"-","")," ",""),마스터시트!$A$2:$H$1946,3,FALSE),"미등록"))</f>
        <v/>
      </c>
      <c r="O864" s="18" t="str">
        <f>IF($K864="","",IFERROR(VLOOKUP(--SUBSTITUTE(SUBSTITUTE(TRIM($K864),"-","")," ",""),마스터시트!$A$2:$H$1946,4,FALSE),""))</f>
        <v/>
      </c>
      <c r="P864" s="18" t="str">
        <f>IF($K864="","",IFERROR(VLOOKUP(--SUBSTITUTE(SUBSTITUTE(TRIM($K864),"-","")," ",""),마스터시트!$A$2:$H$1946,5,FALSE),""))</f>
        <v/>
      </c>
      <c r="Q864" s="18" t="str">
        <f>IF($K864="","",IFERROR(VLOOKUP(--SUBSTITUTE(SUBSTITUTE(TRIM($K864),"-","")," ",""),마스터시트!$A$2:$H$1946,6,FALSE),""))</f>
        <v/>
      </c>
      <c r="R864" s="18" t="str">
        <f>IF($K864="","",IFERROR(VLOOKUP(--SUBSTITUTE(SUBSTITUTE(TRIM($K864),"-","")," ",""),마스터시트!$A$2:$H$1946,7,FALSE),""))</f>
        <v/>
      </c>
    </row>
    <row r="865" spans="13:18" x14ac:dyDescent="0.3">
      <c r="M865" s="18" t="str">
        <f>IF($K865="","",IFERROR(VLOOKUP(--SUBSTITUTE(SUBSTITUTE(TRIM($K865),"-","")," ",""),마스터시트!$A$2:$H$1946,2,FALSE),"미등록"))</f>
        <v/>
      </c>
      <c r="N865" s="53" t="str">
        <f>IF($K865="","",IFERROR(VLOOKUP(--SUBSTITUTE(SUBSTITUTE(TRIM($K865),"-","")," ",""),마스터시트!$A$2:$H$1946,3,FALSE),"미등록"))</f>
        <v/>
      </c>
      <c r="O865" s="18" t="str">
        <f>IF($K865="","",IFERROR(VLOOKUP(--SUBSTITUTE(SUBSTITUTE(TRIM($K865),"-","")," ",""),마스터시트!$A$2:$H$1946,4,FALSE),""))</f>
        <v/>
      </c>
      <c r="P865" s="18" t="str">
        <f>IF($K865="","",IFERROR(VLOOKUP(--SUBSTITUTE(SUBSTITUTE(TRIM($K865),"-","")," ",""),마스터시트!$A$2:$H$1946,5,FALSE),""))</f>
        <v/>
      </c>
      <c r="Q865" s="18" t="str">
        <f>IF($K865="","",IFERROR(VLOOKUP(--SUBSTITUTE(SUBSTITUTE(TRIM($K865),"-","")," ",""),마스터시트!$A$2:$H$1946,6,FALSE),""))</f>
        <v/>
      </c>
      <c r="R865" s="18" t="str">
        <f>IF($K865="","",IFERROR(VLOOKUP(--SUBSTITUTE(SUBSTITUTE(TRIM($K865),"-","")," ",""),마스터시트!$A$2:$H$1946,7,FALSE),""))</f>
        <v/>
      </c>
    </row>
    <row r="866" spans="13:18" x14ac:dyDescent="0.3">
      <c r="M866" s="18" t="str">
        <f>IF($K866="","",IFERROR(VLOOKUP(--SUBSTITUTE(SUBSTITUTE(TRIM($K866),"-","")," ",""),마스터시트!$A$2:$H$1946,2,FALSE),"미등록"))</f>
        <v/>
      </c>
      <c r="N866" s="53" t="str">
        <f>IF($K866="","",IFERROR(VLOOKUP(--SUBSTITUTE(SUBSTITUTE(TRIM($K866),"-","")," ",""),마스터시트!$A$2:$H$1946,3,FALSE),"미등록"))</f>
        <v/>
      </c>
      <c r="O866" s="18" t="str">
        <f>IF($K866="","",IFERROR(VLOOKUP(--SUBSTITUTE(SUBSTITUTE(TRIM($K866),"-","")," ",""),마스터시트!$A$2:$H$1946,4,FALSE),""))</f>
        <v/>
      </c>
      <c r="P866" s="18" t="str">
        <f>IF($K866="","",IFERROR(VLOOKUP(--SUBSTITUTE(SUBSTITUTE(TRIM($K866),"-","")," ",""),마스터시트!$A$2:$H$1946,5,FALSE),""))</f>
        <v/>
      </c>
      <c r="Q866" s="18" t="str">
        <f>IF($K866="","",IFERROR(VLOOKUP(--SUBSTITUTE(SUBSTITUTE(TRIM($K866),"-","")," ",""),마스터시트!$A$2:$H$1946,6,FALSE),""))</f>
        <v/>
      </c>
      <c r="R866" s="18" t="str">
        <f>IF($K866="","",IFERROR(VLOOKUP(--SUBSTITUTE(SUBSTITUTE(TRIM($K866),"-","")," ",""),마스터시트!$A$2:$H$1946,7,FALSE),""))</f>
        <v/>
      </c>
    </row>
    <row r="867" spans="13:18" x14ac:dyDescent="0.3">
      <c r="M867" s="18" t="str">
        <f>IF($K867="","",IFERROR(VLOOKUP(--SUBSTITUTE(SUBSTITUTE(TRIM($K867),"-","")," ",""),마스터시트!$A$2:$H$1946,2,FALSE),"미등록"))</f>
        <v/>
      </c>
      <c r="N867" s="53" t="str">
        <f>IF($K867="","",IFERROR(VLOOKUP(--SUBSTITUTE(SUBSTITUTE(TRIM($K867),"-","")," ",""),마스터시트!$A$2:$H$1946,3,FALSE),"미등록"))</f>
        <v/>
      </c>
      <c r="O867" s="18" t="str">
        <f>IF($K867="","",IFERROR(VLOOKUP(--SUBSTITUTE(SUBSTITUTE(TRIM($K867),"-","")," ",""),마스터시트!$A$2:$H$1946,4,FALSE),""))</f>
        <v/>
      </c>
      <c r="P867" s="18" t="str">
        <f>IF($K867="","",IFERROR(VLOOKUP(--SUBSTITUTE(SUBSTITUTE(TRIM($K867),"-","")," ",""),마스터시트!$A$2:$H$1946,5,FALSE),""))</f>
        <v/>
      </c>
      <c r="Q867" s="18" t="str">
        <f>IF($K867="","",IFERROR(VLOOKUP(--SUBSTITUTE(SUBSTITUTE(TRIM($K867),"-","")," ",""),마스터시트!$A$2:$H$1946,6,FALSE),""))</f>
        <v/>
      </c>
      <c r="R867" s="18" t="str">
        <f>IF($K867="","",IFERROR(VLOOKUP(--SUBSTITUTE(SUBSTITUTE(TRIM($K867),"-","")," ",""),마스터시트!$A$2:$H$1946,7,FALSE),""))</f>
        <v/>
      </c>
    </row>
    <row r="868" spans="13:18" x14ac:dyDescent="0.3">
      <c r="M868" s="18" t="str">
        <f>IF($K868="","",IFERROR(VLOOKUP(--SUBSTITUTE(SUBSTITUTE(TRIM($K868),"-","")," ",""),마스터시트!$A$2:$H$1946,2,FALSE),"미등록"))</f>
        <v/>
      </c>
      <c r="N868" s="53" t="str">
        <f>IF($K868="","",IFERROR(VLOOKUP(--SUBSTITUTE(SUBSTITUTE(TRIM($K868),"-","")," ",""),마스터시트!$A$2:$H$1946,3,FALSE),"미등록"))</f>
        <v/>
      </c>
      <c r="O868" s="18" t="str">
        <f>IF($K868="","",IFERROR(VLOOKUP(--SUBSTITUTE(SUBSTITUTE(TRIM($K868),"-","")," ",""),마스터시트!$A$2:$H$1946,4,FALSE),""))</f>
        <v/>
      </c>
      <c r="P868" s="18" t="str">
        <f>IF($K868="","",IFERROR(VLOOKUP(--SUBSTITUTE(SUBSTITUTE(TRIM($K868),"-","")," ",""),마스터시트!$A$2:$H$1946,5,FALSE),""))</f>
        <v/>
      </c>
      <c r="Q868" s="18" t="str">
        <f>IF($K868="","",IFERROR(VLOOKUP(--SUBSTITUTE(SUBSTITUTE(TRIM($K868),"-","")," ",""),마스터시트!$A$2:$H$1946,6,FALSE),""))</f>
        <v/>
      </c>
      <c r="R868" s="18" t="str">
        <f>IF($K868="","",IFERROR(VLOOKUP(--SUBSTITUTE(SUBSTITUTE(TRIM($K868),"-","")," ",""),마스터시트!$A$2:$H$1946,7,FALSE),""))</f>
        <v/>
      </c>
    </row>
    <row r="869" spans="13:18" x14ac:dyDescent="0.3">
      <c r="M869" s="18" t="str">
        <f>IF($K869="","",IFERROR(VLOOKUP(--SUBSTITUTE(SUBSTITUTE(TRIM($K869),"-","")," ",""),마스터시트!$A$2:$H$1946,2,FALSE),"미등록"))</f>
        <v/>
      </c>
      <c r="N869" s="53" t="str">
        <f>IF($K869="","",IFERROR(VLOOKUP(--SUBSTITUTE(SUBSTITUTE(TRIM($K869),"-","")," ",""),마스터시트!$A$2:$H$1946,3,FALSE),"미등록"))</f>
        <v/>
      </c>
      <c r="O869" s="18" t="str">
        <f>IF($K869="","",IFERROR(VLOOKUP(--SUBSTITUTE(SUBSTITUTE(TRIM($K869),"-","")," ",""),마스터시트!$A$2:$H$1946,4,FALSE),""))</f>
        <v/>
      </c>
      <c r="P869" s="18" t="str">
        <f>IF($K869="","",IFERROR(VLOOKUP(--SUBSTITUTE(SUBSTITUTE(TRIM($K869),"-","")," ",""),마스터시트!$A$2:$H$1946,5,FALSE),""))</f>
        <v/>
      </c>
      <c r="Q869" s="18" t="str">
        <f>IF($K869="","",IFERROR(VLOOKUP(--SUBSTITUTE(SUBSTITUTE(TRIM($K869),"-","")," ",""),마스터시트!$A$2:$H$1946,6,FALSE),""))</f>
        <v/>
      </c>
      <c r="R869" s="18" t="str">
        <f>IF($K869="","",IFERROR(VLOOKUP(--SUBSTITUTE(SUBSTITUTE(TRIM($K869),"-","")," ",""),마스터시트!$A$2:$H$1946,7,FALSE),""))</f>
        <v/>
      </c>
    </row>
    <row r="870" spans="13:18" x14ac:dyDescent="0.3">
      <c r="M870" s="18" t="str">
        <f>IF($K870="","",IFERROR(VLOOKUP(--SUBSTITUTE(SUBSTITUTE(TRIM($K870),"-","")," ",""),마스터시트!$A$2:$H$1946,2,FALSE),"미등록"))</f>
        <v/>
      </c>
      <c r="N870" s="53" t="str">
        <f>IF($K870="","",IFERROR(VLOOKUP(--SUBSTITUTE(SUBSTITUTE(TRIM($K870),"-","")," ",""),마스터시트!$A$2:$H$1946,3,FALSE),"미등록"))</f>
        <v/>
      </c>
      <c r="O870" s="18" t="str">
        <f>IF($K870="","",IFERROR(VLOOKUP(--SUBSTITUTE(SUBSTITUTE(TRIM($K870),"-","")," ",""),마스터시트!$A$2:$H$1946,4,FALSE),""))</f>
        <v/>
      </c>
      <c r="P870" s="18" t="str">
        <f>IF($K870="","",IFERROR(VLOOKUP(--SUBSTITUTE(SUBSTITUTE(TRIM($K870),"-","")," ",""),마스터시트!$A$2:$H$1946,5,FALSE),""))</f>
        <v/>
      </c>
      <c r="Q870" s="18" t="str">
        <f>IF($K870="","",IFERROR(VLOOKUP(--SUBSTITUTE(SUBSTITUTE(TRIM($K870),"-","")," ",""),마스터시트!$A$2:$H$1946,6,FALSE),""))</f>
        <v/>
      </c>
      <c r="R870" s="18" t="str">
        <f>IF($K870="","",IFERROR(VLOOKUP(--SUBSTITUTE(SUBSTITUTE(TRIM($K870),"-","")," ",""),마스터시트!$A$2:$H$1946,7,FALSE),""))</f>
        <v/>
      </c>
    </row>
    <row r="871" spans="13:18" x14ac:dyDescent="0.3">
      <c r="M871" s="18" t="str">
        <f>IF($K871="","",IFERROR(VLOOKUP(--SUBSTITUTE(SUBSTITUTE(TRIM($K871),"-","")," ",""),마스터시트!$A$2:$H$1946,2,FALSE),"미등록"))</f>
        <v/>
      </c>
      <c r="N871" s="53" t="str">
        <f>IF($K871="","",IFERROR(VLOOKUP(--SUBSTITUTE(SUBSTITUTE(TRIM($K871),"-","")," ",""),마스터시트!$A$2:$H$1946,3,FALSE),"미등록"))</f>
        <v/>
      </c>
      <c r="O871" s="18" t="str">
        <f>IF($K871="","",IFERROR(VLOOKUP(--SUBSTITUTE(SUBSTITUTE(TRIM($K871),"-","")," ",""),마스터시트!$A$2:$H$1946,4,FALSE),""))</f>
        <v/>
      </c>
      <c r="P871" s="18" t="str">
        <f>IF($K871="","",IFERROR(VLOOKUP(--SUBSTITUTE(SUBSTITUTE(TRIM($K871),"-","")," ",""),마스터시트!$A$2:$H$1946,5,FALSE),""))</f>
        <v/>
      </c>
      <c r="Q871" s="18" t="str">
        <f>IF($K871="","",IFERROR(VLOOKUP(--SUBSTITUTE(SUBSTITUTE(TRIM($K871),"-","")," ",""),마스터시트!$A$2:$H$1946,6,FALSE),""))</f>
        <v/>
      </c>
      <c r="R871" s="18" t="str">
        <f>IF($K871="","",IFERROR(VLOOKUP(--SUBSTITUTE(SUBSTITUTE(TRIM($K871),"-","")," ",""),마스터시트!$A$2:$H$1946,7,FALSE),""))</f>
        <v/>
      </c>
    </row>
    <row r="872" spans="13:18" x14ac:dyDescent="0.3">
      <c r="M872" s="18" t="str">
        <f>IF($K872="","",IFERROR(VLOOKUP(--SUBSTITUTE(SUBSTITUTE(TRIM($K872),"-","")," ",""),마스터시트!$A$2:$H$1946,2,FALSE),"미등록"))</f>
        <v/>
      </c>
      <c r="N872" s="53" t="str">
        <f>IF($K872="","",IFERROR(VLOOKUP(--SUBSTITUTE(SUBSTITUTE(TRIM($K872),"-","")," ",""),마스터시트!$A$2:$H$1946,3,FALSE),"미등록"))</f>
        <v/>
      </c>
      <c r="O872" s="18" t="str">
        <f>IF($K872="","",IFERROR(VLOOKUP(--SUBSTITUTE(SUBSTITUTE(TRIM($K872),"-","")," ",""),마스터시트!$A$2:$H$1946,4,FALSE),""))</f>
        <v/>
      </c>
      <c r="P872" s="18" t="str">
        <f>IF($K872="","",IFERROR(VLOOKUP(--SUBSTITUTE(SUBSTITUTE(TRIM($K872),"-","")," ",""),마스터시트!$A$2:$H$1946,5,FALSE),""))</f>
        <v/>
      </c>
      <c r="Q872" s="18" t="str">
        <f>IF($K872="","",IFERROR(VLOOKUP(--SUBSTITUTE(SUBSTITUTE(TRIM($K872),"-","")," ",""),마스터시트!$A$2:$H$1946,6,FALSE),""))</f>
        <v/>
      </c>
      <c r="R872" s="18" t="str">
        <f>IF($K872="","",IFERROR(VLOOKUP(--SUBSTITUTE(SUBSTITUTE(TRIM($K872),"-","")," ",""),마스터시트!$A$2:$H$1946,7,FALSE),""))</f>
        <v/>
      </c>
    </row>
    <row r="873" spans="13:18" x14ac:dyDescent="0.3">
      <c r="M873" s="18" t="str">
        <f>IF($K873="","",IFERROR(VLOOKUP(--SUBSTITUTE(SUBSTITUTE(TRIM($K873),"-","")," ",""),마스터시트!$A$2:$H$1946,2,FALSE),"미등록"))</f>
        <v/>
      </c>
      <c r="N873" s="53" t="str">
        <f>IF($K873="","",IFERROR(VLOOKUP(--SUBSTITUTE(SUBSTITUTE(TRIM($K873),"-","")," ",""),마스터시트!$A$2:$H$1946,3,FALSE),"미등록"))</f>
        <v/>
      </c>
      <c r="O873" s="18" t="str">
        <f>IF($K873="","",IFERROR(VLOOKUP(--SUBSTITUTE(SUBSTITUTE(TRIM($K873),"-","")," ",""),마스터시트!$A$2:$H$1946,4,FALSE),""))</f>
        <v/>
      </c>
      <c r="P873" s="18" t="str">
        <f>IF($K873="","",IFERROR(VLOOKUP(--SUBSTITUTE(SUBSTITUTE(TRIM($K873),"-","")," ",""),마스터시트!$A$2:$H$1946,5,FALSE),""))</f>
        <v/>
      </c>
      <c r="Q873" s="18" t="str">
        <f>IF($K873="","",IFERROR(VLOOKUP(--SUBSTITUTE(SUBSTITUTE(TRIM($K873),"-","")," ",""),마스터시트!$A$2:$H$1946,6,FALSE),""))</f>
        <v/>
      </c>
      <c r="R873" s="18" t="str">
        <f>IF($K873="","",IFERROR(VLOOKUP(--SUBSTITUTE(SUBSTITUTE(TRIM($K873),"-","")," ",""),마스터시트!$A$2:$H$1946,7,FALSE),""))</f>
        <v/>
      </c>
    </row>
    <row r="874" spans="13:18" x14ac:dyDescent="0.3">
      <c r="M874" s="18" t="str">
        <f>IF($K874="","",IFERROR(VLOOKUP(--SUBSTITUTE(SUBSTITUTE(TRIM($K874),"-","")," ",""),마스터시트!$A$2:$H$1946,2,FALSE),"미등록"))</f>
        <v/>
      </c>
      <c r="N874" s="53" t="str">
        <f>IF($K874="","",IFERROR(VLOOKUP(--SUBSTITUTE(SUBSTITUTE(TRIM($K874),"-","")," ",""),마스터시트!$A$2:$H$1946,3,FALSE),"미등록"))</f>
        <v/>
      </c>
      <c r="O874" s="18" t="str">
        <f>IF($K874="","",IFERROR(VLOOKUP(--SUBSTITUTE(SUBSTITUTE(TRIM($K874),"-","")," ",""),마스터시트!$A$2:$H$1946,4,FALSE),""))</f>
        <v/>
      </c>
      <c r="P874" s="18" t="str">
        <f>IF($K874="","",IFERROR(VLOOKUP(--SUBSTITUTE(SUBSTITUTE(TRIM($K874),"-","")," ",""),마스터시트!$A$2:$H$1946,5,FALSE),""))</f>
        <v/>
      </c>
      <c r="Q874" s="18" t="str">
        <f>IF($K874="","",IFERROR(VLOOKUP(--SUBSTITUTE(SUBSTITUTE(TRIM($K874),"-","")," ",""),마스터시트!$A$2:$H$1946,6,FALSE),""))</f>
        <v/>
      </c>
      <c r="R874" s="18" t="str">
        <f>IF($K874="","",IFERROR(VLOOKUP(--SUBSTITUTE(SUBSTITUTE(TRIM($K874),"-","")," ",""),마스터시트!$A$2:$H$1946,7,FALSE),""))</f>
        <v/>
      </c>
    </row>
    <row r="875" spans="13:18" x14ac:dyDescent="0.3">
      <c r="M875" s="18" t="str">
        <f>IF($K875="","",IFERROR(VLOOKUP(--SUBSTITUTE(SUBSTITUTE(TRIM($K875),"-","")," ",""),마스터시트!$A$2:$H$1946,2,FALSE),"미등록"))</f>
        <v/>
      </c>
      <c r="N875" s="53" t="str">
        <f>IF($K875="","",IFERROR(VLOOKUP(--SUBSTITUTE(SUBSTITUTE(TRIM($K875),"-","")," ",""),마스터시트!$A$2:$H$1946,3,FALSE),"미등록"))</f>
        <v/>
      </c>
      <c r="O875" s="18" t="str">
        <f>IF($K875="","",IFERROR(VLOOKUP(--SUBSTITUTE(SUBSTITUTE(TRIM($K875),"-","")," ",""),마스터시트!$A$2:$H$1946,4,FALSE),""))</f>
        <v/>
      </c>
      <c r="P875" s="18" t="str">
        <f>IF($K875="","",IFERROR(VLOOKUP(--SUBSTITUTE(SUBSTITUTE(TRIM($K875),"-","")," ",""),마스터시트!$A$2:$H$1946,5,FALSE),""))</f>
        <v/>
      </c>
      <c r="Q875" s="18" t="str">
        <f>IF($K875="","",IFERROR(VLOOKUP(--SUBSTITUTE(SUBSTITUTE(TRIM($K875),"-","")," ",""),마스터시트!$A$2:$H$1946,6,FALSE),""))</f>
        <v/>
      </c>
      <c r="R875" s="18" t="str">
        <f>IF($K875="","",IFERROR(VLOOKUP(--SUBSTITUTE(SUBSTITUTE(TRIM($K875),"-","")," ",""),마스터시트!$A$2:$H$1946,7,FALSE),""))</f>
        <v/>
      </c>
    </row>
    <row r="876" spans="13:18" x14ac:dyDescent="0.3">
      <c r="M876" s="18" t="str">
        <f>IF($K876="","",IFERROR(VLOOKUP(--SUBSTITUTE(SUBSTITUTE(TRIM($K876),"-","")," ",""),마스터시트!$A$2:$H$1946,2,FALSE),"미등록"))</f>
        <v/>
      </c>
      <c r="N876" s="53" t="str">
        <f>IF($K876="","",IFERROR(VLOOKUP(--SUBSTITUTE(SUBSTITUTE(TRIM($K876),"-","")," ",""),마스터시트!$A$2:$H$1946,3,FALSE),"미등록"))</f>
        <v/>
      </c>
      <c r="O876" s="18" t="str">
        <f>IF($K876="","",IFERROR(VLOOKUP(--SUBSTITUTE(SUBSTITUTE(TRIM($K876),"-","")," ",""),마스터시트!$A$2:$H$1946,4,FALSE),""))</f>
        <v/>
      </c>
      <c r="P876" s="18" t="str">
        <f>IF($K876="","",IFERROR(VLOOKUP(--SUBSTITUTE(SUBSTITUTE(TRIM($K876),"-","")," ",""),마스터시트!$A$2:$H$1946,5,FALSE),""))</f>
        <v/>
      </c>
      <c r="Q876" s="18" t="str">
        <f>IF($K876="","",IFERROR(VLOOKUP(--SUBSTITUTE(SUBSTITUTE(TRIM($K876),"-","")," ",""),마스터시트!$A$2:$H$1946,6,FALSE),""))</f>
        <v/>
      </c>
      <c r="R876" s="18" t="str">
        <f>IF($K876="","",IFERROR(VLOOKUP(--SUBSTITUTE(SUBSTITUTE(TRIM($K876),"-","")," ",""),마스터시트!$A$2:$H$1946,7,FALSE),""))</f>
        <v/>
      </c>
    </row>
    <row r="877" spans="13:18" x14ac:dyDescent="0.3">
      <c r="M877" s="18" t="str">
        <f>IF($K877="","",IFERROR(VLOOKUP(--SUBSTITUTE(SUBSTITUTE(TRIM($K877),"-","")," ",""),마스터시트!$A$2:$H$1946,2,FALSE),"미등록"))</f>
        <v/>
      </c>
      <c r="N877" s="53" t="str">
        <f>IF($K877="","",IFERROR(VLOOKUP(--SUBSTITUTE(SUBSTITUTE(TRIM($K877),"-","")," ",""),마스터시트!$A$2:$H$1946,3,FALSE),"미등록"))</f>
        <v/>
      </c>
      <c r="O877" s="18" t="str">
        <f>IF($K877="","",IFERROR(VLOOKUP(--SUBSTITUTE(SUBSTITUTE(TRIM($K877),"-","")," ",""),마스터시트!$A$2:$H$1946,4,FALSE),""))</f>
        <v/>
      </c>
      <c r="P877" s="18" t="str">
        <f>IF($K877="","",IFERROR(VLOOKUP(--SUBSTITUTE(SUBSTITUTE(TRIM($K877),"-","")," ",""),마스터시트!$A$2:$H$1946,5,FALSE),""))</f>
        <v/>
      </c>
      <c r="Q877" s="18" t="str">
        <f>IF($K877="","",IFERROR(VLOOKUP(--SUBSTITUTE(SUBSTITUTE(TRIM($K877),"-","")," ",""),마스터시트!$A$2:$H$1946,6,FALSE),""))</f>
        <v/>
      </c>
      <c r="R877" s="18" t="str">
        <f>IF($K877="","",IFERROR(VLOOKUP(--SUBSTITUTE(SUBSTITUTE(TRIM($K877),"-","")," ",""),마스터시트!$A$2:$H$1946,7,FALSE),""))</f>
        <v/>
      </c>
    </row>
    <row r="878" spans="13:18" x14ac:dyDescent="0.3">
      <c r="M878" s="18" t="str">
        <f>IF($K878="","",IFERROR(VLOOKUP(--SUBSTITUTE(SUBSTITUTE(TRIM($K878),"-","")," ",""),마스터시트!$A$2:$H$1946,2,FALSE),"미등록"))</f>
        <v/>
      </c>
      <c r="N878" s="53" t="str">
        <f>IF($K878="","",IFERROR(VLOOKUP(--SUBSTITUTE(SUBSTITUTE(TRIM($K878),"-","")," ",""),마스터시트!$A$2:$H$1946,3,FALSE),"미등록"))</f>
        <v/>
      </c>
      <c r="O878" s="18" t="str">
        <f>IF($K878="","",IFERROR(VLOOKUP(--SUBSTITUTE(SUBSTITUTE(TRIM($K878),"-","")," ",""),마스터시트!$A$2:$H$1946,4,FALSE),""))</f>
        <v/>
      </c>
      <c r="P878" s="18" t="str">
        <f>IF($K878="","",IFERROR(VLOOKUP(--SUBSTITUTE(SUBSTITUTE(TRIM($K878),"-","")," ",""),마스터시트!$A$2:$H$1946,5,FALSE),""))</f>
        <v/>
      </c>
      <c r="Q878" s="18" t="str">
        <f>IF($K878="","",IFERROR(VLOOKUP(--SUBSTITUTE(SUBSTITUTE(TRIM($K878),"-","")," ",""),마스터시트!$A$2:$H$1946,6,FALSE),""))</f>
        <v/>
      </c>
      <c r="R878" s="18" t="str">
        <f>IF($K878="","",IFERROR(VLOOKUP(--SUBSTITUTE(SUBSTITUTE(TRIM($K878),"-","")," ",""),마스터시트!$A$2:$H$1946,7,FALSE),""))</f>
        <v/>
      </c>
    </row>
    <row r="879" spans="13:18" x14ac:dyDescent="0.3">
      <c r="M879" s="18" t="str">
        <f>IF($K879="","",IFERROR(VLOOKUP(--SUBSTITUTE(SUBSTITUTE(TRIM($K879),"-","")," ",""),마스터시트!$A$2:$H$1946,2,FALSE),"미등록"))</f>
        <v/>
      </c>
      <c r="N879" s="53" t="str">
        <f>IF($K879="","",IFERROR(VLOOKUP(--SUBSTITUTE(SUBSTITUTE(TRIM($K879),"-","")," ",""),마스터시트!$A$2:$H$1946,3,FALSE),"미등록"))</f>
        <v/>
      </c>
      <c r="O879" s="18" t="str">
        <f>IF($K879="","",IFERROR(VLOOKUP(--SUBSTITUTE(SUBSTITUTE(TRIM($K879),"-","")," ",""),마스터시트!$A$2:$H$1946,4,FALSE),""))</f>
        <v/>
      </c>
      <c r="P879" s="18" t="str">
        <f>IF($K879="","",IFERROR(VLOOKUP(--SUBSTITUTE(SUBSTITUTE(TRIM($K879),"-","")," ",""),마스터시트!$A$2:$H$1946,5,FALSE),""))</f>
        <v/>
      </c>
      <c r="Q879" s="18" t="str">
        <f>IF($K879="","",IFERROR(VLOOKUP(--SUBSTITUTE(SUBSTITUTE(TRIM($K879),"-","")," ",""),마스터시트!$A$2:$H$1946,6,FALSE),""))</f>
        <v/>
      </c>
      <c r="R879" s="18" t="str">
        <f>IF($K879="","",IFERROR(VLOOKUP(--SUBSTITUTE(SUBSTITUTE(TRIM($K879),"-","")," ",""),마스터시트!$A$2:$H$1946,7,FALSE),""))</f>
        <v/>
      </c>
    </row>
    <row r="880" spans="13:18" x14ac:dyDescent="0.3">
      <c r="M880" s="18" t="str">
        <f>IF($K880="","",IFERROR(VLOOKUP(--SUBSTITUTE(SUBSTITUTE(TRIM($K880),"-","")," ",""),마스터시트!$A$2:$H$1946,2,FALSE),"미등록"))</f>
        <v/>
      </c>
      <c r="N880" s="53" t="str">
        <f>IF($K880="","",IFERROR(VLOOKUP(--SUBSTITUTE(SUBSTITUTE(TRIM($K880),"-","")," ",""),마스터시트!$A$2:$H$1946,3,FALSE),"미등록"))</f>
        <v/>
      </c>
      <c r="O880" s="18" t="str">
        <f>IF($K880="","",IFERROR(VLOOKUP(--SUBSTITUTE(SUBSTITUTE(TRIM($K880),"-","")," ",""),마스터시트!$A$2:$H$1946,4,FALSE),""))</f>
        <v/>
      </c>
      <c r="P880" s="18" t="str">
        <f>IF($K880="","",IFERROR(VLOOKUP(--SUBSTITUTE(SUBSTITUTE(TRIM($K880),"-","")," ",""),마스터시트!$A$2:$H$1946,5,FALSE),""))</f>
        <v/>
      </c>
      <c r="Q880" s="18" t="str">
        <f>IF($K880="","",IFERROR(VLOOKUP(--SUBSTITUTE(SUBSTITUTE(TRIM($K880),"-","")," ",""),마스터시트!$A$2:$H$1946,6,FALSE),""))</f>
        <v/>
      </c>
      <c r="R880" s="18" t="str">
        <f>IF($K880="","",IFERROR(VLOOKUP(--SUBSTITUTE(SUBSTITUTE(TRIM($K880),"-","")," ",""),마스터시트!$A$2:$H$1946,7,FALSE),""))</f>
        <v/>
      </c>
    </row>
    <row r="881" spans="13:18" x14ac:dyDescent="0.3">
      <c r="M881" s="18" t="str">
        <f>IF($K881="","",IFERROR(VLOOKUP(--SUBSTITUTE(SUBSTITUTE(TRIM($K881),"-","")," ",""),마스터시트!$A$2:$H$1946,2,FALSE),"미등록"))</f>
        <v/>
      </c>
      <c r="N881" s="53" t="str">
        <f>IF($K881="","",IFERROR(VLOOKUP(--SUBSTITUTE(SUBSTITUTE(TRIM($K881),"-","")," ",""),마스터시트!$A$2:$H$1946,3,FALSE),"미등록"))</f>
        <v/>
      </c>
      <c r="O881" s="18" t="str">
        <f>IF($K881="","",IFERROR(VLOOKUP(--SUBSTITUTE(SUBSTITUTE(TRIM($K881),"-","")," ",""),마스터시트!$A$2:$H$1946,4,FALSE),""))</f>
        <v/>
      </c>
      <c r="P881" s="18" t="str">
        <f>IF($K881="","",IFERROR(VLOOKUP(--SUBSTITUTE(SUBSTITUTE(TRIM($K881),"-","")," ",""),마스터시트!$A$2:$H$1946,5,FALSE),""))</f>
        <v/>
      </c>
      <c r="Q881" s="18" t="str">
        <f>IF($K881="","",IFERROR(VLOOKUP(--SUBSTITUTE(SUBSTITUTE(TRIM($K881),"-","")," ",""),마스터시트!$A$2:$H$1946,6,FALSE),""))</f>
        <v/>
      </c>
      <c r="R881" s="18" t="str">
        <f>IF($K881="","",IFERROR(VLOOKUP(--SUBSTITUTE(SUBSTITUTE(TRIM($K881),"-","")," ",""),마스터시트!$A$2:$H$1946,7,FALSE),""))</f>
        <v/>
      </c>
    </row>
    <row r="882" spans="13:18" x14ac:dyDescent="0.3">
      <c r="M882" s="18" t="str">
        <f>IF($K882="","",IFERROR(VLOOKUP(--SUBSTITUTE(SUBSTITUTE(TRIM($K882),"-","")," ",""),마스터시트!$A$2:$H$1946,2,FALSE),"미등록"))</f>
        <v/>
      </c>
      <c r="N882" s="53" t="str">
        <f>IF($K882="","",IFERROR(VLOOKUP(--SUBSTITUTE(SUBSTITUTE(TRIM($K882),"-","")," ",""),마스터시트!$A$2:$H$1946,3,FALSE),"미등록"))</f>
        <v/>
      </c>
      <c r="O882" s="18" t="str">
        <f>IF($K882="","",IFERROR(VLOOKUP(--SUBSTITUTE(SUBSTITUTE(TRIM($K882),"-","")," ",""),마스터시트!$A$2:$H$1946,4,FALSE),""))</f>
        <v/>
      </c>
      <c r="P882" s="18" t="str">
        <f>IF($K882="","",IFERROR(VLOOKUP(--SUBSTITUTE(SUBSTITUTE(TRIM($K882),"-","")," ",""),마스터시트!$A$2:$H$1946,5,FALSE),""))</f>
        <v/>
      </c>
      <c r="Q882" s="18" t="str">
        <f>IF($K882="","",IFERROR(VLOOKUP(--SUBSTITUTE(SUBSTITUTE(TRIM($K882),"-","")," ",""),마스터시트!$A$2:$H$1946,6,FALSE),""))</f>
        <v/>
      </c>
      <c r="R882" s="18" t="str">
        <f>IF($K882="","",IFERROR(VLOOKUP(--SUBSTITUTE(SUBSTITUTE(TRIM($K882),"-","")," ",""),마스터시트!$A$2:$H$1946,7,FALSE),""))</f>
        <v/>
      </c>
    </row>
    <row r="883" spans="13:18" x14ac:dyDescent="0.3">
      <c r="M883" s="18" t="str">
        <f>IF($K883="","",IFERROR(VLOOKUP(--SUBSTITUTE(SUBSTITUTE(TRIM($K883),"-","")," ",""),마스터시트!$A$2:$H$1946,2,FALSE),"미등록"))</f>
        <v/>
      </c>
      <c r="N883" s="53" t="str">
        <f>IF($K883="","",IFERROR(VLOOKUP(--SUBSTITUTE(SUBSTITUTE(TRIM($K883),"-","")," ",""),마스터시트!$A$2:$H$1946,3,FALSE),"미등록"))</f>
        <v/>
      </c>
      <c r="O883" s="18" t="str">
        <f>IF($K883="","",IFERROR(VLOOKUP(--SUBSTITUTE(SUBSTITUTE(TRIM($K883),"-","")," ",""),마스터시트!$A$2:$H$1946,4,FALSE),""))</f>
        <v/>
      </c>
      <c r="P883" s="18" t="str">
        <f>IF($K883="","",IFERROR(VLOOKUP(--SUBSTITUTE(SUBSTITUTE(TRIM($K883),"-","")," ",""),마스터시트!$A$2:$H$1946,5,FALSE),""))</f>
        <v/>
      </c>
      <c r="Q883" s="18" t="str">
        <f>IF($K883="","",IFERROR(VLOOKUP(--SUBSTITUTE(SUBSTITUTE(TRIM($K883),"-","")," ",""),마스터시트!$A$2:$H$1946,6,FALSE),""))</f>
        <v/>
      </c>
      <c r="R883" s="18" t="str">
        <f>IF($K883="","",IFERROR(VLOOKUP(--SUBSTITUTE(SUBSTITUTE(TRIM($K883),"-","")," ",""),마스터시트!$A$2:$H$1946,7,FALSE),""))</f>
        <v/>
      </c>
    </row>
    <row r="884" spans="13:18" x14ac:dyDescent="0.3">
      <c r="M884" s="18" t="str">
        <f>IF($K884="","",IFERROR(VLOOKUP(--SUBSTITUTE(SUBSTITUTE(TRIM($K884),"-","")," ",""),마스터시트!$A$2:$H$1946,2,FALSE),"미등록"))</f>
        <v/>
      </c>
      <c r="N884" s="53" t="str">
        <f>IF($K884="","",IFERROR(VLOOKUP(--SUBSTITUTE(SUBSTITUTE(TRIM($K884),"-","")," ",""),마스터시트!$A$2:$H$1946,3,FALSE),"미등록"))</f>
        <v/>
      </c>
      <c r="O884" s="18" t="str">
        <f>IF($K884="","",IFERROR(VLOOKUP(--SUBSTITUTE(SUBSTITUTE(TRIM($K884),"-","")," ",""),마스터시트!$A$2:$H$1946,4,FALSE),""))</f>
        <v/>
      </c>
      <c r="P884" s="18" t="str">
        <f>IF($K884="","",IFERROR(VLOOKUP(--SUBSTITUTE(SUBSTITUTE(TRIM($K884),"-","")," ",""),마스터시트!$A$2:$H$1946,5,FALSE),""))</f>
        <v/>
      </c>
      <c r="Q884" s="18" t="str">
        <f>IF($K884="","",IFERROR(VLOOKUP(--SUBSTITUTE(SUBSTITUTE(TRIM($K884),"-","")," ",""),마스터시트!$A$2:$H$1946,6,FALSE),""))</f>
        <v/>
      </c>
      <c r="R884" s="18" t="str">
        <f>IF($K884="","",IFERROR(VLOOKUP(--SUBSTITUTE(SUBSTITUTE(TRIM($K884),"-","")," ",""),마스터시트!$A$2:$H$1946,7,FALSE),""))</f>
        <v/>
      </c>
    </row>
    <row r="885" spans="13:18" x14ac:dyDescent="0.3">
      <c r="M885" s="18" t="str">
        <f>IF($K885="","",IFERROR(VLOOKUP(--SUBSTITUTE(SUBSTITUTE(TRIM($K885),"-","")," ",""),마스터시트!$A$2:$H$1946,2,FALSE),"미등록"))</f>
        <v/>
      </c>
      <c r="N885" s="53" t="str">
        <f>IF($K885="","",IFERROR(VLOOKUP(--SUBSTITUTE(SUBSTITUTE(TRIM($K885),"-","")," ",""),마스터시트!$A$2:$H$1946,3,FALSE),"미등록"))</f>
        <v/>
      </c>
      <c r="O885" s="18" t="str">
        <f>IF($K885="","",IFERROR(VLOOKUP(--SUBSTITUTE(SUBSTITUTE(TRIM($K885),"-","")," ",""),마스터시트!$A$2:$H$1946,4,FALSE),""))</f>
        <v/>
      </c>
      <c r="P885" s="18" t="str">
        <f>IF($K885="","",IFERROR(VLOOKUP(--SUBSTITUTE(SUBSTITUTE(TRIM($K885),"-","")," ",""),마스터시트!$A$2:$H$1946,5,FALSE),""))</f>
        <v/>
      </c>
      <c r="Q885" s="18" t="str">
        <f>IF($K885="","",IFERROR(VLOOKUP(--SUBSTITUTE(SUBSTITUTE(TRIM($K885),"-","")," ",""),마스터시트!$A$2:$H$1946,6,FALSE),""))</f>
        <v/>
      </c>
      <c r="R885" s="18" t="str">
        <f>IF($K885="","",IFERROR(VLOOKUP(--SUBSTITUTE(SUBSTITUTE(TRIM($K885),"-","")," ",""),마스터시트!$A$2:$H$1946,7,FALSE),""))</f>
        <v/>
      </c>
    </row>
    <row r="886" spans="13:18" x14ac:dyDescent="0.3">
      <c r="M886" s="18" t="str">
        <f>IF($K886="","",IFERROR(VLOOKUP(--SUBSTITUTE(SUBSTITUTE(TRIM($K886),"-","")," ",""),마스터시트!$A$2:$H$1946,2,FALSE),"미등록"))</f>
        <v/>
      </c>
      <c r="N886" s="53" t="str">
        <f>IF($K886="","",IFERROR(VLOOKUP(--SUBSTITUTE(SUBSTITUTE(TRIM($K886),"-","")," ",""),마스터시트!$A$2:$H$1946,3,FALSE),"미등록"))</f>
        <v/>
      </c>
      <c r="O886" s="18" t="str">
        <f>IF($K886="","",IFERROR(VLOOKUP(--SUBSTITUTE(SUBSTITUTE(TRIM($K886),"-","")," ",""),마스터시트!$A$2:$H$1946,4,FALSE),""))</f>
        <v/>
      </c>
      <c r="P886" s="18" t="str">
        <f>IF($K886="","",IFERROR(VLOOKUP(--SUBSTITUTE(SUBSTITUTE(TRIM($K886),"-","")," ",""),마스터시트!$A$2:$H$1946,5,FALSE),""))</f>
        <v/>
      </c>
      <c r="Q886" s="18" t="str">
        <f>IF($K886="","",IFERROR(VLOOKUP(--SUBSTITUTE(SUBSTITUTE(TRIM($K886),"-","")," ",""),마스터시트!$A$2:$H$1946,6,FALSE),""))</f>
        <v/>
      </c>
      <c r="R886" s="18" t="str">
        <f>IF($K886="","",IFERROR(VLOOKUP(--SUBSTITUTE(SUBSTITUTE(TRIM($K886),"-","")," ",""),마스터시트!$A$2:$H$1946,7,FALSE),""))</f>
        <v/>
      </c>
    </row>
    <row r="887" spans="13:18" x14ac:dyDescent="0.3">
      <c r="M887" s="18" t="str">
        <f>IF($K887="","",IFERROR(VLOOKUP(--SUBSTITUTE(SUBSTITUTE(TRIM($K887),"-","")," ",""),마스터시트!$A$2:$H$1946,2,FALSE),"미등록"))</f>
        <v/>
      </c>
      <c r="N887" s="53" t="str">
        <f>IF($K887="","",IFERROR(VLOOKUP(--SUBSTITUTE(SUBSTITUTE(TRIM($K887),"-","")," ",""),마스터시트!$A$2:$H$1946,3,FALSE),"미등록"))</f>
        <v/>
      </c>
      <c r="O887" s="18" t="str">
        <f>IF($K887="","",IFERROR(VLOOKUP(--SUBSTITUTE(SUBSTITUTE(TRIM($K887),"-","")," ",""),마스터시트!$A$2:$H$1946,4,FALSE),""))</f>
        <v/>
      </c>
      <c r="P887" s="18" t="str">
        <f>IF($K887="","",IFERROR(VLOOKUP(--SUBSTITUTE(SUBSTITUTE(TRIM($K887),"-","")," ",""),마스터시트!$A$2:$H$1946,5,FALSE),""))</f>
        <v/>
      </c>
      <c r="Q887" s="18" t="str">
        <f>IF($K887="","",IFERROR(VLOOKUP(--SUBSTITUTE(SUBSTITUTE(TRIM($K887),"-","")," ",""),마스터시트!$A$2:$H$1946,6,FALSE),""))</f>
        <v/>
      </c>
      <c r="R887" s="18" t="str">
        <f>IF($K887="","",IFERROR(VLOOKUP(--SUBSTITUTE(SUBSTITUTE(TRIM($K887),"-","")," ",""),마스터시트!$A$2:$H$1946,7,FALSE),""))</f>
        <v/>
      </c>
    </row>
    <row r="888" spans="13:18" x14ac:dyDescent="0.3">
      <c r="M888" s="18" t="str">
        <f>IF($K888="","",IFERROR(VLOOKUP(--SUBSTITUTE(SUBSTITUTE(TRIM($K888),"-","")," ",""),마스터시트!$A$2:$H$1946,2,FALSE),"미등록"))</f>
        <v/>
      </c>
      <c r="N888" s="53" t="str">
        <f>IF($K888="","",IFERROR(VLOOKUP(--SUBSTITUTE(SUBSTITUTE(TRIM($K888),"-","")," ",""),마스터시트!$A$2:$H$1946,3,FALSE),"미등록"))</f>
        <v/>
      </c>
      <c r="O888" s="18" t="str">
        <f>IF($K888="","",IFERROR(VLOOKUP(--SUBSTITUTE(SUBSTITUTE(TRIM($K888),"-","")," ",""),마스터시트!$A$2:$H$1946,4,FALSE),""))</f>
        <v/>
      </c>
      <c r="P888" s="18" t="str">
        <f>IF($K888="","",IFERROR(VLOOKUP(--SUBSTITUTE(SUBSTITUTE(TRIM($K888),"-","")," ",""),마스터시트!$A$2:$H$1946,5,FALSE),""))</f>
        <v/>
      </c>
      <c r="Q888" s="18" t="str">
        <f>IF($K888="","",IFERROR(VLOOKUP(--SUBSTITUTE(SUBSTITUTE(TRIM($K888),"-","")," ",""),마스터시트!$A$2:$H$1946,6,FALSE),""))</f>
        <v/>
      </c>
      <c r="R888" s="18" t="str">
        <f>IF($K888="","",IFERROR(VLOOKUP(--SUBSTITUTE(SUBSTITUTE(TRIM($K888),"-","")," ",""),마스터시트!$A$2:$H$1946,7,FALSE),""))</f>
        <v/>
      </c>
    </row>
    <row r="889" spans="13:18" x14ac:dyDescent="0.3">
      <c r="M889" s="18" t="str">
        <f>IF($K889="","",IFERROR(VLOOKUP(--SUBSTITUTE(SUBSTITUTE(TRIM($K889),"-","")," ",""),마스터시트!$A$2:$H$1946,2,FALSE),"미등록"))</f>
        <v/>
      </c>
      <c r="N889" s="53" t="str">
        <f>IF($K889="","",IFERROR(VLOOKUP(--SUBSTITUTE(SUBSTITUTE(TRIM($K889),"-","")," ",""),마스터시트!$A$2:$H$1946,3,FALSE),"미등록"))</f>
        <v/>
      </c>
      <c r="O889" s="18" t="str">
        <f>IF($K889="","",IFERROR(VLOOKUP(--SUBSTITUTE(SUBSTITUTE(TRIM($K889),"-","")," ",""),마스터시트!$A$2:$H$1946,4,FALSE),""))</f>
        <v/>
      </c>
      <c r="P889" s="18" t="str">
        <f>IF($K889="","",IFERROR(VLOOKUP(--SUBSTITUTE(SUBSTITUTE(TRIM($K889),"-","")," ",""),마스터시트!$A$2:$H$1946,5,FALSE),""))</f>
        <v/>
      </c>
      <c r="Q889" s="18" t="str">
        <f>IF($K889="","",IFERROR(VLOOKUP(--SUBSTITUTE(SUBSTITUTE(TRIM($K889),"-","")," ",""),마스터시트!$A$2:$H$1946,6,FALSE),""))</f>
        <v/>
      </c>
      <c r="R889" s="18" t="str">
        <f>IF($K889="","",IFERROR(VLOOKUP(--SUBSTITUTE(SUBSTITUTE(TRIM($K889),"-","")," ",""),마스터시트!$A$2:$H$1946,7,FALSE),""))</f>
        <v/>
      </c>
    </row>
    <row r="890" spans="13:18" x14ac:dyDescent="0.3">
      <c r="M890" s="18" t="str">
        <f>IF($K890="","",IFERROR(VLOOKUP(--SUBSTITUTE(SUBSTITUTE(TRIM($K890),"-","")," ",""),마스터시트!$A$2:$H$1946,2,FALSE),"미등록"))</f>
        <v/>
      </c>
      <c r="N890" s="53" t="str">
        <f>IF($K890="","",IFERROR(VLOOKUP(--SUBSTITUTE(SUBSTITUTE(TRIM($K890),"-","")," ",""),마스터시트!$A$2:$H$1946,3,FALSE),"미등록"))</f>
        <v/>
      </c>
      <c r="O890" s="18" t="str">
        <f>IF($K890="","",IFERROR(VLOOKUP(--SUBSTITUTE(SUBSTITUTE(TRIM($K890),"-","")," ",""),마스터시트!$A$2:$H$1946,4,FALSE),""))</f>
        <v/>
      </c>
      <c r="P890" s="18" t="str">
        <f>IF($K890="","",IFERROR(VLOOKUP(--SUBSTITUTE(SUBSTITUTE(TRIM($K890),"-","")," ",""),마스터시트!$A$2:$H$1946,5,FALSE),""))</f>
        <v/>
      </c>
      <c r="Q890" s="18" t="str">
        <f>IF($K890="","",IFERROR(VLOOKUP(--SUBSTITUTE(SUBSTITUTE(TRIM($K890),"-","")," ",""),마스터시트!$A$2:$H$1946,6,FALSE),""))</f>
        <v/>
      </c>
      <c r="R890" s="18" t="str">
        <f>IF($K890="","",IFERROR(VLOOKUP(--SUBSTITUTE(SUBSTITUTE(TRIM($K890),"-","")," ",""),마스터시트!$A$2:$H$1946,7,FALSE),""))</f>
        <v/>
      </c>
    </row>
    <row r="891" spans="13:18" x14ac:dyDescent="0.3">
      <c r="M891" s="18" t="str">
        <f>IF($K891="","",IFERROR(VLOOKUP(--SUBSTITUTE(SUBSTITUTE(TRIM($K891),"-","")," ",""),마스터시트!$A$2:$H$1946,2,FALSE),"미등록"))</f>
        <v/>
      </c>
      <c r="N891" s="53" t="str">
        <f>IF($K891="","",IFERROR(VLOOKUP(--SUBSTITUTE(SUBSTITUTE(TRIM($K891),"-","")," ",""),마스터시트!$A$2:$H$1946,3,FALSE),"미등록"))</f>
        <v/>
      </c>
      <c r="O891" s="18" t="str">
        <f>IF($K891="","",IFERROR(VLOOKUP(--SUBSTITUTE(SUBSTITUTE(TRIM($K891),"-","")," ",""),마스터시트!$A$2:$H$1946,4,FALSE),""))</f>
        <v/>
      </c>
      <c r="P891" s="18" t="str">
        <f>IF($K891="","",IFERROR(VLOOKUP(--SUBSTITUTE(SUBSTITUTE(TRIM($K891),"-","")," ",""),마스터시트!$A$2:$H$1946,5,FALSE),""))</f>
        <v/>
      </c>
      <c r="Q891" s="18" t="str">
        <f>IF($K891="","",IFERROR(VLOOKUP(--SUBSTITUTE(SUBSTITUTE(TRIM($K891),"-","")," ",""),마스터시트!$A$2:$H$1946,6,FALSE),""))</f>
        <v/>
      </c>
      <c r="R891" s="18" t="str">
        <f>IF($K891="","",IFERROR(VLOOKUP(--SUBSTITUTE(SUBSTITUTE(TRIM($K891),"-","")," ",""),마스터시트!$A$2:$H$1946,7,FALSE),""))</f>
        <v/>
      </c>
    </row>
    <row r="892" spans="13:18" x14ac:dyDescent="0.3">
      <c r="M892" s="18" t="str">
        <f>IF($K892="","",IFERROR(VLOOKUP(--SUBSTITUTE(SUBSTITUTE(TRIM($K892),"-","")," ",""),마스터시트!$A$2:$H$1946,2,FALSE),"미등록"))</f>
        <v/>
      </c>
      <c r="N892" s="53" t="str">
        <f>IF($K892="","",IFERROR(VLOOKUP(--SUBSTITUTE(SUBSTITUTE(TRIM($K892),"-","")," ",""),마스터시트!$A$2:$H$1946,3,FALSE),"미등록"))</f>
        <v/>
      </c>
      <c r="O892" s="18" t="str">
        <f>IF($K892="","",IFERROR(VLOOKUP(--SUBSTITUTE(SUBSTITUTE(TRIM($K892),"-","")," ",""),마스터시트!$A$2:$H$1946,4,FALSE),""))</f>
        <v/>
      </c>
      <c r="P892" s="18" t="str">
        <f>IF($K892="","",IFERROR(VLOOKUP(--SUBSTITUTE(SUBSTITUTE(TRIM($K892),"-","")," ",""),마스터시트!$A$2:$H$1946,5,FALSE),""))</f>
        <v/>
      </c>
      <c r="Q892" s="18" t="str">
        <f>IF($K892="","",IFERROR(VLOOKUP(--SUBSTITUTE(SUBSTITUTE(TRIM($K892),"-","")," ",""),마스터시트!$A$2:$H$1946,6,FALSE),""))</f>
        <v/>
      </c>
      <c r="R892" s="18" t="str">
        <f>IF($K892="","",IFERROR(VLOOKUP(--SUBSTITUTE(SUBSTITUTE(TRIM($K892),"-","")," ",""),마스터시트!$A$2:$H$1946,7,FALSE),""))</f>
        <v/>
      </c>
    </row>
    <row r="893" spans="13:18" x14ac:dyDescent="0.3">
      <c r="M893" s="18" t="str">
        <f>IF($K893="","",IFERROR(VLOOKUP(--SUBSTITUTE(SUBSTITUTE(TRIM($K893),"-","")," ",""),마스터시트!$A$2:$H$1946,2,FALSE),"미등록"))</f>
        <v/>
      </c>
      <c r="N893" s="53" t="str">
        <f>IF($K893="","",IFERROR(VLOOKUP(--SUBSTITUTE(SUBSTITUTE(TRIM($K893),"-","")," ",""),마스터시트!$A$2:$H$1946,3,FALSE),"미등록"))</f>
        <v/>
      </c>
      <c r="O893" s="18" t="str">
        <f>IF($K893="","",IFERROR(VLOOKUP(--SUBSTITUTE(SUBSTITUTE(TRIM($K893),"-","")," ",""),마스터시트!$A$2:$H$1946,4,FALSE),""))</f>
        <v/>
      </c>
      <c r="P893" s="18" t="str">
        <f>IF($K893="","",IFERROR(VLOOKUP(--SUBSTITUTE(SUBSTITUTE(TRIM($K893),"-","")," ",""),마스터시트!$A$2:$H$1946,5,FALSE),""))</f>
        <v/>
      </c>
      <c r="Q893" s="18" t="str">
        <f>IF($K893="","",IFERROR(VLOOKUP(--SUBSTITUTE(SUBSTITUTE(TRIM($K893),"-","")," ",""),마스터시트!$A$2:$H$1946,6,FALSE),""))</f>
        <v/>
      </c>
      <c r="R893" s="18" t="str">
        <f>IF($K893="","",IFERROR(VLOOKUP(--SUBSTITUTE(SUBSTITUTE(TRIM($K893),"-","")," ",""),마스터시트!$A$2:$H$1946,7,FALSE),""))</f>
        <v/>
      </c>
    </row>
    <row r="894" spans="13:18" x14ac:dyDescent="0.3">
      <c r="M894" s="18" t="str">
        <f>IF($K894="","",IFERROR(VLOOKUP(--SUBSTITUTE(SUBSTITUTE(TRIM($K894),"-","")," ",""),마스터시트!$A$2:$H$1946,2,FALSE),"미등록"))</f>
        <v/>
      </c>
      <c r="N894" s="53" t="str">
        <f>IF($K894="","",IFERROR(VLOOKUP(--SUBSTITUTE(SUBSTITUTE(TRIM($K894),"-","")," ",""),마스터시트!$A$2:$H$1946,3,FALSE),"미등록"))</f>
        <v/>
      </c>
      <c r="O894" s="18" t="str">
        <f>IF($K894="","",IFERROR(VLOOKUP(--SUBSTITUTE(SUBSTITUTE(TRIM($K894),"-","")," ",""),마스터시트!$A$2:$H$1946,4,FALSE),""))</f>
        <v/>
      </c>
      <c r="P894" s="18" t="str">
        <f>IF($K894="","",IFERROR(VLOOKUP(--SUBSTITUTE(SUBSTITUTE(TRIM($K894),"-","")," ",""),마스터시트!$A$2:$H$1946,5,FALSE),""))</f>
        <v/>
      </c>
      <c r="Q894" s="18" t="str">
        <f>IF($K894="","",IFERROR(VLOOKUP(--SUBSTITUTE(SUBSTITUTE(TRIM($K894),"-","")," ",""),마스터시트!$A$2:$H$1946,6,FALSE),""))</f>
        <v/>
      </c>
      <c r="R894" s="18" t="str">
        <f>IF($K894="","",IFERROR(VLOOKUP(--SUBSTITUTE(SUBSTITUTE(TRIM($K894),"-","")," ",""),마스터시트!$A$2:$H$1946,7,FALSE),""))</f>
        <v/>
      </c>
    </row>
    <row r="895" spans="13:18" x14ac:dyDescent="0.3">
      <c r="M895" s="18" t="str">
        <f>IF($K895="","",IFERROR(VLOOKUP(--SUBSTITUTE(SUBSTITUTE(TRIM($K895),"-","")," ",""),마스터시트!$A$2:$H$1946,2,FALSE),"미등록"))</f>
        <v/>
      </c>
      <c r="N895" s="53" t="str">
        <f>IF($K895="","",IFERROR(VLOOKUP(--SUBSTITUTE(SUBSTITUTE(TRIM($K895),"-","")," ",""),마스터시트!$A$2:$H$1946,3,FALSE),"미등록"))</f>
        <v/>
      </c>
      <c r="O895" s="18" t="str">
        <f>IF($K895="","",IFERROR(VLOOKUP(--SUBSTITUTE(SUBSTITUTE(TRIM($K895),"-","")," ",""),마스터시트!$A$2:$H$1946,4,FALSE),""))</f>
        <v/>
      </c>
      <c r="P895" s="18" t="str">
        <f>IF($K895="","",IFERROR(VLOOKUP(--SUBSTITUTE(SUBSTITUTE(TRIM($K895),"-","")," ",""),마스터시트!$A$2:$H$1946,5,FALSE),""))</f>
        <v/>
      </c>
      <c r="Q895" s="18" t="str">
        <f>IF($K895="","",IFERROR(VLOOKUP(--SUBSTITUTE(SUBSTITUTE(TRIM($K895),"-","")," ",""),마스터시트!$A$2:$H$1946,6,FALSE),""))</f>
        <v/>
      </c>
      <c r="R895" s="18" t="str">
        <f>IF($K895="","",IFERROR(VLOOKUP(--SUBSTITUTE(SUBSTITUTE(TRIM($K895),"-","")," ",""),마스터시트!$A$2:$H$1946,7,FALSE),""))</f>
        <v/>
      </c>
    </row>
    <row r="896" spans="13:18" x14ac:dyDescent="0.3">
      <c r="M896" s="18" t="str">
        <f>IF($K896="","",IFERROR(VLOOKUP(--SUBSTITUTE(SUBSTITUTE(TRIM($K896),"-","")," ",""),마스터시트!$A$2:$H$1946,2,FALSE),"미등록"))</f>
        <v/>
      </c>
      <c r="N896" s="53" t="str">
        <f>IF($K896="","",IFERROR(VLOOKUP(--SUBSTITUTE(SUBSTITUTE(TRIM($K896),"-","")," ",""),마스터시트!$A$2:$H$1946,3,FALSE),"미등록"))</f>
        <v/>
      </c>
      <c r="O896" s="18" t="str">
        <f>IF($K896="","",IFERROR(VLOOKUP(--SUBSTITUTE(SUBSTITUTE(TRIM($K896),"-","")," ",""),마스터시트!$A$2:$H$1946,4,FALSE),""))</f>
        <v/>
      </c>
      <c r="P896" s="18" t="str">
        <f>IF($K896="","",IFERROR(VLOOKUP(--SUBSTITUTE(SUBSTITUTE(TRIM($K896),"-","")," ",""),마스터시트!$A$2:$H$1946,5,FALSE),""))</f>
        <v/>
      </c>
      <c r="Q896" s="18" t="str">
        <f>IF($K896="","",IFERROR(VLOOKUP(--SUBSTITUTE(SUBSTITUTE(TRIM($K896),"-","")," ",""),마스터시트!$A$2:$H$1946,6,FALSE),""))</f>
        <v/>
      </c>
      <c r="R896" s="18" t="str">
        <f>IF($K896="","",IFERROR(VLOOKUP(--SUBSTITUTE(SUBSTITUTE(TRIM($K896),"-","")," ",""),마스터시트!$A$2:$H$1946,7,FALSE),""))</f>
        <v/>
      </c>
    </row>
    <row r="897" spans="13:18" x14ac:dyDescent="0.3">
      <c r="M897" s="18" t="str">
        <f>IF($K897="","",IFERROR(VLOOKUP(--SUBSTITUTE(SUBSTITUTE(TRIM($K897),"-","")," ",""),마스터시트!$A$2:$H$1946,2,FALSE),"미등록"))</f>
        <v/>
      </c>
      <c r="N897" s="53" t="str">
        <f>IF($K897="","",IFERROR(VLOOKUP(--SUBSTITUTE(SUBSTITUTE(TRIM($K897),"-","")," ",""),마스터시트!$A$2:$H$1946,3,FALSE),"미등록"))</f>
        <v/>
      </c>
      <c r="O897" s="18" t="str">
        <f>IF($K897="","",IFERROR(VLOOKUP(--SUBSTITUTE(SUBSTITUTE(TRIM($K897),"-","")," ",""),마스터시트!$A$2:$H$1946,4,FALSE),""))</f>
        <v/>
      </c>
      <c r="P897" s="18" t="str">
        <f>IF($K897="","",IFERROR(VLOOKUP(--SUBSTITUTE(SUBSTITUTE(TRIM($K897),"-","")," ",""),마스터시트!$A$2:$H$1946,5,FALSE),""))</f>
        <v/>
      </c>
      <c r="Q897" s="18" t="str">
        <f>IF($K897="","",IFERROR(VLOOKUP(--SUBSTITUTE(SUBSTITUTE(TRIM($K897),"-","")," ",""),마스터시트!$A$2:$H$1946,6,FALSE),""))</f>
        <v/>
      </c>
      <c r="R897" s="18" t="str">
        <f>IF($K897="","",IFERROR(VLOOKUP(--SUBSTITUTE(SUBSTITUTE(TRIM($K897),"-","")," ",""),마스터시트!$A$2:$H$1946,7,FALSE),""))</f>
        <v/>
      </c>
    </row>
    <row r="898" spans="13:18" x14ac:dyDescent="0.3">
      <c r="M898" s="18" t="str">
        <f>IF($K898="","",IFERROR(VLOOKUP(--SUBSTITUTE(SUBSTITUTE(TRIM($K898),"-","")," ",""),마스터시트!$A$2:$H$1946,2,FALSE),"미등록"))</f>
        <v/>
      </c>
      <c r="N898" s="53" t="str">
        <f>IF($K898="","",IFERROR(VLOOKUP(--SUBSTITUTE(SUBSTITUTE(TRIM($K898),"-","")," ",""),마스터시트!$A$2:$H$1946,3,FALSE),"미등록"))</f>
        <v/>
      </c>
      <c r="O898" s="18" t="str">
        <f>IF($K898="","",IFERROR(VLOOKUP(--SUBSTITUTE(SUBSTITUTE(TRIM($K898),"-","")," ",""),마스터시트!$A$2:$H$1946,4,FALSE),""))</f>
        <v/>
      </c>
      <c r="P898" s="18" t="str">
        <f>IF($K898="","",IFERROR(VLOOKUP(--SUBSTITUTE(SUBSTITUTE(TRIM($K898),"-","")," ",""),마스터시트!$A$2:$H$1946,5,FALSE),""))</f>
        <v/>
      </c>
      <c r="Q898" s="18" t="str">
        <f>IF($K898="","",IFERROR(VLOOKUP(--SUBSTITUTE(SUBSTITUTE(TRIM($K898),"-","")," ",""),마스터시트!$A$2:$H$1946,6,FALSE),""))</f>
        <v/>
      </c>
      <c r="R898" s="18" t="str">
        <f>IF($K898="","",IFERROR(VLOOKUP(--SUBSTITUTE(SUBSTITUTE(TRIM($K898),"-","")," ",""),마스터시트!$A$2:$H$1946,7,FALSE),""))</f>
        <v/>
      </c>
    </row>
    <row r="899" spans="13:18" x14ac:dyDescent="0.3">
      <c r="M899" s="18" t="str">
        <f>IF($K899="","",IFERROR(VLOOKUP(--SUBSTITUTE(SUBSTITUTE(TRIM($K899),"-","")," ",""),마스터시트!$A$2:$H$1946,2,FALSE),"미등록"))</f>
        <v/>
      </c>
      <c r="N899" s="53" t="str">
        <f>IF($K899="","",IFERROR(VLOOKUP(--SUBSTITUTE(SUBSTITUTE(TRIM($K899),"-","")," ",""),마스터시트!$A$2:$H$1946,3,FALSE),"미등록"))</f>
        <v/>
      </c>
      <c r="O899" s="18" t="str">
        <f>IF($K899="","",IFERROR(VLOOKUP(--SUBSTITUTE(SUBSTITUTE(TRIM($K899),"-","")," ",""),마스터시트!$A$2:$H$1946,4,FALSE),""))</f>
        <v/>
      </c>
      <c r="P899" s="18" t="str">
        <f>IF($K899="","",IFERROR(VLOOKUP(--SUBSTITUTE(SUBSTITUTE(TRIM($K899),"-","")," ",""),마스터시트!$A$2:$H$1946,5,FALSE),""))</f>
        <v/>
      </c>
      <c r="Q899" s="18" t="str">
        <f>IF($K899="","",IFERROR(VLOOKUP(--SUBSTITUTE(SUBSTITUTE(TRIM($K899),"-","")," ",""),마스터시트!$A$2:$H$1946,6,FALSE),""))</f>
        <v/>
      </c>
      <c r="R899" s="18" t="str">
        <f>IF($K899="","",IFERROR(VLOOKUP(--SUBSTITUTE(SUBSTITUTE(TRIM($K899),"-","")," ",""),마스터시트!$A$2:$H$1946,7,FALSE),""))</f>
        <v/>
      </c>
    </row>
    <row r="900" spans="13:18" x14ac:dyDescent="0.3">
      <c r="M900" s="18" t="str">
        <f>IF($K900="","",IFERROR(VLOOKUP(--SUBSTITUTE(SUBSTITUTE(TRIM($K900),"-","")," ",""),마스터시트!$A$2:$H$1946,2,FALSE),"미등록"))</f>
        <v/>
      </c>
      <c r="N900" s="53" t="str">
        <f>IF($K900="","",IFERROR(VLOOKUP(--SUBSTITUTE(SUBSTITUTE(TRIM($K900),"-","")," ",""),마스터시트!$A$2:$H$1946,3,FALSE),"미등록"))</f>
        <v/>
      </c>
      <c r="O900" s="18" t="str">
        <f>IF($K900="","",IFERROR(VLOOKUP(--SUBSTITUTE(SUBSTITUTE(TRIM($K900),"-","")," ",""),마스터시트!$A$2:$H$1946,4,FALSE),""))</f>
        <v/>
      </c>
      <c r="P900" s="18" t="str">
        <f>IF($K900="","",IFERROR(VLOOKUP(--SUBSTITUTE(SUBSTITUTE(TRIM($K900),"-","")," ",""),마스터시트!$A$2:$H$1946,5,FALSE),""))</f>
        <v/>
      </c>
      <c r="Q900" s="18" t="str">
        <f>IF($K900="","",IFERROR(VLOOKUP(--SUBSTITUTE(SUBSTITUTE(TRIM($K900),"-","")," ",""),마스터시트!$A$2:$H$1946,6,FALSE),""))</f>
        <v/>
      </c>
      <c r="R900" s="18" t="str">
        <f>IF($K900="","",IFERROR(VLOOKUP(--SUBSTITUTE(SUBSTITUTE(TRIM($K900),"-","")," ",""),마스터시트!$A$2:$H$1946,7,FALSE),""))</f>
        <v/>
      </c>
    </row>
    <row r="901" spans="13:18" x14ac:dyDescent="0.3">
      <c r="M901" s="18" t="str">
        <f>IF($K901="","",IFERROR(VLOOKUP(--SUBSTITUTE(SUBSTITUTE(TRIM($K901),"-","")," ",""),마스터시트!$A$2:$H$1946,2,FALSE),"미등록"))</f>
        <v/>
      </c>
      <c r="N901" s="53" t="str">
        <f>IF($K901="","",IFERROR(VLOOKUP(--SUBSTITUTE(SUBSTITUTE(TRIM($K901),"-","")," ",""),마스터시트!$A$2:$H$1946,3,FALSE),"미등록"))</f>
        <v/>
      </c>
      <c r="O901" s="18" t="str">
        <f>IF($K901="","",IFERROR(VLOOKUP(--SUBSTITUTE(SUBSTITUTE(TRIM($K901),"-","")," ",""),마스터시트!$A$2:$H$1946,4,FALSE),""))</f>
        <v/>
      </c>
      <c r="P901" s="18" t="str">
        <f>IF($K901="","",IFERROR(VLOOKUP(--SUBSTITUTE(SUBSTITUTE(TRIM($K901),"-","")," ",""),마스터시트!$A$2:$H$1946,5,FALSE),""))</f>
        <v/>
      </c>
      <c r="Q901" s="18" t="str">
        <f>IF($K901="","",IFERROR(VLOOKUP(--SUBSTITUTE(SUBSTITUTE(TRIM($K901),"-","")," ",""),마스터시트!$A$2:$H$1946,6,FALSE),""))</f>
        <v/>
      </c>
      <c r="R901" s="18" t="str">
        <f>IF($K901="","",IFERROR(VLOOKUP(--SUBSTITUTE(SUBSTITUTE(TRIM($K901),"-","")," ",""),마스터시트!$A$2:$H$1946,7,FALSE),""))</f>
        <v/>
      </c>
    </row>
    <row r="902" spans="13:18" x14ac:dyDescent="0.3">
      <c r="M902" s="18" t="str">
        <f>IF($K902="","",IFERROR(VLOOKUP(--SUBSTITUTE(SUBSTITUTE(TRIM($K902),"-","")," ",""),마스터시트!$A$2:$H$1946,2,FALSE),"미등록"))</f>
        <v/>
      </c>
      <c r="N902" s="53" t="str">
        <f>IF($K902="","",IFERROR(VLOOKUP(--SUBSTITUTE(SUBSTITUTE(TRIM($K902),"-","")," ",""),마스터시트!$A$2:$H$1946,3,FALSE),"미등록"))</f>
        <v/>
      </c>
      <c r="O902" s="18" t="str">
        <f>IF($K902="","",IFERROR(VLOOKUP(--SUBSTITUTE(SUBSTITUTE(TRIM($K902),"-","")," ",""),마스터시트!$A$2:$H$1946,4,FALSE),""))</f>
        <v/>
      </c>
      <c r="P902" s="18" t="str">
        <f>IF($K902="","",IFERROR(VLOOKUP(--SUBSTITUTE(SUBSTITUTE(TRIM($K902),"-","")," ",""),마스터시트!$A$2:$H$1946,5,FALSE),""))</f>
        <v/>
      </c>
      <c r="Q902" s="18" t="str">
        <f>IF($K902="","",IFERROR(VLOOKUP(--SUBSTITUTE(SUBSTITUTE(TRIM($K902),"-","")," ",""),마스터시트!$A$2:$H$1946,6,FALSE),""))</f>
        <v/>
      </c>
      <c r="R902" s="18" t="str">
        <f>IF($K902="","",IFERROR(VLOOKUP(--SUBSTITUTE(SUBSTITUTE(TRIM($K902),"-","")," ",""),마스터시트!$A$2:$H$1946,7,FALSE),""))</f>
        <v/>
      </c>
    </row>
    <row r="903" spans="13:18" x14ac:dyDescent="0.3">
      <c r="M903" s="18" t="str">
        <f>IF($K903="","",IFERROR(VLOOKUP(--SUBSTITUTE(SUBSTITUTE(TRIM($K903),"-","")," ",""),마스터시트!$A$2:$H$1946,2,FALSE),"미등록"))</f>
        <v/>
      </c>
      <c r="N903" s="53" t="str">
        <f>IF($K903="","",IFERROR(VLOOKUP(--SUBSTITUTE(SUBSTITUTE(TRIM($K903),"-","")," ",""),마스터시트!$A$2:$H$1946,3,FALSE),"미등록"))</f>
        <v/>
      </c>
      <c r="O903" s="18" t="str">
        <f>IF($K903="","",IFERROR(VLOOKUP(--SUBSTITUTE(SUBSTITUTE(TRIM($K903),"-","")," ",""),마스터시트!$A$2:$H$1946,4,FALSE),""))</f>
        <v/>
      </c>
      <c r="P903" s="18" t="str">
        <f>IF($K903="","",IFERROR(VLOOKUP(--SUBSTITUTE(SUBSTITUTE(TRIM($K903),"-","")," ",""),마스터시트!$A$2:$H$1946,5,FALSE),""))</f>
        <v/>
      </c>
      <c r="Q903" s="18" t="str">
        <f>IF($K903="","",IFERROR(VLOOKUP(--SUBSTITUTE(SUBSTITUTE(TRIM($K903),"-","")," ",""),마스터시트!$A$2:$H$1946,6,FALSE),""))</f>
        <v/>
      </c>
      <c r="R903" s="18" t="str">
        <f>IF($K903="","",IFERROR(VLOOKUP(--SUBSTITUTE(SUBSTITUTE(TRIM($K903),"-","")," ",""),마스터시트!$A$2:$H$1946,7,FALSE),""))</f>
        <v/>
      </c>
    </row>
    <row r="904" spans="13:18" x14ac:dyDescent="0.3">
      <c r="M904" s="18" t="str">
        <f>IF($K904="","",IFERROR(VLOOKUP(--SUBSTITUTE(SUBSTITUTE(TRIM($K904),"-","")," ",""),마스터시트!$A$2:$H$1946,2,FALSE),"미등록"))</f>
        <v/>
      </c>
      <c r="N904" s="53" t="str">
        <f>IF($K904="","",IFERROR(VLOOKUP(--SUBSTITUTE(SUBSTITUTE(TRIM($K904),"-","")," ",""),마스터시트!$A$2:$H$1946,3,FALSE),"미등록"))</f>
        <v/>
      </c>
      <c r="O904" s="18" t="str">
        <f>IF($K904="","",IFERROR(VLOOKUP(--SUBSTITUTE(SUBSTITUTE(TRIM($K904),"-","")," ",""),마스터시트!$A$2:$H$1946,4,FALSE),""))</f>
        <v/>
      </c>
      <c r="P904" s="18" t="str">
        <f>IF($K904="","",IFERROR(VLOOKUP(--SUBSTITUTE(SUBSTITUTE(TRIM($K904),"-","")," ",""),마스터시트!$A$2:$H$1946,5,FALSE),""))</f>
        <v/>
      </c>
      <c r="Q904" s="18" t="str">
        <f>IF($K904="","",IFERROR(VLOOKUP(--SUBSTITUTE(SUBSTITUTE(TRIM($K904),"-","")," ",""),마스터시트!$A$2:$H$1946,6,FALSE),""))</f>
        <v/>
      </c>
      <c r="R904" s="18" t="str">
        <f>IF($K904="","",IFERROR(VLOOKUP(--SUBSTITUTE(SUBSTITUTE(TRIM($K904),"-","")," ",""),마스터시트!$A$2:$H$1946,7,FALSE),""))</f>
        <v/>
      </c>
    </row>
    <row r="905" spans="13:18" x14ac:dyDescent="0.3">
      <c r="M905" s="18" t="str">
        <f>IF($K905="","",IFERROR(VLOOKUP(--SUBSTITUTE(SUBSTITUTE(TRIM($K905),"-","")," ",""),마스터시트!$A$2:$H$1946,2,FALSE),"미등록"))</f>
        <v/>
      </c>
      <c r="N905" s="53" t="str">
        <f>IF($K905="","",IFERROR(VLOOKUP(--SUBSTITUTE(SUBSTITUTE(TRIM($K905),"-","")," ",""),마스터시트!$A$2:$H$1946,3,FALSE),"미등록"))</f>
        <v/>
      </c>
      <c r="O905" s="18" t="str">
        <f>IF($K905="","",IFERROR(VLOOKUP(--SUBSTITUTE(SUBSTITUTE(TRIM($K905),"-","")," ",""),마스터시트!$A$2:$H$1946,4,FALSE),""))</f>
        <v/>
      </c>
      <c r="P905" s="18" t="str">
        <f>IF($K905="","",IFERROR(VLOOKUP(--SUBSTITUTE(SUBSTITUTE(TRIM($K905),"-","")," ",""),마스터시트!$A$2:$H$1946,5,FALSE),""))</f>
        <v/>
      </c>
      <c r="Q905" s="18" t="str">
        <f>IF($K905="","",IFERROR(VLOOKUP(--SUBSTITUTE(SUBSTITUTE(TRIM($K905),"-","")," ",""),마스터시트!$A$2:$H$1946,6,FALSE),""))</f>
        <v/>
      </c>
      <c r="R905" s="18" t="str">
        <f>IF($K905="","",IFERROR(VLOOKUP(--SUBSTITUTE(SUBSTITUTE(TRIM($K905),"-","")," ",""),마스터시트!$A$2:$H$1946,7,FALSE),""))</f>
        <v/>
      </c>
    </row>
    <row r="906" spans="13:18" x14ac:dyDescent="0.3">
      <c r="M906" s="18" t="str">
        <f>IF($K906="","",IFERROR(VLOOKUP(--SUBSTITUTE(SUBSTITUTE(TRIM($K906),"-","")," ",""),마스터시트!$A$2:$H$1946,2,FALSE),"미등록"))</f>
        <v/>
      </c>
      <c r="N906" s="53" t="str">
        <f>IF($K906="","",IFERROR(VLOOKUP(--SUBSTITUTE(SUBSTITUTE(TRIM($K906),"-","")," ",""),마스터시트!$A$2:$H$1946,3,FALSE),"미등록"))</f>
        <v/>
      </c>
      <c r="O906" s="18" t="str">
        <f>IF($K906="","",IFERROR(VLOOKUP(--SUBSTITUTE(SUBSTITUTE(TRIM($K906),"-","")," ",""),마스터시트!$A$2:$H$1946,4,FALSE),""))</f>
        <v/>
      </c>
      <c r="P906" s="18" t="str">
        <f>IF($K906="","",IFERROR(VLOOKUP(--SUBSTITUTE(SUBSTITUTE(TRIM($K906),"-","")," ",""),마스터시트!$A$2:$H$1946,5,FALSE),""))</f>
        <v/>
      </c>
      <c r="Q906" s="18" t="str">
        <f>IF($K906="","",IFERROR(VLOOKUP(--SUBSTITUTE(SUBSTITUTE(TRIM($K906),"-","")," ",""),마스터시트!$A$2:$H$1946,6,FALSE),""))</f>
        <v/>
      </c>
      <c r="R906" s="18" t="str">
        <f>IF($K906="","",IFERROR(VLOOKUP(--SUBSTITUTE(SUBSTITUTE(TRIM($K906),"-","")," ",""),마스터시트!$A$2:$H$1946,7,FALSE),""))</f>
        <v/>
      </c>
    </row>
    <row r="907" spans="13:18" x14ac:dyDescent="0.3">
      <c r="M907" s="18" t="str">
        <f>IF($K907="","",IFERROR(VLOOKUP(--SUBSTITUTE(SUBSTITUTE(TRIM($K907),"-","")," ",""),마스터시트!$A$2:$H$1946,2,FALSE),"미등록"))</f>
        <v/>
      </c>
      <c r="N907" s="53" t="str">
        <f>IF($K907="","",IFERROR(VLOOKUP(--SUBSTITUTE(SUBSTITUTE(TRIM($K907),"-","")," ",""),마스터시트!$A$2:$H$1946,3,FALSE),"미등록"))</f>
        <v/>
      </c>
      <c r="O907" s="18" t="str">
        <f>IF($K907="","",IFERROR(VLOOKUP(--SUBSTITUTE(SUBSTITUTE(TRIM($K907),"-","")," ",""),마스터시트!$A$2:$H$1946,4,FALSE),""))</f>
        <v/>
      </c>
      <c r="P907" s="18" t="str">
        <f>IF($K907="","",IFERROR(VLOOKUP(--SUBSTITUTE(SUBSTITUTE(TRIM($K907),"-","")," ",""),마스터시트!$A$2:$H$1946,5,FALSE),""))</f>
        <v/>
      </c>
      <c r="Q907" s="18" t="str">
        <f>IF($K907="","",IFERROR(VLOOKUP(--SUBSTITUTE(SUBSTITUTE(TRIM($K907),"-","")," ",""),마스터시트!$A$2:$H$1946,6,FALSE),""))</f>
        <v/>
      </c>
      <c r="R907" s="18" t="str">
        <f>IF($K907="","",IFERROR(VLOOKUP(--SUBSTITUTE(SUBSTITUTE(TRIM($K907),"-","")," ",""),마스터시트!$A$2:$H$1946,7,FALSE),""))</f>
        <v/>
      </c>
    </row>
    <row r="908" spans="13:18" x14ac:dyDescent="0.3">
      <c r="M908" s="18" t="str">
        <f>IF($K908="","",IFERROR(VLOOKUP(--SUBSTITUTE(SUBSTITUTE(TRIM($K908),"-","")," ",""),마스터시트!$A$2:$H$1946,2,FALSE),"미등록"))</f>
        <v/>
      </c>
      <c r="N908" s="53" t="str">
        <f>IF($K908="","",IFERROR(VLOOKUP(--SUBSTITUTE(SUBSTITUTE(TRIM($K908),"-","")," ",""),마스터시트!$A$2:$H$1946,3,FALSE),"미등록"))</f>
        <v/>
      </c>
      <c r="O908" s="18" t="str">
        <f>IF($K908="","",IFERROR(VLOOKUP(--SUBSTITUTE(SUBSTITUTE(TRIM($K908),"-","")," ",""),마스터시트!$A$2:$H$1946,4,FALSE),""))</f>
        <v/>
      </c>
      <c r="P908" s="18" t="str">
        <f>IF($K908="","",IFERROR(VLOOKUP(--SUBSTITUTE(SUBSTITUTE(TRIM($K908),"-","")," ",""),마스터시트!$A$2:$H$1946,5,FALSE),""))</f>
        <v/>
      </c>
      <c r="Q908" s="18" t="str">
        <f>IF($K908="","",IFERROR(VLOOKUP(--SUBSTITUTE(SUBSTITUTE(TRIM($K908),"-","")," ",""),마스터시트!$A$2:$H$1946,6,FALSE),""))</f>
        <v/>
      </c>
      <c r="R908" s="18" t="str">
        <f>IF($K908="","",IFERROR(VLOOKUP(--SUBSTITUTE(SUBSTITUTE(TRIM($K908),"-","")," ",""),마스터시트!$A$2:$H$1946,7,FALSE),""))</f>
        <v/>
      </c>
    </row>
    <row r="909" spans="13:18" x14ac:dyDescent="0.3">
      <c r="M909" s="18" t="str">
        <f>IF($K909="","",IFERROR(VLOOKUP(--SUBSTITUTE(SUBSTITUTE(TRIM($K909),"-","")," ",""),마스터시트!$A$2:$H$1946,2,FALSE),"미등록"))</f>
        <v/>
      </c>
      <c r="N909" s="53" t="str">
        <f>IF($K909="","",IFERROR(VLOOKUP(--SUBSTITUTE(SUBSTITUTE(TRIM($K909),"-","")," ",""),마스터시트!$A$2:$H$1946,3,FALSE),"미등록"))</f>
        <v/>
      </c>
      <c r="O909" s="18" t="str">
        <f>IF($K909="","",IFERROR(VLOOKUP(--SUBSTITUTE(SUBSTITUTE(TRIM($K909),"-","")," ",""),마스터시트!$A$2:$H$1946,4,FALSE),""))</f>
        <v/>
      </c>
      <c r="P909" s="18" t="str">
        <f>IF($K909="","",IFERROR(VLOOKUP(--SUBSTITUTE(SUBSTITUTE(TRIM($K909),"-","")," ",""),마스터시트!$A$2:$H$1946,5,FALSE),""))</f>
        <v/>
      </c>
      <c r="Q909" s="18" t="str">
        <f>IF($K909="","",IFERROR(VLOOKUP(--SUBSTITUTE(SUBSTITUTE(TRIM($K909),"-","")," ",""),마스터시트!$A$2:$H$1946,6,FALSE),""))</f>
        <v/>
      </c>
      <c r="R909" s="18" t="str">
        <f>IF($K909="","",IFERROR(VLOOKUP(--SUBSTITUTE(SUBSTITUTE(TRIM($K909),"-","")," ",""),마스터시트!$A$2:$H$1946,7,FALSE),""))</f>
        <v/>
      </c>
    </row>
    <row r="910" spans="13:18" x14ac:dyDescent="0.3">
      <c r="M910" s="18" t="str">
        <f>IF($K910="","",IFERROR(VLOOKUP(--SUBSTITUTE(SUBSTITUTE(TRIM($K910),"-","")," ",""),마스터시트!$A$2:$H$1946,2,FALSE),"미등록"))</f>
        <v/>
      </c>
      <c r="N910" s="53" t="str">
        <f>IF($K910="","",IFERROR(VLOOKUP(--SUBSTITUTE(SUBSTITUTE(TRIM($K910),"-","")," ",""),마스터시트!$A$2:$H$1946,3,FALSE),"미등록"))</f>
        <v/>
      </c>
      <c r="O910" s="18" t="str">
        <f>IF($K910="","",IFERROR(VLOOKUP(--SUBSTITUTE(SUBSTITUTE(TRIM($K910),"-","")," ",""),마스터시트!$A$2:$H$1946,4,FALSE),""))</f>
        <v/>
      </c>
      <c r="P910" s="18" t="str">
        <f>IF($K910="","",IFERROR(VLOOKUP(--SUBSTITUTE(SUBSTITUTE(TRIM($K910),"-","")," ",""),마스터시트!$A$2:$H$1946,5,FALSE),""))</f>
        <v/>
      </c>
      <c r="Q910" s="18" t="str">
        <f>IF($K910="","",IFERROR(VLOOKUP(--SUBSTITUTE(SUBSTITUTE(TRIM($K910),"-","")," ",""),마스터시트!$A$2:$H$1946,6,FALSE),""))</f>
        <v/>
      </c>
      <c r="R910" s="18" t="str">
        <f>IF($K910="","",IFERROR(VLOOKUP(--SUBSTITUTE(SUBSTITUTE(TRIM($K910),"-","")," ",""),마스터시트!$A$2:$H$1946,7,FALSE),""))</f>
        <v/>
      </c>
    </row>
    <row r="911" spans="13:18" x14ac:dyDescent="0.3">
      <c r="M911" s="18" t="str">
        <f>IF($K911="","",IFERROR(VLOOKUP(--SUBSTITUTE(SUBSTITUTE(TRIM($K911),"-","")," ",""),마스터시트!$A$2:$H$1946,2,FALSE),"미등록"))</f>
        <v/>
      </c>
      <c r="N911" s="53" t="str">
        <f>IF($K911="","",IFERROR(VLOOKUP(--SUBSTITUTE(SUBSTITUTE(TRIM($K911),"-","")," ",""),마스터시트!$A$2:$H$1946,3,FALSE),"미등록"))</f>
        <v/>
      </c>
      <c r="O911" s="18" t="str">
        <f>IF($K911="","",IFERROR(VLOOKUP(--SUBSTITUTE(SUBSTITUTE(TRIM($K911),"-","")," ",""),마스터시트!$A$2:$H$1946,4,FALSE),""))</f>
        <v/>
      </c>
      <c r="P911" s="18" t="str">
        <f>IF($K911="","",IFERROR(VLOOKUP(--SUBSTITUTE(SUBSTITUTE(TRIM($K911),"-","")," ",""),마스터시트!$A$2:$H$1946,5,FALSE),""))</f>
        <v/>
      </c>
      <c r="Q911" s="18" t="str">
        <f>IF($K911="","",IFERROR(VLOOKUP(--SUBSTITUTE(SUBSTITUTE(TRIM($K911),"-","")," ",""),마스터시트!$A$2:$H$1946,6,FALSE),""))</f>
        <v/>
      </c>
      <c r="R911" s="18" t="str">
        <f>IF($K911="","",IFERROR(VLOOKUP(--SUBSTITUTE(SUBSTITUTE(TRIM($K911),"-","")," ",""),마스터시트!$A$2:$H$1946,7,FALSE),""))</f>
        <v/>
      </c>
    </row>
    <row r="912" spans="13:18" x14ac:dyDescent="0.3">
      <c r="M912" s="18" t="str">
        <f>IF($K912="","",IFERROR(VLOOKUP(--SUBSTITUTE(SUBSTITUTE(TRIM($K912),"-","")," ",""),마스터시트!$A$2:$H$1946,2,FALSE),"미등록"))</f>
        <v/>
      </c>
      <c r="N912" s="53" t="str">
        <f>IF($K912="","",IFERROR(VLOOKUP(--SUBSTITUTE(SUBSTITUTE(TRIM($K912),"-","")," ",""),마스터시트!$A$2:$H$1946,3,FALSE),"미등록"))</f>
        <v/>
      </c>
      <c r="O912" s="18" t="str">
        <f>IF($K912="","",IFERROR(VLOOKUP(--SUBSTITUTE(SUBSTITUTE(TRIM($K912),"-","")," ",""),마스터시트!$A$2:$H$1946,4,FALSE),""))</f>
        <v/>
      </c>
      <c r="P912" s="18" t="str">
        <f>IF($K912="","",IFERROR(VLOOKUP(--SUBSTITUTE(SUBSTITUTE(TRIM($K912),"-","")," ",""),마스터시트!$A$2:$H$1946,5,FALSE),""))</f>
        <v/>
      </c>
      <c r="Q912" s="18" t="str">
        <f>IF($K912="","",IFERROR(VLOOKUP(--SUBSTITUTE(SUBSTITUTE(TRIM($K912),"-","")," ",""),마스터시트!$A$2:$H$1946,6,FALSE),""))</f>
        <v/>
      </c>
      <c r="R912" s="18" t="str">
        <f>IF($K912="","",IFERROR(VLOOKUP(--SUBSTITUTE(SUBSTITUTE(TRIM($K912),"-","")," ",""),마스터시트!$A$2:$H$1946,7,FALSE),""))</f>
        <v/>
      </c>
    </row>
    <row r="913" spans="13:18" x14ac:dyDescent="0.3">
      <c r="M913" s="18" t="str">
        <f>IF($K913="","",IFERROR(VLOOKUP(--SUBSTITUTE(SUBSTITUTE(TRIM($K913),"-","")," ",""),마스터시트!$A$2:$H$1946,2,FALSE),"미등록"))</f>
        <v/>
      </c>
      <c r="N913" s="53" t="str">
        <f>IF($K913="","",IFERROR(VLOOKUP(--SUBSTITUTE(SUBSTITUTE(TRIM($K913),"-","")," ",""),마스터시트!$A$2:$H$1946,3,FALSE),"미등록"))</f>
        <v/>
      </c>
      <c r="O913" s="18" t="str">
        <f>IF($K913="","",IFERROR(VLOOKUP(--SUBSTITUTE(SUBSTITUTE(TRIM($K913),"-","")," ",""),마스터시트!$A$2:$H$1946,4,FALSE),""))</f>
        <v/>
      </c>
      <c r="P913" s="18" t="str">
        <f>IF($K913="","",IFERROR(VLOOKUP(--SUBSTITUTE(SUBSTITUTE(TRIM($K913),"-","")," ",""),마스터시트!$A$2:$H$1946,5,FALSE),""))</f>
        <v/>
      </c>
      <c r="Q913" s="18" t="str">
        <f>IF($K913="","",IFERROR(VLOOKUP(--SUBSTITUTE(SUBSTITUTE(TRIM($K913),"-","")," ",""),마스터시트!$A$2:$H$1946,6,FALSE),""))</f>
        <v/>
      </c>
      <c r="R913" s="18" t="str">
        <f>IF($K913="","",IFERROR(VLOOKUP(--SUBSTITUTE(SUBSTITUTE(TRIM($K913),"-","")," ",""),마스터시트!$A$2:$H$1946,7,FALSE),""))</f>
        <v/>
      </c>
    </row>
    <row r="914" spans="13:18" x14ac:dyDescent="0.3">
      <c r="M914" s="18" t="str">
        <f>IF($K914="","",IFERROR(VLOOKUP(--SUBSTITUTE(SUBSTITUTE(TRIM($K914),"-","")," ",""),마스터시트!$A$2:$H$1946,2,FALSE),"미등록"))</f>
        <v/>
      </c>
      <c r="N914" s="53" t="str">
        <f>IF($K914="","",IFERROR(VLOOKUP(--SUBSTITUTE(SUBSTITUTE(TRIM($K914),"-","")," ",""),마스터시트!$A$2:$H$1946,3,FALSE),"미등록"))</f>
        <v/>
      </c>
      <c r="O914" s="18" t="str">
        <f>IF($K914="","",IFERROR(VLOOKUP(--SUBSTITUTE(SUBSTITUTE(TRIM($K914),"-","")," ",""),마스터시트!$A$2:$H$1946,4,FALSE),""))</f>
        <v/>
      </c>
      <c r="P914" s="18" t="str">
        <f>IF($K914="","",IFERROR(VLOOKUP(--SUBSTITUTE(SUBSTITUTE(TRIM($K914),"-","")," ",""),마스터시트!$A$2:$H$1946,5,FALSE),""))</f>
        <v/>
      </c>
      <c r="Q914" s="18" t="str">
        <f>IF($K914="","",IFERROR(VLOOKUP(--SUBSTITUTE(SUBSTITUTE(TRIM($K914),"-","")," ",""),마스터시트!$A$2:$H$1946,6,FALSE),""))</f>
        <v/>
      </c>
      <c r="R914" s="18" t="str">
        <f>IF($K914="","",IFERROR(VLOOKUP(--SUBSTITUTE(SUBSTITUTE(TRIM($K914),"-","")," ",""),마스터시트!$A$2:$H$1946,7,FALSE),""))</f>
        <v/>
      </c>
    </row>
    <row r="915" spans="13:18" x14ac:dyDescent="0.3">
      <c r="M915" s="18" t="str">
        <f>IF($K915="","",IFERROR(VLOOKUP(--SUBSTITUTE(SUBSTITUTE(TRIM($K915),"-","")," ",""),마스터시트!$A$2:$H$1946,2,FALSE),"미등록"))</f>
        <v/>
      </c>
      <c r="N915" s="53" t="str">
        <f>IF($K915="","",IFERROR(VLOOKUP(--SUBSTITUTE(SUBSTITUTE(TRIM($K915),"-","")," ",""),마스터시트!$A$2:$H$1946,3,FALSE),"미등록"))</f>
        <v/>
      </c>
      <c r="O915" s="18" t="str">
        <f>IF($K915="","",IFERROR(VLOOKUP(--SUBSTITUTE(SUBSTITUTE(TRIM($K915),"-","")," ",""),마스터시트!$A$2:$H$1946,4,FALSE),""))</f>
        <v/>
      </c>
      <c r="P915" s="18" t="str">
        <f>IF($K915="","",IFERROR(VLOOKUP(--SUBSTITUTE(SUBSTITUTE(TRIM($K915),"-","")," ",""),마스터시트!$A$2:$H$1946,5,FALSE),""))</f>
        <v/>
      </c>
      <c r="Q915" s="18" t="str">
        <f>IF($K915="","",IFERROR(VLOOKUP(--SUBSTITUTE(SUBSTITUTE(TRIM($K915),"-","")," ",""),마스터시트!$A$2:$H$1946,6,FALSE),""))</f>
        <v/>
      </c>
      <c r="R915" s="18" t="str">
        <f>IF($K915="","",IFERROR(VLOOKUP(--SUBSTITUTE(SUBSTITUTE(TRIM($K915),"-","")," ",""),마스터시트!$A$2:$H$1946,7,FALSE),""))</f>
        <v/>
      </c>
    </row>
    <row r="916" spans="13:18" x14ac:dyDescent="0.3">
      <c r="M916" s="18" t="str">
        <f>IF($K916="","",IFERROR(VLOOKUP(--SUBSTITUTE(SUBSTITUTE(TRIM($K916),"-","")," ",""),마스터시트!$A$2:$H$1946,2,FALSE),"미등록"))</f>
        <v/>
      </c>
      <c r="N916" s="53" t="str">
        <f>IF($K916="","",IFERROR(VLOOKUP(--SUBSTITUTE(SUBSTITUTE(TRIM($K916),"-","")," ",""),마스터시트!$A$2:$H$1946,3,FALSE),"미등록"))</f>
        <v/>
      </c>
      <c r="O916" s="18" t="str">
        <f>IF($K916="","",IFERROR(VLOOKUP(--SUBSTITUTE(SUBSTITUTE(TRIM($K916),"-","")," ",""),마스터시트!$A$2:$H$1946,4,FALSE),""))</f>
        <v/>
      </c>
      <c r="P916" s="18" t="str">
        <f>IF($K916="","",IFERROR(VLOOKUP(--SUBSTITUTE(SUBSTITUTE(TRIM($K916),"-","")," ",""),마스터시트!$A$2:$H$1946,5,FALSE),""))</f>
        <v/>
      </c>
      <c r="Q916" s="18" t="str">
        <f>IF($K916="","",IFERROR(VLOOKUP(--SUBSTITUTE(SUBSTITUTE(TRIM($K916),"-","")," ",""),마스터시트!$A$2:$H$1946,6,FALSE),""))</f>
        <v/>
      </c>
      <c r="R916" s="18" t="str">
        <f>IF($K916="","",IFERROR(VLOOKUP(--SUBSTITUTE(SUBSTITUTE(TRIM($K916),"-","")," ",""),마스터시트!$A$2:$H$1946,7,FALSE),""))</f>
        <v/>
      </c>
    </row>
    <row r="917" spans="13:18" x14ac:dyDescent="0.3">
      <c r="M917" s="18" t="str">
        <f>IF($K917="","",IFERROR(VLOOKUP(--SUBSTITUTE(SUBSTITUTE(TRIM($K917),"-","")," ",""),마스터시트!$A$2:$H$1946,2,FALSE),"미등록"))</f>
        <v/>
      </c>
      <c r="N917" s="53" t="str">
        <f>IF($K917="","",IFERROR(VLOOKUP(--SUBSTITUTE(SUBSTITUTE(TRIM($K917),"-","")," ",""),마스터시트!$A$2:$H$1946,3,FALSE),"미등록"))</f>
        <v/>
      </c>
      <c r="O917" s="18" t="str">
        <f>IF($K917="","",IFERROR(VLOOKUP(--SUBSTITUTE(SUBSTITUTE(TRIM($K917),"-","")," ",""),마스터시트!$A$2:$H$1946,4,FALSE),""))</f>
        <v/>
      </c>
      <c r="P917" s="18" t="str">
        <f>IF($K917="","",IFERROR(VLOOKUP(--SUBSTITUTE(SUBSTITUTE(TRIM($K917),"-","")," ",""),마스터시트!$A$2:$H$1946,5,FALSE),""))</f>
        <v/>
      </c>
      <c r="Q917" s="18" t="str">
        <f>IF($K917="","",IFERROR(VLOOKUP(--SUBSTITUTE(SUBSTITUTE(TRIM($K917),"-","")," ",""),마스터시트!$A$2:$H$1946,6,FALSE),""))</f>
        <v/>
      </c>
      <c r="R917" s="18" t="str">
        <f>IF($K917="","",IFERROR(VLOOKUP(--SUBSTITUTE(SUBSTITUTE(TRIM($K917),"-","")," ",""),마스터시트!$A$2:$H$1946,7,FALSE),""))</f>
        <v/>
      </c>
    </row>
    <row r="918" spans="13:18" x14ac:dyDescent="0.3">
      <c r="M918" s="18" t="str">
        <f>IF($K918="","",IFERROR(VLOOKUP(--SUBSTITUTE(SUBSTITUTE(TRIM($K918),"-","")," ",""),마스터시트!$A$2:$H$1946,2,FALSE),"미등록"))</f>
        <v/>
      </c>
      <c r="N918" s="53" t="str">
        <f>IF($K918="","",IFERROR(VLOOKUP(--SUBSTITUTE(SUBSTITUTE(TRIM($K918),"-","")," ",""),마스터시트!$A$2:$H$1946,3,FALSE),"미등록"))</f>
        <v/>
      </c>
      <c r="O918" s="18" t="str">
        <f>IF($K918="","",IFERROR(VLOOKUP(--SUBSTITUTE(SUBSTITUTE(TRIM($K918),"-","")," ",""),마스터시트!$A$2:$H$1946,4,FALSE),""))</f>
        <v/>
      </c>
      <c r="P918" s="18" t="str">
        <f>IF($K918="","",IFERROR(VLOOKUP(--SUBSTITUTE(SUBSTITUTE(TRIM($K918),"-","")," ",""),마스터시트!$A$2:$H$1946,5,FALSE),""))</f>
        <v/>
      </c>
      <c r="Q918" s="18" t="str">
        <f>IF($K918="","",IFERROR(VLOOKUP(--SUBSTITUTE(SUBSTITUTE(TRIM($K918),"-","")," ",""),마스터시트!$A$2:$H$1946,6,FALSE),""))</f>
        <v/>
      </c>
      <c r="R918" s="18" t="str">
        <f>IF($K918="","",IFERROR(VLOOKUP(--SUBSTITUTE(SUBSTITUTE(TRIM($K918),"-","")," ",""),마스터시트!$A$2:$H$1946,7,FALSE),""))</f>
        <v/>
      </c>
    </row>
    <row r="919" spans="13:18" x14ac:dyDescent="0.3">
      <c r="M919" s="18" t="str">
        <f>IF($K919="","",IFERROR(VLOOKUP(--SUBSTITUTE(SUBSTITUTE(TRIM($K919),"-","")," ",""),마스터시트!$A$2:$H$1946,2,FALSE),"미등록"))</f>
        <v/>
      </c>
      <c r="N919" s="53" t="str">
        <f>IF($K919="","",IFERROR(VLOOKUP(--SUBSTITUTE(SUBSTITUTE(TRIM($K919),"-","")," ",""),마스터시트!$A$2:$H$1946,3,FALSE),"미등록"))</f>
        <v/>
      </c>
      <c r="O919" s="18" t="str">
        <f>IF($K919="","",IFERROR(VLOOKUP(--SUBSTITUTE(SUBSTITUTE(TRIM($K919),"-","")," ",""),마스터시트!$A$2:$H$1946,4,FALSE),""))</f>
        <v/>
      </c>
      <c r="P919" s="18" t="str">
        <f>IF($K919="","",IFERROR(VLOOKUP(--SUBSTITUTE(SUBSTITUTE(TRIM($K919),"-","")," ",""),마스터시트!$A$2:$H$1946,5,FALSE),""))</f>
        <v/>
      </c>
      <c r="Q919" s="18" t="str">
        <f>IF($K919="","",IFERROR(VLOOKUP(--SUBSTITUTE(SUBSTITUTE(TRIM($K919),"-","")," ",""),마스터시트!$A$2:$H$1946,6,FALSE),""))</f>
        <v/>
      </c>
      <c r="R919" s="18" t="str">
        <f>IF($K919="","",IFERROR(VLOOKUP(--SUBSTITUTE(SUBSTITUTE(TRIM($K919),"-","")," ",""),마스터시트!$A$2:$H$1946,7,FALSE),""))</f>
        <v/>
      </c>
    </row>
    <row r="920" spans="13:18" x14ac:dyDescent="0.3">
      <c r="M920" s="18" t="str">
        <f>IF($K920="","",IFERROR(VLOOKUP(--SUBSTITUTE(SUBSTITUTE(TRIM($K920),"-","")," ",""),마스터시트!$A$2:$H$1946,2,FALSE),"미등록"))</f>
        <v/>
      </c>
      <c r="N920" s="53" t="str">
        <f>IF($K920="","",IFERROR(VLOOKUP(--SUBSTITUTE(SUBSTITUTE(TRIM($K920),"-","")," ",""),마스터시트!$A$2:$H$1946,3,FALSE),"미등록"))</f>
        <v/>
      </c>
      <c r="O920" s="18" t="str">
        <f>IF($K920="","",IFERROR(VLOOKUP(--SUBSTITUTE(SUBSTITUTE(TRIM($K920),"-","")," ",""),마스터시트!$A$2:$H$1946,4,FALSE),""))</f>
        <v/>
      </c>
      <c r="P920" s="18" t="str">
        <f>IF($K920="","",IFERROR(VLOOKUP(--SUBSTITUTE(SUBSTITUTE(TRIM($K920),"-","")," ",""),마스터시트!$A$2:$H$1946,5,FALSE),""))</f>
        <v/>
      </c>
      <c r="Q920" s="18" t="str">
        <f>IF($K920="","",IFERROR(VLOOKUP(--SUBSTITUTE(SUBSTITUTE(TRIM($K920),"-","")," ",""),마스터시트!$A$2:$H$1946,6,FALSE),""))</f>
        <v/>
      </c>
      <c r="R920" s="18" t="str">
        <f>IF($K920="","",IFERROR(VLOOKUP(--SUBSTITUTE(SUBSTITUTE(TRIM($K920),"-","")," ",""),마스터시트!$A$2:$H$1946,7,FALSE),""))</f>
        <v/>
      </c>
    </row>
    <row r="921" spans="13:18" x14ac:dyDescent="0.3">
      <c r="M921" s="18" t="str">
        <f>IF($K921="","",IFERROR(VLOOKUP(--SUBSTITUTE(SUBSTITUTE(TRIM($K921),"-","")," ",""),마스터시트!$A$2:$H$1946,2,FALSE),"미등록"))</f>
        <v/>
      </c>
      <c r="N921" s="53" t="str">
        <f>IF($K921="","",IFERROR(VLOOKUP(--SUBSTITUTE(SUBSTITUTE(TRIM($K921),"-","")," ",""),마스터시트!$A$2:$H$1946,3,FALSE),"미등록"))</f>
        <v/>
      </c>
      <c r="O921" s="18" t="str">
        <f>IF($K921="","",IFERROR(VLOOKUP(--SUBSTITUTE(SUBSTITUTE(TRIM($K921),"-","")," ",""),마스터시트!$A$2:$H$1946,4,FALSE),""))</f>
        <v/>
      </c>
      <c r="P921" s="18" t="str">
        <f>IF($K921="","",IFERROR(VLOOKUP(--SUBSTITUTE(SUBSTITUTE(TRIM($K921),"-","")," ",""),마스터시트!$A$2:$H$1946,5,FALSE),""))</f>
        <v/>
      </c>
      <c r="Q921" s="18" t="str">
        <f>IF($K921="","",IFERROR(VLOOKUP(--SUBSTITUTE(SUBSTITUTE(TRIM($K921),"-","")," ",""),마스터시트!$A$2:$H$1946,6,FALSE),""))</f>
        <v/>
      </c>
      <c r="R921" s="18" t="str">
        <f>IF($K921="","",IFERROR(VLOOKUP(--SUBSTITUTE(SUBSTITUTE(TRIM($K921),"-","")," ",""),마스터시트!$A$2:$H$1946,7,FALSE),""))</f>
        <v/>
      </c>
    </row>
    <row r="922" spans="13:18" x14ac:dyDescent="0.3">
      <c r="M922" s="18" t="str">
        <f>IF($K922="","",IFERROR(VLOOKUP(--SUBSTITUTE(SUBSTITUTE(TRIM($K922),"-","")," ",""),마스터시트!$A$2:$H$1946,2,FALSE),"미등록"))</f>
        <v/>
      </c>
      <c r="N922" s="53" t="str">
        <f>IF($K922="","",IFERROR(VLOOKUP(--SUBSTITUTE(SUBSTITUTE(TRIM($K922),"-","")," ",""),마스터시트!$A$2:$H$1946,3,FALSE),"미등록"))</f>
        <v/>
      </c>
      <c r="O922" s="18" t="str">
        <f>IF($K922="","",IFERROR(VLOOKUP(--SUBSTITUTE(SUBSTITUTE(TRIM($K922),"-","")," ",""),마스터시트!$A$2:$H$1946,4,FALSE),""))</f>
        <v/>
      </c>
      <c r="P922" s="18" t="str">
        <f>IF($K922="","",IFERROR(VLOOKUP(--SUBSTITUTE(SUBSTITUTE(TRIM($K922),"-","")," ",""),마스터시트!$A$2:$H$1946,5,FALSE),""))</f>
        <v/>
      </c>
      <c r="Q922" s="18" t="str">
        <f>IF($K922="","",IFERROR(VLOOKUP(--SUBSTITUTE(SUBSTITUTE(TRIM($K922),"-","")," ",""),마스터시트!$A$2:$H$1946,6,FALSE),""))</f>
        <v/>
      </c>
      <c r="R922" s="18" t="str">
        <f>IF($K922="","",IFERROR(VLOOKUP(--SUBSTITUTE(SUBSTITUTE(TRIM($K922),"-","")," ",""),마스터시트!$A$2:$H$1946,7,FALSE),""))</f>
        <v/>
      </c>
    </row>
    <row r="923" spans="13:18" x14ac:dyDescent="0.3">
      <c r="M923" s="18" t="str">
        <f>IF($K923="","",IFERROR(VLOOKUP(--SUBSTITUTE(SUBSTITUTE(TRIM($K923),"-","")," ",""),마스터시트!$A$2:$H$1946,2,FALSE),"미등록"))</f>
        <v/>
      </c>
      <c r="N923" s="53" t="str">
        <f>IF($K923="","",IFERROR(VLOOKUP(--SUBSTITUTE(SUBSTITUTE(TRIM($K923),"-","")," ",""),마스터시트!$A$2:$H$1946,3,FALSE),"미등록"))</f>
        <v/>
      </c>
      <c r="O923" s="18" t="str">
        <f>IF($K923="","",IFERROR(VLOOKUP(--SUBSTITUTE(SUBSTITUTE(TRIM($K923),"-","")," ",""),마스터시트!$A$2:$H$1946,4,FALSE),""))</f>
        <v/>
      </c>
      <c r="P923" s="18" t="str">
        <f>IF($K923="","",IFERROR(VLOOKUP(--SUBSTITUTE(SUBSTITUTE(TRIM($K923),"-","")," ",""),마스터시트!$A$2:$H$1946,5,FALSE),""))</f>
        <v/>
      </c>
      <c r="Q923" s="18" t="str">
        <f>IF($K923="","",IFERROR(VLOOKUP(--SUBSTITUTE(SUBSTITUTE(TRIM($K923),"-","")," ",""),마스터시트!$A$2:$H$1946,6,FALSE),""))</f>
        <v/>
      </c>
      <c r="R923" s="18" t="str">
        <f>IF($K923="","",IFERROR(VLOOKUP(--SUBSTITUTE(SUBSTITUTE(TRIM($K923),"-","")," ",""),마스터시트!$A$2:$H$1946,7,FALSE),""))</f>
        <v/>
      </c>
    </row>
    <row r="924" spans="13:18" x14ac:dyDescent="0.3">
      <c r="M924" s="18" t="str">
        <f>IF($K924="","",IFERROR(VLOOKUP(--SUBSTITUTE(SUBSTITUTE(TRIM($K924),"-","")," ",""),마스터시트!$A$2:$H$1946,2,FALSE),"미등록"))</f>
        <v/>
      </c>
      <c r="N924" s="53" t="str">
        <f>IF($K924="","",IFERROR(VLOOKUP(--SUBSTITUTE(SUBSTITUTE(TRIM($K924),"-","")," ",""),마스터시트!$A$2:$H$1946,3,FALSE),"미등록"))</f>
        <v/>
      </c>
      <c r="O924" s="18" t="str">
        <f>IF($K924="","",IFERROR(VLOOKUP(--SUBSTITUTE(SUBSTITUTE(TRIM($K924),"-","")," ",""),마스터시트!$A$2:$H$1946,4,FALSE),""))</f>
        <v/>
      </c>
      <c r="P924" s="18" t="str">
        <f>IF($K924="","",IFERROR(VLOOKUP(--SUBSTITUTE(SUBSTITUTE(TRIM($K924),"-","")," ",""),마스터시트!$A$2:$H$1946,5,FALSE),""))</f>
        <v/>
      </c>
      <c r="Q924" s="18" t="str">
        <f>IF($K924="","",IFERROR(VLOOKUP(--SUBSTITUTE(SUBSTITUTE(TRIM($K924),"-","")," ",""),마스터시트!$A$2:$H$1946,6,FALSE),""))</f>
        <v/>
      </c>
      <c r="R924" s="18" t="str">
        <f>IF($K924="","",IFERROR(VLOOKUP(--SUBSTITUTE(SUBSTITUTE(TRIM($K924),"-","")," ",""),마스터시트!$A$2:$H$1946,7,FALSE),""))</f>
        <v/>
      </c>
    </row>
    <row r="925" spans="13:18" x14ac:dyDescent="0.3">
      <c r="M925" s="18" t="str">
        <f>IF($K925="","",IFERROR(VLOOKUP(--SUBSTITUTE(SUBSTITUTE(TRIM($K925),"-","")," ",""),마스터시트!$A$2:$H$1946,2,FALSE),"미등록"))</f>
        <v/>
      </c>
      <c r="N925" s="53" t="str">
        <f>IF($K925="","",IFERROR(VLOOKUP(--SUBSTITUTE(SUBSTITUTE(TRIM($K925),"-","")," ",""),마스터시트!$A$2:$H$1946,3,FALSE),"미등록"))</f>
        <v/>
      </c>
      <c r="O925" s="18" t="str">
        <f>IF($K925="","",IFERROR(VLOOKUP(--SUBSTITUTE(SUBSTITUTE(TRIM($K925),"-","")," ",""),마스터시트!$A$2:$H$1946,4,FALSE),""))</f>
        <v/>
      </c>
      <c r="P925" s="18" t="str">
        <f>IF($K925="","",IFERROR(VLOOKUP(--SUBSTITUTE(SUBSTITUTE(TRIM($K925),"-","")," ",""),마스터시트!$A$2:$H$1946,5,FALSE),""))</f>
        <v/>
      </c>
      <c r="Q925" s="18" t="str">
        <f>IF($K925="","",IFERROR(VLOOKUP(--SUBSTITUTE(SUBSTITUTE(TRIM($K925),"-","")," ",""),마스터시트!$A$2:$H$1946,6,FALSE),""))</f>
        <v/>
      </c>
      <c r="R925" s="18" t="str">
        <f>IF($K925="","",IFERROR(VLOOKUP(--SUBSTITUTE(SUBSTITUTE(TRIM($K925),"-","")," ",""),마스터시트!$A$2:$H$1946,7,FALSE),""))</f>
        <v/>
      </c>
    </row>
    <row r="926" spans="13:18" x14ac:dyDescent="0.3">
      <c r="M926" s="18" t="str">
        <f>IF($K926="","",IFERROR(VLOOKUP(--SUBSTITUTE(SUBSTITUTE(TRIM($K926),"-","")," ",""),마스터시트!$A$2:$H$1946,2,FALSE),"미등록"))</f>
        <v/>
      </c>
      <c r="N926" s="53" t="str">
        <f>IF($K926="","",IFERROR(VLOOKUP(--SUBSTITUTE(SUBSTITUTE(TRIM($K926),"-","")," ",""),마스터시트!$A$2:$H$1946,3,FALSE),"미등록"))</f>
        <v/>
      </c>
      <c r="O926" s="18" t="str">
        <f>IF($K926="","",IFERROR(VLOOKUP(--SUBSTITUTE(SUBSTITUTE(TRIM($K926),"-","")," ",""),마스터시트!$A$2:$H$1946,4,FALSE),""))</f>
        <v/>
      </c>
      <c r="P926" s="18" t="str">
        <f>IF($K926="","",IFERROR(VLOOKUP(--SUBSTITUTE(SUBSTITUTE(TRIM($K926),"-","")," ",""),마스터시트!$A$2:$H$1946,5,FALSE),""))</f>
        <v/>
      </c>
      <c r="Q926" s="18" t="str">
        <f>IF($K926="","",IFERROR(VLOOKUP(--SUBSTITUTE(SUBSTITUTE(TRIM($K926),"-","")," ",""),마스터시트!$A$2:$H$1946,6,FALSE),""))</f>
        <v/>
      </c>
      <c r="R926" s="18" t="str">
        <f>IF($K926="","",IFERROR(VLOOKUP(--SUBSTITUTE(SUBSTITUTE(TRIM($K926),"-","")," ",""),마스터시트!$A$2:$H$1946,7,FALSE),""))</f>
        <v/>
      </c>
    </row>
    <row r="927" spans="13:18" x14ac:dyDescent="0.3">
      <c r="M927" s="18" t="str">
        <f>IF($K927="","",IFERROR(VLOOKUP(--SUBSTITUTE(SUBSTITUTE(TRIM($K927),"-","")," ",""),마스터시트!$A$2:$H$1946,2,FALSE),"미등록"))</f>
        <v/>
      </c>
      <c r="N927" s="53" t="str">
        <f>IF($K927="","",IFERROR(VLOOKUP(--SUBSTITUTE(SUBSTITUTE(TRIM($K927),"-","")," ",""),마스터시트!$A$2:$H$1946,3,FALSE),"미등록"))</f>
        <v/>
      </c>
      <c r="O927" s="18" t="str">
        <f>IF($K927="","",IFERROR(VLOOKUP(--SUBSTITUTE(SUBSTITUTE(TRIM($K927),"-","")," ",""),마스터시트!$A$2:$H$1946,4,FALSE),""))</f>
        <v/>
      </c>
      <c r="P927" s="18" t="str">
        <f>IF($K927="","",IFERROR(VLOOKUP(--SUBSTITUTE(SUBSTITUTE(TRIM($K927),"-","")," ",""),마스터시트!$A$2:$H$1946,5,FALSE),""))</f>
        <v/>
      </c>
      <c r="Q927" s="18" t="str">
        <f>IF($K927="","",IFERROR(VLOOKUP(--SUBSTITUTE(SUBSTITUTE(TRIM($K927),"-","")," ",""),마스터시트!$A$2:$H$1946,6,FALSE),""))</f>
        <v/>
      </c>
      <c r="R927" s="18" t="str">
        <f>IF($K927="","",IFERROR(VLOOKUP(--SUBSTITUTE(SUBSTITUTE(TRIM($K927),"-","")," ",""),마스터시트!$A$2:$H$1946,7,FALSE),""))</f>
        <v/>
      </c>
    </row>
    <row r="928" spans="13:18" x14ac:dyDescent="0.3">
      <c r="M928" s="18" t="str">
        <f>IF($K928="","",IFERROR(VLOOKUP(--SUBSTITUTE(SUBSTITUTE(TRIM($K928),"-","")," ",""),마스터시트!$A$2:$H$1946,2,FALSE),"미등록"))</f>
        <v/>
      </c>
      <c r="N928" s="53" t="str">
        <f>IF($K928="","",IFERROR(VLOOKUP(--SUBSTITUTE(SUBSTITUTE(TRIM($K928),"-","")," ",""),마스터시트!$A$2:$H$1946,3,FALSE),"미등록"))</f>
        <v/>
      </c>
      <c r="O928" s="18" t="str">
        <f>IF($K928="","",IFERROR(VLOOKUP(--SUBSTITUTE(SUBSTITUTE(TRIM($K928),"-","")," ",""),마스터시트!$A$2:$H$1946,4,FALSE),""))</f>
        <v/>
      </c>
      <c r="P928" s="18" t="str">
        <f>IF($K928="","",IFERROR(VLOOKUP(--SUBSTITUTE(SUBSTITUTE(TRIM($K928),"-","")," ",""),마스터시트!$A$2:$H$1946,5,FALSE),""))</f>
        <v/>
      </c>
      <c r="Q928" s="18" t="str">
        <f>IF($K928="","",IFERROR(VLOOKUP(--SUBSTITUTE(SUBSTITUTE(TRIM($K928),"-","")," ",""),마스터시트!$A$2:$H$1946,6,FALSE),""))</f>
        <v/>
      </c>
      <c r="R928" s="18" t="str">
        <f>IF($K928="","",IFERROR(VLOOKUP(--SUBSTITUTE(SUBSTITUTE(TRIM($K928),"-","")," ",""),마스터시트!$A$2:$H$1946,7,FALSE),""))</f>
        <v/>
      </c>
    </row>
    <row r="929" spans="13:18" x14ac:dyDescent="0.3">
      <c r="M929" s="18" t="str">
        <f>IF($K929="","",IFERROR(VLOOKUP(--SUBSTITUTE(SUBSTITUTE(TRIM($K929),"-","")," ",""),마스터시트!$A$2:$H$1946,2,FALSE),"미등록"))</f>
        <v/>
      </c>
      <c r="N929" s="53" t="str">
        <f>IF($K929="","",IFERROR(VLOOKUP(--SUBSTITUTE(SUBSTITUTE(TRIM($K929),"-","")," ",""),마스터시트!$A$2:$H$1946,3,FALSE),"미등록"))</f>
        <v/>
      </c>
      <c r="O929" s="18" t="str">
        <f>IF($K929="","",IFERROR(VLOOKUP(--SUBSTITUTE(SUBSTITUTE(TRIM($K929),"-","")," ",""),마스터시트!$A$2:$H$1946,4,FALSE),""))</f>
        <v/>
      </c>
      <c r="P929" s="18" t="str">
        <f>IF($K929="","",IFERROR(VLOOKUP(--SUBSTITUTE(SUBSTITUTE(TRIM($K929),"-","")," ",""),마스터시트!$A$2:$H$1946,5,FALSE),""))</f>
        <v/>
      </c>
      <c r="Q929" s="18" t="str">
        <f>IF($K929="","",IFERROR(VLOOKUP(--SUBSTITUTE(SUBSTITUTE(TRIM($K929),"-","")," ",""),마스터시트!$A$2:$H$1946,6,FALSE),""))</f>
        <v/>
      </c>
      <c r="R929" s="18" t="str">
        <f>IF($K929="","",IFERROR(VLOOKUP(--SUBSTITUTE(SUBSTITUTE(TRIM($K929),"-","")," ",""),마스터시트!$A$2:$H$1946,7,FALSE),""))</f>
        <v/>
      </c>
    </row>
    <row r="930" spans="13:18" x14ac:dyDescent="0.3">
      <c r="M930" s="18" t="str">
        <f>IF($K930="","",IFERROR(VLOOKUP(--SUBSTITUTE(SUBSTITUTE(TRIM($K930),"-","")," ",""),마스터시트!$A$2:$H$1946,2,FALSE),"미등록"))</f>
        <v/>
      </c>
      <c r="N930" s="53" t="str">
        <f>IF($K930="","",IFERROR(VLOOKUP(--SUBSTITUTE(SUBSTITUTE(TRIM($K930),"-","")," ",""),마스터시트!$A$2:$H$1946,3,FALSE),"미등록"))</f>
        <v/>
      </c>
      <c r="O930" s="18" t="str">
        <f>IF($K930="","",IFERROR(VLOOKUP(--SUBSTITUTE(SUBSTITUTE(TRIM($K930),"-","")," ",""),마스터시트!$A$2:$H$1946,4,FALSE),""))</f>
        <v/>
      </c>
      <c r="P930" s="18" t="str">
        <f>IF($K930="","",IFERROR(VLOOKUP(--SUBSTITUTE(SUBSTITUTE(TRIM($K930),"-","")," ",""),마스터시트!$A$2:$H$1946,5,FALSE),""))</f>
        <v/>
      </c>
      <c r="Q930" s="18" t="str">
        <f>IF($K930="","",IFERROR(VLOOKUP(--SUBSTITUTE(SUBSTITUTE(TRIM($K930),"-","")," ",""),마스터시트!$A$2:$H$1946,6,FALSE),""))</f>
        <v/>
      </c>
      <c r="R930" s="18" t="str">
        <f>IF($K930="","",IFERROR(VLOOKUP(--SUBSTITUTE(SUBSTITUTE(TRIM($K930),"-","")," ",""),마스터시트!$A$2:$H$1946,7,FALSE),""))</f>
        <v/>
      </c>
    </row>
    <row r="931" spans="13:18" x14ac:dyDescent="0.3">
      <c r="M931" s="18" t="str">
        <f>IF($K931="","",IFERROR(VLOOKUP(--SUBSTITUTE(SUBSTITUTE(TRIM($K931),"-","")," ",""),마스터시트!$A$2:$H$1946,2,FALSE),"미등록"))</f>
        <v/>
      </c>
      <c r="N931" s="53" t="str">
        <f>IF($K931="","",IFERROR(VLOOKUP(--SUBSTITUTE(SUBSTITUTE(TRIM($K931),"-","")," ",""),마스터시트!$A$2:$H$1946,3,FALSE),"미등록"))</f>
        <v/>
      </c>
      <c r="O931" s="18" t="str">
        <f>IF($K931="","",IFERROR(VLOOKUP(--SUBSTITUTE(SUBSTITUTE(TRIM($K931),"-","")," ",""),마스터시트!$A$2:$H$1946,4,FALSE),""))</f>
        <v/>
      </c>
      <c r="P931" s="18" t="str">
        <f>IF($K931="","",IFERROR(VLOOKUP(--SUBSTITUTE(SUBSTITUTE(TRIM($K931),"-","")," ",""),마스터시트!$A$2:$H$1946,5,FALSE),""))</f>
        <v/>
      </c>
      <c r="Q931" s="18" t="str">
        <f>IF($K931="","",IFERROR(VLOOKUP(--SUBSTITUTE(SUBSTITUTE(TRIM($K931),"-","")," ",""),마스터시트!$A$2:$H$1946,6,FALSE),""))</f>
        <v/>
      </c>
      <c r="R931" s="18" t="str">
        <f>IF($K931="","",IFERROR(VLOOKUP(--SUBSTITUTE(SUBSTITUTE(TRIM($K931),"-","")," ",""),마스터시트!$A$2:$H$1946,7,FALSE),""))</f>
        <v/>
      </c>
    </row>
    <row r="932" spans="13:18" x14ac:dyDescent="0.3">
      <c r="M932" s="18" t="str">
        <f>IF($K932="","",IFERROR(VLOOKUP(--SUBSTITUTE(SUBSTITUTE(TRIM($K932),"-","")," ",""),마스터시트!$A$2:$H$1946,2,FALSE),"미등록"))</f>
        <v/>
      </c>
      <c r="N932" s="53" t="str">
        <f>IF($K932="","",IFERROR(VLOOKUP(--SUBSTITUTE(SUBSTITUTE(TRIM($K932),"-","")," ",""),마스터시트!$A$2:$H$1946,3,FALSE),"미등록"))</f>
        <v/>
      </c>
      <c r="O932" s="18" t="str">
        <f>IF($K932="","",IFERROR(VLOOKUP(--SUBSTITUTE(SUBSTITUTE(TRIM($K932),"-","")," ",""),마스터시트!$A$2:$H$1946,4,FALSE),""))</f>
        <v/>
      </c>
      <c r="P932" s="18" t="str">
        <f>IF($K932="","",IFERROR(VLOOKUP(--SUBSTITUTE(SUBSTITUTE(TRIM($K932),"-","")," ",""),마스터시트!$A$2:$H$1946,5,FALSE),""))</f>
        <v/>
      </c>
      <c r="Q932" s="18" t="str">
        <f>IF($K932="","",IFERROR(VLOOKUP(--SUBSTITUTE(SUBSTITUTE(TRIM($K932),"-","")," ",""),마스터시트!$A$2:$H$1946,6,FALSE),""))</f>
        <v/>
      </c>
      <c r="R932" s="18" t="str">
        <f>IF($K932="","",IFERROR(VLOOKUP(--SUBSTITUTE(SUBSTITUTE(TRIM($K932),"-","")," ",""),마스터시트!$A$2:$H$1946,7,FALSE),""))</f>
        <v/>
      </c>
    </row>
    <row r="933" spans="13:18" x14ac:dyDescent="0.3">
      <c r="M933" s="18" t="str">
        <f>IF($K933="","",IFERROR(VLOOKUP(--SUBSTITUTE(SUBSTITUTE(TRIM($K933),"-","")," ",""),마스터시트!$A$2:$H$1946,2,FALSE),"미등록"))</f>
        <v/>
      </c>
      <c r="N933" s="53" t="str">
        <f>IF($K933="","",IFERROR(VLOOKUP(--SUBSTITUTE(SUBSTITUTE(TRIM($K933),"-","")," ",""),마스터시트!$A$2:$H$1946,3,FALSE),"미등록"))</f>
        <v/>
      </c>
      <c r="O933" s="18" t="str">
        <f>IF($K933="","",IFERROR(VLOOKUP(--SUBSTITUTE(SUBSTITUTE(TRIM($K933),"-","")," ",""),마스터시트!$A$2:$H$1946,4,FALSE),""))</f>
        <v/>
      </c>
      <c r="P933" s="18" t="str">
        <f>IF($K933="","",IFERROR(VLOOKUP(--SUBSTITUTE(SUBSTITUTE(TRIM($K933),"-","")," ",""),마스터시트!$A$2:$H$1946,5,FALSE),""))</f>
        <v/>
      </c>
      <c r="Q933" s="18" t="str">
        <f>IF($K933="","",IFERROR(VLOOKUP(--SUBSTITUTE(SUBSTITUTE(TRIM($K933),"-","")," ",""),마스터시트!$A$2:$H$1946,6,FALSE),""))</f>
        <v/>
      </c>
      <c r="R933" s="18" t="str">
        <f>IF($K933="","",IFERROR(VLOOKUP(--SUBSTITUTE(SUBSTITUTE(TRIM($K933),"-","")," ",""),마스터시트!$A$2:$H$1946,7,FALSE),""))</f>
        <v/>
      </c>
    </row>
    <row r="934" spans="13:18" x14ac:dyDescent="0.3">
      <c r="M934" s="18" t="str">
        <f>IF($K934="","",IFERROR(VLOOKUP(--SUBSTITUTE(SUBSTITUTE(TRIM($K934),"-","")," ",""),마스터시트!$A$2:$H$1946,2,FALSE),"미등록"))</f>
        <v/>
      </c>
      <c r="N934" s="53" t="str">
        <f>IF($K934="","",IFERROR(VLOOKUP(--SUBSTITUTE(SUBSTITUTE(TRIM($K934),"-","")," ",""),마스터시트!$A$2:$H$1946,3,FALSE),"미등록"))</f>
        <v/>
      </c>
      <c r="O934" s="18" t="str">
        <f>IF($K934="","",IFERROR(VLOOKUP(--SUBSTITUTE(SUBSTITUTE(TRIM($K934),"-","")," ",""),마스터시트!$A$2:$H$1946,4,FALSE),""))</f>
        <v/>
      </c>
      <c r="P934" s="18" t="str">
        <f>IF($K934="","",IFERROR(VLOOKUP(--SUBSTITUTE(SUBSTITUTE(TRIM($K934),"-","")," ",""),마스터시트!$A$2:$H$1946,5,FALSE),""))</f>
        <v/>
      </c>
      <c r="Q934" s="18" t="str">
        <f>IF($K934="","",IFERROR(VLOOKUP(--SUBSTITUTE(SUBSTITUTE(TRIM($K934),"-","")," ",""),마스터시트!$A$2:$H$1946,6,FALSE),""))</f>
        <v/>
      </c>
      <c r="R934" s="18" t="str">
        <f>IF($K934="","",IFERROR(VLOOKUP(--SUBSTITUTE(SUBSTITUTE(TRIM($K934),"-","")," ",""),마스터시트!$A$2:$H$1946,7,FALSE),""))</f>
        <v/>
      </c>
    </row>
    <row r="935" spans="13:18" x14ac:dyDescent="0.3">
      <c r="M935" s="18" t="str">
        <f>IF($K935="","",IFERROR(VLOOKUP(--SUBSTITUTE(SUBSTITUTE(TRIM($K935),"-","")," ",""),마스터시트!$A$2:$H$1946,2,FALSE),"미등록"))</f>
        <v/>
      </c>
      <c r="N935" s="53" t="str">
        <f>IF($K935="","",IFERROR(VLOOKUP(--SUBSTITUTE(SUBSTITUTE(TRIM($K935),"-","")," ",""),마스터시트!$A$2:$H$1946,3,FALSE),"미등록"))</f>
        <v/>
      </c>
      <c r="O935" s="18" t="str">
        <f>IF($K935="","",IFERROR(VLOOKUP(--SUBSTITUTE(SUBSTITUTE(TRIM($K935),"-","")," ",""),마스터시트!$A$2:$H$1946,4,FALSE),""))</f>
        <v/>
      </c>
      <c r="P935" s="18" t="str">
        <f>IF($K935="","",IFERROR(VLOOKUP(--SUBSTITUTE(SUBSTITUTE(TRIM($K935),"-","")," ",""),마스터시트!$A$2:$H$1946,5,FALSE),""))</f>
        <v/>
      </c>
      <c r="Q935" s="18" t="str">
        <f>IF($K935="","",IFERROR(VLOOKUP(--SUBSTITUTE(SUBSTITUTE(TRIM($K935),"-","")," ",""),마스터시트!$A$2:$H$1946,6,FALSE),""))</f>
        <v/>
      </c>
      <c r="R935" s="18" t="str">
        <f>IF($K935="","",IFERROR(VLOOKUP(--SUBSTITUTE(SUBSTITUTE(TRIM($K935),"-","")," ",""),마스터시트!$A$2:$H$1946,7,FALSE),""))</f>
        <v/>
      </c>
    </row>
    <row r="936" spans="13:18" x14ac:dyDescent="0.3">
      <c r="M936" s="18" t="str">
        <f>IF($K936="","",IFERROR(VLOOKUP(--SUBSTITUTE(SUBSTITUTE(TRIM($K936),"-","")," ",""),마스터시트!$A$2:$H$1946,2,FALSE),"미등록"))</f>
        <v/>
      </c>
      <c r="N936" s="53" t="str">
        <f>IF($K936="","",IFERROR(VLOOKUP(--SUBSTITUTE(SUBSTITUTE(TRIM($K936),"-","")," ",""),마스터시트!$A$2:$H$1946,3,FALSE),"미등록"))</f>
        <v/>
      </c>
      <c r="O936" s="18" t="str">
        <f>IF($K936="","",IFERROR(VLOOKUP(--SUBSTITUTE(SUBSTITUTE(TRIM($K936),"-","")," ",""),마스터시트!$A$2:$H$1946,4,FALSE),""))</f>
        <v/>
      </c>
      <c r="P936" s="18" t="str">
        <f>IF($K936="","",IFERROR(VLOOKUP(--SUBSTITUTE(SUBSTITUTE(TRIM($K936),"-","")," ",""),마스터시트!$A$2:$H$1946,5,FALSE),""))</f>
        <v/>
      </c>
      <c r="Q936" s="18" t="str">
        <f>IF($K936="","",IFERROR(VLOOKUP(--SUBSTITUTE(SUBSTITUTE(TRIM($K936),"-","")," ",""),마스터시트!$A$2:$H$1946,6,FALSE),""))</f>
        <v/>
      </c>
      <c r="R936" s="18" t="str">
        <f>IF($K936="","",IFERROR(VLOOKUP(--SUBSTITUTE(SUBSTITUTE(TRIM($K936),"-","")," ",""),마스터시트!$A$2:$H$1946,7,FALSE),""))</f>
        <v/>
      </c>
    </row>
    <row r="937" spans="13:18" x14ac:dyDescent="0.3">
      <c r="M937" s="18" t="str">
        <f>IF($K937="","",IFERROR(VLOOKUP(--SUBSTITUTE(SUBSTITUTE(TRIM($K937),"-","")," ",""),마스터시트!$A$2:$H$1946,2,FALSE),"미등록"))</f>
        <v/>
      </c>
      <c r="N937" s="53" t="str">
        <f>IF($K937="","",IFERROR(VLOOKUP(--SUBSTITUTE(SUBSTITUTE(TRIM($K937),"-","")," ",""),마스터시트!$A$2:$H$1946,3,FALSE),"미등록"))</f>
        <v/>
      </c>
      <c r="O937" s="18" t="str">
        <f>IF($K937="","",IFERROR(VLOOKUP(--SUBSTITUTE(SUBSTITUTE(TRIM($K937),"-","")," ",""),마스터시트!$A$2:$H$1946,4,FALSE),""))</f>
        <v/>
      </c>
      <c r="P937" s="18" t="str">
        <f>IF($K937="","",IFERROR(VLOOKUP(--SUBSTITUTE(SUBSTITUTE(TRIM($K937),"-","")," ",""),마스터시트!$A$2:$H$1946,5,FALSE),""))</f>
        <v/>
      </c>
      <c r="Q937" s="18" t="str">
        <f>IF($K937="","",IFERROR(VLOOKUP(--SUBSTITUTE(SUBSTITUTE(TRIM($K937),"-","")," ",""),마스터시트!$A$2:$H$1946,6,FALSE),""))</f>
        <v/>
      </c>
      <c r="R937" s="18" t="str">
        <f>IF($K937="","",IFERROR(VLOOKUP(--SUBSTITUTE(SUBSTITUTE(TRIM($K937),"-","")," ",""),마스터시트!$A$2:$H$1946,7,FALSE),""))</f>
        <v/>
      </c>
    </row>
    <row r="938" spans="13:18" x14ac:dyDescent="0.3">
      <c r="M938" s="18" t="str">
        <f>IF($K938="","",IFERROR(VLOOKUP(--SUBSTITUTE(SUBSTITUTE(TRIM($K938),"-","")," ",""),마스터시트!$A$2:$H$1946,2,FALSE),"미등록"))</f>
        <v/>
      </c>
      <c r="N938" s="53" t="str">
        <f>IF($K938="","",IFERROR(VLOOKUP(--SUBSTITUTE(SUBSTITUTE(TRIM($K938),"-","")," ",""),마스터시트!$A$2:$H$1946,3,FALSE),"미등록"))</f>
        <v/>
      </c>
      <c r="O938" s="18" t="str">
        <f>IF($K938="","",IFERROR(VLOOKUP(--SUBSTITUTE(SUBSTITUTE(TRIM($K938),"-","")," ",""),마스터시트!$A$2:$H$1946,4,FALSE),""))</f>
        <v/>
      </c>
      <c r="P938" s="18" t="str">
        <f>IF($K938="","",IFERROR(VLOOKUP(--SUBSTITUTE(SUBSTITUTE(TRIM($K938),"-","")," ",""),마스터시트!$A$2:$H$1946,5,FALSE),""))</f>
        <v/>
      </c>
      <c r="Q938" s="18" t="str">
        <f>IF($K938="","",IFERROR(VLOOKUP(--SUBSTITUTE(SUBSTITUTE(TRIM($K938),"-","")," ",""),마스터시트!$A$2:$H$1946,6,FALSE),""))</f>
        <v/>
      </c>
      <c r="R938" s="18" t="str">
        <f>IF($K938="","",IFERROR(VLOOKUP(--SUBSTITUTE(SUBSTITUTE(TRIM($K938),"-","")," ",""),마스터시트!$A$2:$H$1946,7,FALSE),""))</f>
        <v/>
      </c>
    </row>
    <row r="939" spans="13:18" x14ac:dyDescent="0.3">
      <c r="M939" s="18" t="str">
        <f>IF($K939="","",IFERROR(VLOOKUP(--SUBSTITUTE(SUBSTITUTE(TRIM($K939),"-","")," ",""),마스터시트!$A$2:$H$1946,2,FALSE),"미등록"))</f>
        <v/>
      </c>
      <c r="N939" s="53" t="str">
        <f>IF($K939="","",IFERROR(VLOOKUP(--SUBSTITUTE(SUBSTITUTE(TRIM($K939),"-","")," ",""),마스터시트!$A$2:$H$1946,3,FALSE),"미등록"))</f>
        <v/>
      </c>
      <c r="O939" s="18" t="str">
        <f>IF($K939="","",IFERROR(VLOOKUP(--SUBSTITUTE(SUBSTITUTE(TRIM($K939),"-","")," ",""),마스터시트!$A$2:$H$1946,4,FALSE),""))</f>
        <v/>
      </c>
      <c r="P939" s="18" t="str">
        <f>IF($K939="","",IFERROR(VLOOKUP(--SUBSTITUTE(SUBSTITUTE(TRIM($K939),"-","")," ",""),마스터시트!$A$2:$H$1946,5,FALSE),""))</f>
        <v/>
      </c>
      <c r="Q939" s="18" t="str">
        <f>IF($K939="","",IFERROR(VLOOKUP(--SUBSTITUTE(SUBSTITUTE(TRIM($K939),"-","")," ",""),마스터시트!$A$2:$H$1946,6,FALSE),""))</f>
        <v/>
      </c>
      <c r="R939" s="18" t="str">
        <f>IF($K939="","",IFERROR(VLOOKUP(--SUBSTITUTE(SUBSTITUTE(TRIM($K939),"-","")," ",""),마스터시트!$A$2:$H$1946,7,FALSE),""))</f>
        <v/>
      </c>
    </row>
    <row r="940" spans="13:18" x14ac:dyDescent="0.3">
      <c r="M940" s="18" t="str">
        <f>IF($K940="","",IFERROR(VLOOKUP(--SUBSTITUTE(SUBSTITUTE(TRIM($K940),"-","")," ",""),마스터시트!$A$2:$H$1946,2,FALSE),"미등록"))</f>
        <v/>
      </c>
      <c r="N940" s="53" t="str">
        <f>IF($K940="","",IFERROR(VLOOKUP(--SUBSTITUTE(SUBSTITUTE(TRIM($K940),"-","")," ",""),마스터시트!$A$2:$H$1946,3,FALSE),"미등록"))</f>
        <v/>
      </c>
      <c r="O940" s="18" t="str">
        <f>IF($K940="","",IFERROR(VLOOKUP(--SUBSTITUTE(SUBSTITUTE(TRIM($K940),"-","")," ",""),마스터시트!$A$2:$H$1946,4,FALSE),""))</f>
        <v/>
      </c>
      <c r="P940" s="18" t="str">
        <f>IF($K940="","",IFERROR(VLOOKUP(--SUBSTITUTE(SUBSTITUTE(TRIM($K940),"-","")," ",""),마스터시트!$A$2:$H$1946,5,FALSE),""))</f>
        <v/>
      </c>
      <c r="Q940" s="18" t="str">
        <f>IF($K940="","",IFERROR(VLOOKUP(--SUBSTITUTE(SUBSTITUTE(TRIM($K940),"-","")," ",""),마스터시트!$A$2:$H$1946,6,FALSE),""))</f>
        <v/>
      </c>
      <c r="R940" s="18" t="str">
        <f>IF($K940="","",IFERROR(VLOOKUP(--SUBSTITUTE(SUBSTITUTE(TRIM($K940),"-","")," ",""),마스터시트!$A$2:$H$1946,7,FALSE),""))</f>
        <v/>
      </c>
    </row>
    <row r="941" spans="13:18" x14ac:dyDescent="0.3">
      <c r="M941" s="18" t="str">
        <f>IF($K941="","",IFERROR(VLOOKUP(--SUBSTITUTE(SUBSTITUTE(TRIM($K941),"-","")," ",""),마스터시트!$A$2:$H$1946,2,FALSE),"미등록"))</f>
        <v/>
      </c>
      <c r="N941" s="53" t="str">
        <f>IF($K941="","",IFERROR(VLOOKUP(--SUBSTITUTE(SUBSTITUTE(TRIM($K941),"-","")," ",""),마스터시트!$A$2:$H$1946,3,FALSE),"미등록"))</f>
        <v/>
      </c>
      <c r="O941" s="18" t="str">
        <f>IF($K941="","",IFERROR(VLOOKUP(--SUBSTITUTE(SUBSTITUTE(TRIM($K941),"-","")," ",""),마스터시트!$A$2:$H$1946,4,FALSE),""))</f>
        <v/>
      </c>
      <c r="P941" s="18" t="str">
        <f>IF($K941="","",IFERROR(VLOOKUP(--SUBSTITUTE(SUBSTITUTE(TRIM($K941),"-","")," ",""),마스터시트!$A$2:$H$1946,5,FALSE),""))</f>
        <v/>
      </c>
      <c r="Q941" s="18" t="str">
        <f>IF($K941="","",IFERROR(VLOOKUP(--SUBSTITUTE(SUBSTITUTE(TRIM($K941),"-","")," ",""),마스터시트!$A$2:$H$1946,6,FALSE),""))</f>
        <v/>
      </c>
      <c r="R941" s="18" t="str">
        <f>IF($K941="","",IFERROR(VLOOKUP(--SUBSTITUTE(SUBSTITUTE(TRIM($K941),"-","")," ",""),마스터시트!$A$2:$H$1946,7,FALSE),""))</f>
        <v/>
      </c>
    </row>
    <row r="942" spans="13:18" x14ac:dyDescent="0.3">
      <c r="M942" s="18" t="str">
        <f>IF($K942="","",IFERROR(VLOOKUP(--SUBSTITUTE(SUBSTITUTE(TRIM($K942),"-","")," ",""),마스터시트!$A$2:$H$1946,2,FALSE),"미등록"))</f>
        <v/>
      </c>
      <c r="N942" s="53" t="str">
        <f>IF($K942="","",IFERROR(VLOOKUP(--SUBSTITUTE(SUBSTITUTE(TRIM($K942),"-","")," ",""),마스터시트!$A$2:$H$1946,3,FALSE),"미등록"))</f>
        <v/>
      </c>
      <c r="O942" s="18" t="str">
        <f>IF($K942="","",IFERROR(VLOOKUP(--SUBSTITUTE(SUBSTITUTE(TRIM($K942),"-","")," ",""),마스터시트!$A$2:$H$1946,4,FALSE),""))</f>
        <v/>
      </c>
      <c r="P942" s="18" t="str">
        <f>IF($K942="","",IFERROR(VLOOKUP(--SUBSTITUTE(SUBSTITUTE(TRIM($K942),"-","")," ",""),마스터시트!$A$2:$H$1946,5,FALSE),""))</f>
        <v/>
      </c>
      <c r="Q942" s="18" t="str">
        <f>IF($K942="","",IFERROR(VLOOKUP(--SUBSTITUTE(SUBSTITUTE(TRIM($K942),"-","")," ",""),마스터시트!$A$2:$H$1946,6,FALSE),""))</f>
        <v/>
      </c>
      <c r="R942" s="18" t="str">
        <f>IF($K942="","",IFERROR(VLOOKUP(--SUBSTITUTE(SUBSTITUTE(TRIM($K942),"-","")," ",""),마스터시트!$A$2:$H$1946,7,FALSE),""))</f>
        <v/>
      </c>
    </row>
    <row r="943" spans="13:18" x14ac:dyDescent="0.3">
      <c r="M943" s="18" t="str">
        <f>IF($K943="","",IFERROR(VLOOKUP(--SUBSTITUTE(SUBSTITUTE(TRIM($K943),"-","")," ",""),마스터시트!$A$2:$H$1946,2,FALSE),"미등록"))</f>
        <v/>
      </c>
      <c r="N943" s="53" t="str">
        <f>IF($K943="","",IFERROR(VLOOKUP(--SUBSTITUTE(SUBSTITUTE(TRIM($K943),"-","")," ",""),마스터시트!$A$2:$H$1946,3,FALSE),"미등록"))</f>
        <v/>
      </c>
      <c r="O943" s="18" t="str">
        <f>IF($K943="","",IFERROR(VLOOKUP(--SUBSTITUTE(SUBSTITUTE(TRIM($K943),"-","")," ",""),마스터시트!$A$2:$H$1946,4,FALSE),""))</f>
        <v/>
      </c>
      <c r="P943" s="18" t="str">
        <f>IF($K943="","",IFERROR(VLOOKUP(--SUBSTITUTE(SUBSTITUTE(TRIM($K943),"-","")," ",""),마스터시트!$A$2:$H$1946,5,FALSE),""))</f>
        <v/>
      </c>
      <c r="Q943" s="18" t="str">
        <f>IF($K943="","",IFERROR(VLOOKUP(--SUBSTITUTE(SUBSTITUTE(TRIM($K943),"-","")," ",""),마스터시트!$A$2:$H$1946,6,FALSE),""))</f>
        <v/>
      </c>
      <c r="R943" s="18" t="str">
        <f>IF($K943="","",IFERROR(VLOOKUP(--SUBSTITUTE(SUBSTITUTE(TRIM($K943),"-","")," ",""),마스터시트!$A$2:$H$1946,7,FALSE),""))</f>
        <v/>
      </c>
    </row>
    <row r="944" spans="13:18" x14ac:dyDescent="0.3">
      <c r="M944" s="18" t="str">
        <f>IF($K944="","",IFERROR(VLOOKUP(--SUBSTITUTE(SUBSTITUTE(TRIM($K944),"-","")," ",""),마스터시트!$A$2:$H$1946,2,FALSE),"미등록"))</f>
        <v/>
      </c>
      <c r="N944" s="53" t="str">
        <f>IF($K944="","",IFERROR(VLOOKUP(--SUBSTITUTE(SUBSTITUTE(TRIM($K944),"-","")," ",""),마스터시트!$A$2:$H$1946,3,FALSE),"미등록"))</f>
        <v/>
      </c>
      <c r="O944" s="18" t="str">
        <f>IF($K944="","",IFERROR(VLOOKUP(--SUBSTITUTE(SUBSTITUTE(TRIM($K944),"-","")," ",""),마스터시트!$A$2:$H$1946,4,FALSE),""))</f>
        <v/>
      </c>
      <c r="P944" s="18" t="str">
        <f>IF($K944="","",IFERROR(VLOOKUP(--SUBSTITUTE(SUBSTITUTE(TRIM($K944),"-","")," ",""),마스터시트!$A$2:$H$1946,5,FALSE),""))</f>
        <v/>
      </c>
      <c r="Q944" s="18" t="str">
        <f>IF($K944="","",IFERROR(VLOOKUP(--SUBSTITUTE(SUBSTITUTE(TRIM($K944),"-","")," ",""),마스터시트!$A$2:$H$1946,6,FALSE),""))</f>
        <v/>
      </c>
      <c r="R944" s="18" t="str">
        <f>IF($K944="","",IFERROR(VLOOKUP(--SUBSTITUTE(SUBSTITUTE(TRIM($K944),"-","")," ",""),마스터시트!$A$2:$H$1946,7,FALSE),""))</f>
        <v/>
      </c>
    </row>
    <row r="945" spans="13:18" x14ac:dyDescent="0.3">
      <c r="M945" s="18" t="str">
        <f>IF($K945="","",IFERROR(VLOOKUP(--SUBSTITUTE(SUBSTITUTE(TRIM($K945),"-","")," ",""),마스터시트!$A$2:$H$1946,2,FALSE),"미등록"))</f>
        <v/>
      </c>
      <c r="N945" s="53" t="str">
        <f>IF($K945="","",IFERROR(VLOOKUP(--SUBSTITUTE(SUBSTITUTE(TRIM($K945),"-","")," ",""),마스터시트!$A$2:$H$1946,3,FALSE),"미등록"))</f>
        <v/>
      </c>
      <c r="O945" s="18" t="str">
        <f>IF($K945="","",IFERROR(VLOOKUP(--SUBSTITUTE(SUBSTITUTE(TRIM($K945),"-","")," ",""),마스터시트!$A$2:$H$1946,4,FALSE),""))</f>
        <v/>
      </c>
      <c r="P945" s="18" t="str">
        <f>IF($K945="","",IFERROR(VLOOKUP(--SUBSTITUTE(SUBSTITUTE(TRIM($K945),"-","")," ",""),마스터시트!$A$2:$H$1946,5,FALSE),""))</f>
        <v/>
      </c>
      <c r="Q945" s="18" t="str">
        <f>IF($K945="","",IFERROR(VLOOKUP(--SUBSTITUTE(SUBSTITUTE(TRIM($K945),"-","")," ",""),마스터시트!$A$2:$H$1946,6,FALSE),""))</f>
        <v/>
      </c>
      <c r="R945" s="18" t="str">
        <f>IF($K945="","",IFERROR(VLOOKUP(--SUBSTITUTE(SUBSTITUTE(TRIM($K945),"-","")," ",""),마스터시트!$A$2:$H$1946,7,FALSE),""))</f>
        <v/>
      </c>
    </row>
    <row r="946" spans="13:18" x14ac:dyDescent="0.3">
      <c r="M946" s="18" t="str">
        <f>IF($K946="","",IFERROR(VLOOKUP(--SUBSTITUTE(SUBSTITUTE(TRIM($K946),"-","")," ",""),마스터시트!$A$2:$H$1946,2,FALSE),"미등록"))</f>
        <v/>
      </c>
      <c r="N946" s="53" t="str">
        <f>IF($K946="","",IFERROR(VLOOKUP(--SUBSTITUTE(SUBSTITUTE(TRIM($K946),"-","")," ",""),마스터시트!$A$2:$H$1946,3,FALSE),"미등록"))</f>
        <v/>
      </c>
      <c r="O946" s="18" t="str">
        <f>IF($K946="","",IFERROR(VLOOKUP(--SUBSTITUTE(SUBSTITUTE(TRIM($K946),"-","")," ",""),마스터시트!$A$2:$H$1946,4,FALSE),""))</f>
        <v/>
      </c>
      <c r="P946" s="18" t="str">
        <f>IF($K946="","",IFERROR(VLOOKUP(--SUBSTITUTE(SUBSTITUTE(TRIM($K946),"-","")," ",""),마스터시트!$A$2:$H$1946,5,FALSE),""))</f>
        <v/>
      </c>
      <c r="Q946" s="18" t="str">
        <f>IF($K946="","",IFERROR(VLOOKUP(--SUBSTITUTE(SUBSTITUTE(TRIM($K946),"-","")," ",""),마스터시트!$A$2:$H$1946,6,FALSE),""))</f>
        <v/>
      </c>
      <c r="R946" s="18" t="str">
        <f>IF($K946="","",IFERROR(VLOOKUP(--SUBSTITUTE(SUBSTITUTE(TRIM($K946),"-","")," ",""),마스터시트!$A$2:$H$1946,7,FALSE),""))</f>
        <v/>
      </c>
    </row>
    <row r="947" spans="13:18" x14ac:dyDescent="0.3">
      <c r="M947" s="18" t="str">
        <f>IF($K947="","",IFERROR(VLOOKUP(--SUBSTITUTE(SUBSTITUTE(TRIM($K947),"-","")," ",""),마스터시트!$A$2:$H$1946,2,FALSE),"미등록"))</f>
        <v/>
      </c>
      <c r="N947" s="53" t="str">
        <f>IF($K947="","",IFERROR(VLOOKUP(--SUBSTITUTE(SUBSTITUTE(TRIM($K947),"-","")," ",""),마스터시트!$A$2:$H$1946,3,FALSE),"미등록"))</f>
        <v/>
      </c>
      <c r="O947" s="18" t="str">
        <f>IF($K947="","",IFERROR(VLOOKUP(--SUBSTITUTE(SUBSTITUTE(TRIM($K947),"-","")," ",""),마스터시트!$A$2:$H$1946,4,FALSE),""))</f>
        <v/>
      </c>
      <c r="P947" s="18" t="str">
        <f>IF($K947="","",IFERROR(VLOOKUP(--SUBSTITUTE(SUBSTITUTE(TRIM($K947),"-","")," ",""),마스터시트!$A$2:$H$1946,5,FALSE),""))</f>
        <v/>
      </c>
      <c r="Q947" s="18" t="str">
        <f>IF($K947="","",IFERROR(VLOOKUP(--SUBSTITUTE(SUBSTITUTE(TRIM($K947),"-","")," ",""),마스터시트!$A$2:$H$1946,6,FALSE),""))</f>
        <v/>
      </c>
      <c r="R947" s="18" t="str">
        <f>IF($K947="","",IFERROR(VLOOKUP(--SUBSTITUTE(SUBSTITUTE(TRIM($K947),"-","")," ",""),마스터시트!$A$2:$H$1946,7,FALSE),""))</f>
        <v/>
      </c>
    </row>
    <row r="948" spans="13:18" x14ac:dyDescent="0.3">
      <c r="M948" s="18" t="str">
        <f>IF($K948="","",IFERROR(VLOOKUP(--SUBSTITUTE(SUBSTITUTE(TRIM($K948),"-","")," ",""),마스터시트!$A$2:$H$1946,2,FALSE),"미등록"))</f>
        <v/>
      </c>
      <c r="N948" s="53" t="str">
        <f>IF($K948="","",IFERROR(VLOOKUP(--SUBSTITUTE(SUBSTITUTE(TRIM($K948),"-","")," ",""),마스터시트!$A$2:$H$1946,3,FALSE),"미등록"))</f>
        <v/>
      </c>
      <c r="O948" s="18" t="str">
        <f>IF($K948="","",IFERROR(VLOOKUP(--SUBSTITUTE(SUBSTITUTE(TRIM($K948),"-","")," ",""),마스터시트!$A$2:$H$1946,4,FALSE),""))</f>
        <v/>
      </c>
      <c r="P948" s="18" t="str">
        <f>IF($K948="","",IFERROR(VLOOKUP(--SUBSTITUTE(SUBSTITUTE(TRIM($K948),"-","")," ",""),마스터시트!$A$2:$H$1946,5,FALSE),""))</f>
        <v/>
      </c>
      <c r="Q948" s="18" t="str">
        <f>IF($K948="","",IFERROR(VLOOKUP(--SUBSTITUTE(SUBSTITUTE(TRIM($K948),"-","")," ",""),마스터시트!$A$2:$H$1946,6,FALSE),""))</f>
        <v/>
      </c>
      <c r="R948" s="18" t="str">
        <f>IF($K948="","",IFERROR(VLOOKUP(--SUBSTITUTE(SUBSTITUTE(TRIM($K948),"-","")," ",""),마스터시트!$A$2:$H$1946,7,FALSE),""))</f>
        <v/>
      </c>
    </row>
    <row r="949" spans="13:18" x14ac:dyDescent="0.3">
      <c r="M949" s="18" t="str">
        <f>IF($K949="","",IFERROR(VLOOKUP(--SUBSTITUTE(SUBSTITUTE(TRIM($K949),"-","")," ",""),마스터시트!$A$2:$H$1946,2,FALSE),"미등록"))</f>
        <v/>
      </c>
      <c r="N949" s="53" t="str">
        <f>IF($K949="","",IFERROR(VLOOKUP(--SUBSTITUTE(SUBSTITUTE(TRIM($K949),"-","")," ",""),마스터시트!$A$2:$H$1946,3,FALSE),"미등록"))</f>
        <v/>
      </c>
      <c r="O949" s="18" t="str">
        <f>IF($K949="","",IFERROR(VLOOKUP(--SUBSTITUTE(SUBSTITUTE(TRIM($K949),"-","")," ",""),마스터시트!$A$2:$H$1946,4,FALSE),""))</f>
        <v/>
      </c>
      <c r="P949" s="18" t="str">
        <f>IF($K949="","",IFERROR(VLOOKUP(--SUBSTITUTE(SUBSTITUTE(TRIM($K949),"-","")," ",""),마스터시트!$A$2:$H$1946,5,FALSE),""))</f>
        <v/>
      </c>
      <c r="Q949" s="18" t="str">
        <f>IF($K949="","",IFERROR(VLOOKUP(--SUBSTITUTE(SUBSTITUTE(TRIM($K949),"-","")," ",""),마스터시트!$A$2:$H$1946,6,FALSE),""))</f>
        <v/>
      </c>
      <c r="R949" s="18" t="str">
        <f>IF($K949="","",IFERROR(VLOOKUP(--SUBSTITUTE(SUBSTITUTE(TRIM($K949),"-","")," ",""),마스터시트!$A$2:$H$1946,7,FALSE),""))</f>
        <v/>
      </c>
    </row>
    <row r="950" spans="13:18" x14ac:dyDescent="0.3">
      <c r="M950" s="18" t="str">
        <f>IF($K950="","",IFERROR(VLOOKUP(--SUBSTITUTE(SUBSTITUTE(TRIM($K950),"-","")," ",""),마스터시트!$A$2:$H$1946,2,FALSE),"미등록"))</f>
        <v/>
      </c>
      <c r="N950" s="53" t="str">
        <f>IF($K950="","",IFERROR(VLOOKUP(--SUBSTITUTE(SUBSTITUTE(TRIM($K950),"-","")," ",""),마스터시트!$A$2:$H$1946,3,FALSE),"미등록"))</f>
        <v/>
      </c>
      <c r="O950" s="18" t="str">
        <f>IF($K950="","",IFERROR(VLOOKUP(--SUBSTITUTE(SUBSTITUTE(TRIM($K950),"-","")," ",""),마스터시트!$A$2:$H$1946,4,FALSE),""))</f>
        <v/>
      </c>
      <c r="P950" s="18" t="str">
        <f>IF($K950="","",IFERROR(VLOOKUP(--SUBSTITUTE(SUBSTITUTE(TRIM($K950),"-","")," ",""),마스터시트!$A$2:$H$1946,5,FALSE),""))</f>
        <v/>
      </c>
      <c r="Q950" s="18" t="str">
        <f>IF($K950="","",IFERROR(VLOOKUP(--SUBSTITUTE(SUBSTITUTE(TRIM($K950),"-","")," ",""),마스터시트!$A$2:$H$1946,6,FALSE),""))</f>
        <v/>
      </c>
      <c r="R950" s="18" t="str">
        <f>IF($K950="","",IFERROR(VLOOKUP(--SUBSTITUTE(SUBSTITUTE(TRIM($K950),"-","")," ",""),마스터시트!$A$2:$H$1946,7,FALSE),""))</f>
        <v/>
      </c>
    </row>
    <row r="951" spans="13:18" x14ac:dyDescent="0.3">
      <c r="M951" s="18" t="str">
        <f>IF($K951="","",IFERROR(VLOOKUP(--SUBSTITUTE(SUBSTITUTE(TRIM($K951),"-","")," ",""),마스터시트!$A$2:$H$1946,2,FALSE),"미등록"))</f>
        <v/>
      </c>
      <c r="N951" s="53" t="str">
        <f>IF($K951="","",IFERROR(VLOOKUP(--SUBSTITUTE(SUBSTITUTE(TRIM($K951),"-","")," ",""),마스터시트!$A$2:$H$1946,3,FALSE),"미등록"))</f>
        <v/>
      </c>
      <c r="O951" s="18" t="str">
        <f>IF($K951="","",IFERROR(VLOOKUP(--SUBSTITUTE(SUBSTITUTE(TRIM($K951),"-","")," ",""),마스터시트!$A$2:$H$1946,4,FALSE),""))</f>
        <v/>
      </c>
      <c r="P951" s="18" t="str">
        <f>IF($K951="","",IFERROR(VLOOKUP(--SUBSTITUTE(SUBSTITUTE(TRIM($K951),"-","")," ",""),마스터시트!$A$2:$H$1946,5,FALSE),""))</f>
        <v/>
      </c>
      <c r="Q951" s="18" t="str">
        <f>IF($K951="","",IFERROR(VLOOKUP(--SUBSTITUTE(SUBSTITUTE(TRIM($K951),"-","")," ",""),마스터시트!$A$2:$H$1946,6,FALSE),""))</f>
        <v/>
      </c>
      <c r="R951" s="18" t="str">
        <f>IF($K951="","",IFERROR(VLOOKUP(--SUBSTITUTE(SUBSTITUTE(TRIM($K951),"-","")," ",""),마스터시트!$A$2:$H$1946,7,FALSE),""))</f>
        <v/>
      </c>
    </row>
    <row r="952" spans="13:18" x14ac:dyDescent="0.3">
      <c r="M952" s="18" t="str">
        <f>IF($K952="","",IFERROR(VLOOKUP(--SUBSTITUTE(SUBSTITUTE(TRIM($K952),"-","")," ",""),마스터시트!$A$2:$H$1946,2,FALSE),"미등록"))</f>
        <v/>
      </c>
      <c r="N952" s="53" t="str">
        <f>IF($K952="","",IFERROR(VLOOKUP(--SUBSTITUTE(SUBSTITUTE(TRIM($K952),"-","")," ",""),마스터시트!$A$2:$H$1946,3,FALSE),"미등록"))</f>
        <v/>
      </c>
      <c r="O952" s="18" t="str">
        <f>IF($K952="","",IFERROR(VLOOKUP(--SUBSTITUTE(SUBSTITUTE(TRIM($K952),"-","")," ",""),마스터시트!$A$2:$H$1946,4,FALSE),""))</f>
        <v/>
      </c>
      <c r="P952" s="18" t="str">
        <f>IF($K952="","",IFERROR(VLOOKUP(--SUBSTITUTE(SUBSTITUTE(TRIM($K952),"-","")," ",""),마스터시트!$A$2:$H$1946,5,FALSE),""))</f>
        <v/>
      </c>
      <c r="Q952" s="18" t="str">
        <f>IF($K952="","",IFERROR(VLOOKUP(--SUBSTITUTE(SUBSTITUTE(TRIM($K952),"-","")," ",""),마스터시트!$A$2:$H$1946,6,FALSE),""))</f>
        <v/>
      </c>
      <c r="R952" s="18" t="str">
        <f>IF($K952="","",IFERROR(VLOOKUP(--SUBSTITUTE(SUBSTITUTE(TRIM($K952),"-","")," ",""),마스터시트!$A$2:$H$1946,7,FALSE),""))</f>
        <v/>
      </c>
    </row>
    <row r="953" spans="13:18" x14ac:dyDescent="0.3">
      <c r="M953" s="18" t="str">
        <f>IF($K953="","",IFERROR(VLOOKUP(--SUBSTITUTE(SUBSTITUTE(TRIM($K953),"-","")," ",""),마스터시트!$A$2:$H$1946,2,FALSE),"미등록"))</f>
        <v/>
      </c>
      <c r="N953" s="53" t="str">
        <f>IF($K953="","",IFERROR(VLOOKUP(--SUBSTITUTE(SUBSTITUTE(TRIM($K953),"-","")," ",""),마스터시트!$A$2:$H$1946,3,FALSE),"미등록"))</f>
        <v/>
      </c>
      <c r="O953" s="18" t="str">
        <f>IF($K953="","",IFERROR(VLOOKUP(--SUBSTITUTE(SUBSTITUTE(TRIM($K953),"-","")," ",""),마스터시트!$A$2:$H$1946,4,FALSE),""))</f>
        <v/>
      </c>
      <c r="P953" s="18" t="str">
        <f>IF($K953="","",IFERROR(VLOOKUP(--SUBSTITUTE(SUBSTITUTE(TRIM($K953),"-","")," ",""),마스터시트!$A$2:$H$1946,5,FALSE),""))</f>
        <v/>
      </c>
      <c r="Q953" s="18" t="str">
        <f>IF($K953="","",IFERROR(VLOOKUP(--SUBSTITUTE(SUBSTITUTE(TRIM($K953),"-","")," ",""),마스터시트!$A$2:$H$1946,6,FALSE),""))</f>
        <v/>
      </c>
      <c r="R953" s="18" t="str">
        <f>IF($K953="","",IFERROR(VLOOKUP(--SUBSTITUTE(SUBSTITUTE(TRIM($K953),"-","")," ",""),마스터시트!$A$2:$H$1946,7,FALSE),""))</f>
        <v/>
      </c>
    </row>
    <row r="954" spans="13:18" x14ac:dyDescent="0.3">
      <c r="M954" s="18" t="str">
        <f>IF($K954="","",IFERROR(VLOOKUP(--SUBSTITUTE(SUBSTITUTE(TRIM($K954),"-","")," ",""),마스터시트!$A$2:$H$1946,2,FALSE),"미등록"))</f>
        <v/>
      </c>
      <c r="N954" s="53" t="str">
        <f>IF($K954="","",IFERROR(VLOOKUP(--SUBSTITUTE(SUBSTITUTE(TRIM($K954),"-","")," ",""),마스터시트!$A$2:$H$1946,3,FALSE),"미등록"))</f>
        <v/>
      </c>
      <c r="O954" s="18" t="str">
        <f>IF($K954="","",IFERROR(VLOOKUP(--SUBSTITUTE(SUBSTITUTE(TRIM($K954),"-","")," ",""),마스터시트!$A$2:$H$1946,4,FALSE),""))</f>
        <v/>
      </c>
      <c r="P954" s="18" t="str">
        <f>IF($K954="","",IFERROR(VLOOKUP(--SUBSTITUTE(SUBSTITUTE(TRIM($K954),"-","")," ",""),마스터시트!$A$2:$H$1946,5,FALSE),""))</f>
        <v/>
      </c>
      <c r="Q954" s="18" t="str">
        <f>IF($K954="","",IFERROR(VLOOKUP(--SUBSTITUTE(SUBSTITUTE(TRIM($K954),"-","")," ",""),마스터시트!$A$2:$H$1946,6,FALSE),""))</f>
        <v/>
      </c>
      <c r="R954" s="18" t="str">
        <f>IF($K954="","",IFERROR(VLOOKUP(--SUBSTITUTE(SUBSTITUTE(TRIM($K954),"-","")," ",""),마스터시트!$A$2:$H$1946,7,FALSE),""))</f>
        <v/>
      </c>
    </row>
    <row r="955" spans="13:18" x14ac:dyDescent="0.3">
      <c r="M955" s="18" t="str">
        <f>IF($K955="","",IFERROR(VLOOKUP(--SUBSTITUTE(SUBSTITUTE(TRIM($K955),"-","")," ",""),마스터시트!$A$2:$H$1946,2,FALSE),"미등록"))</f>
        <v/>
      </c>
      <c r="N955" s="53" t="str">
        <f>IF($K955="","",IFERROR(VLOOKUP(--SUBSTITUTE(SUBSTITUTE(TRIM($K955),"-","")," ",""),마스터시트!$A$2:$H$1946,3,FALSE),"미등록"))</f>
        <v/>
      </c>
      <c r="O955" s="18" t="str">
        <f>IF($K955="","",IFERROR(VLOOKUP(--SUBSTITUTE(SUBSTITUTE(TRIM($K955),"-","")," ",""),마스터시트!$A$2:$H$1946,4,FALSE),""))</f>
        <v/>
      </c>
      <c r="P955" s="18" t="str">
        <f>IF($K955="","",IFERROR(VLOOKUP(--SUBSTITUTE(SUBSTITUTE(TRIM($K955),"-","")," ",""),마스터시트!$A$2:$H$1946,5,FALSE),""))</f>
        <v/>
      </c>
      <c r="Q955" s="18" t="str">
        <f>IF($K955="","",IFERROR(VLOOKUP(--SUBSTITUTE(SUBSTITUTE(TRIM($K955),"-","")," ",""),마스터시트!$A$2:$H$1946,6,FALSE),""))</f>
        <v/>
      </c>
      <c r="R955" s="18" t="str">
        <f>IF($K955="","",IFERROR(VLOOKUP(--SUBSTITUTE(SUBSTITUTE(TRIM($K955),"-","")," ",""),마스터시트!$A$2:$H$1946,7,FALSE),""))</f>
        <v/>
      </c>
    </row>
    <row r="956" spans="13:18" x14ac:dyDescent="0.3">
      <c r="M956" s="18" t="str">
        <f>IF($K956="","",IFERROR(VLOOKUP(--SUBSTITUTE(SUBSTITUTE(TRIM($K956),"-","")," ",""),마스터시트!$A$2:$H$1946,2,FALSE),"미등록"))</f>
        <v/>
      </c>
      <c r="N956" s="53" t="str">
        <f>IF($K956="","",IFERROR(VLOOKUP(--SUBSTITUTE(SUBSTITUTE(TRIM($K956),"-","")," ",""),마스터시트!$A$2:$H$1946,3,FALSE),"미등록"))</f>
        <v/>
      </c>
      <c r="O956" s="18" t="str">
        <f>IF($K956="","",IFERROR(VLOOKUP(--SUBSTITUTE(SUBSTITUTE(TRIM($K956),"-","")," ",""),마스터시트!$A$2:$H$1946,4,FALSE),""))</f>
        <v/>
      </c>
      <c r="P956" s="18" t="str">
        <f>IF($K956="","",IFERROR(VLOOKUP(--SUBSTITUTE(SUBSTITUTE(TRIM($K956),"-","")," ",""),마스터시트!$A$2:$H$1946,5,FALSE),""))</f>
        <v/>
      </c>
      <c r="Q956" s="18" t="str">
        <f>IF($K956="","",IFERROR(VLOOKUP(--SUBSTITUTE(SUBSTITUTE(TRIM($K956),"-","")," ",""),마스터시트!$A$2:$H$1946,6,FALSE),""))</f>
        <v/>
      </c>
      <c r="R956" s="18" t="str">
        <f>IF($K956="","",IFERROR(VLOOKUP(--SUBSTITUTE(SUBSTITUTE(TRIM($K956),"-","")," ",""),마스터시트!$A$2:$H$1946,7,FALSE),""))</f>
        <v/>
      </c>
    </row>
    <row r="957" spans="13:18" x14ac:dyDescent="0.3">
      <c r="M957" s="18" t="str">
        <f>IF($K957="","",IFERROR(VLOOKUP(--SUBSTITUTE(SUBSTITUTE(TRIM($K957),"-","")," ",""),마스터시트!$A$2:$H$1946,2,FALSE),"미등록"))</f>
        <v/>
      </c>
      <c r="N957" s="53" t="str">
        <f>IF($K957="","",IFERROR(VLOOKUP(--SUBSTITUTE(SUBSTITUTE(TRIM($K957),"-","")," ",""),마스터시트!$A$2:$H$1946,3,FALSE),"미등록"))</f>
        <v/>
      </c>
      <c r="O957" s="18" t="str">
        <f>IF($K957="","",IFERROR(VLOOKUP(--SUBSTITUTE(SUBSTITUTE(TRIM($K957),"-","")," ",""),마스터시트!$A$2:$H$1946,4,FALSE),""))</f>
        <v/>
      </c>
      <c r="P957" s="18" t="str">
        <f>IF($K957="","",IFERROR(VLOOKUP(--SUBSTITUTE(SUBSTITUTE(TRIM($K957),"-","")," ",""),마스터시트!$A$2:$H$1946,5,FALSE),""))</f>
        <v/>
      </c>
      <c r="Q957" s="18" t="str">
        <f>IF($K957="","",IFERROR(VLOOKUP(--SUBSTITUTE(SUBSTITUTE(TRIM($K957),"-","")," ",""),마스터시트!$A$2:$H$1946,6,FALSE),""))</f>
        <v/>
      </c>
      <c r="R957" s="18" t="str">
        <f>IF($K957="","",IFERROR(VLOOKUP(--SUBSTITUTE(SUBSTITUTE(TRIM($K957),"-","")," ",""),마스터시트!$A$2:$H$1946,7,FALSE),""))</f>
        <v/>
      </c>
    </row>
    <row r="958" spans="13:18" x14ac:dyDescent="0.3">
      <c r="M958" s="18" t="str">
        <f>IF($K958="","",IFERROR(VLOOKUP(--SUBSTITUTE(SUBSTITUTE(TRIM($K958),"-","")," ",""),마스터시트!$A$2:$H$1946,2,FALSE),"미등록"))</f>
        <v/>
      </c>
      <c r="N958" s="53" t="str">
        <f>IF($K958="","",IFERROR(VLOOKUP(--SUBSTITUTE(SUBSTITUTE(TRIM($K958),"-","")," ",""),마스터시트!$A$2:$H$1946,3,FALSE),"미등록"))</f>
        <v/>
      </c>
      <c r="O958" s="18" t="str">
        <f>IF($K958="","",IFERROR(VLOOKUP(--SUBSTITUTE(SUBSTITUTE(TRIM($K958),"-","")," ",""),마스터시트!$A$2:$H$1946,4,FALSE),""))</f>
        <v/>
      </c>
      <c r="P958" s="18" t="str">
        <f>IF($K958="","",IFERROR(VLOOKUP(--SUBSTITUTE(SUBSTITUTE(TRIM($K958),"-","")," ",""),마스터시트!$A$2:$H$1946,5,FALSE),""))</f>
        <v/>
      </c>
      <c r="Q958" s="18" t="str">
        <f>IF($K958="","",IFERROR(VLOOKUP(--SUBSTITUTE(SUBSTITUTE(TRIM($K958),"-","")," ",""),마스터시트!$A$2:$H$1946,6,FALSE),""))</f>
        <v/>
      </c>
      <c r="R958" s="18" t="str">
        <f>IF($K958="","",IFERROR(VLOOKUP(--SUBSTITUTE(SUBSTITUTE(TRIM($K958),"-","")," ",""),마스터시트!$A$2:$H$1946,7,FALSE),""))</f>
        <v/>
      </c>
    </row>
    <row r="959" spans="13:18" x14ac:dyDescent="0.3">
      <c r="M959" s="18" t="str">
        <f>IF($K959="","",IFERROR(VLOOKUP(--SUBSTITUTE(SUBSTITUTE(TRIM($K959),"-","")," ",""),마스터시트!$A$2:$H$1946,2,FALSE),"미등록"))</f>
        <v/>
      </c>
      <c r="N959" s="53" t="str">
        <f>IF($K959="","",IFERROR(VLOOKUP(--SUBSTITUTE(SUBSTITUTE(TRIM($K959),"-","")," ",""),마스터시트!$A$2:$H$1946,3,FALSE),"미등록"))</f>
        <v/>
      </c>
      <c r="O959" s="18" t="str">
        <f>IF($K959="","",IFERROR(VLOOKUP(--SUBSTITUTE(SUBSTITUTE(TRIM($K959),"-","")," ",""),마스터시트!$A$2:$H$1946,4,FALSE),""))</f>
        <v/>
      </c>
      <c r="P959" s="18" t="str">
        <f>IF($K959="","",IFERROR(VLOOKUP(--SUBSTITUTE(SUBSTITUTE(TRIM($K959),"-","")," ",""),마스터시트!$A$2:$H$1946,5,FALSE),""))</f>
        <v/>
      </c>
      <c r="Q959" s="18" t="str">
        <f>IF($K959="","",IFERROR(VLOOKUP(--SUBSTITUTE(SUBSTITUTE(TRIM($K959),"-","")," ",""),마스터시트!$A$2:$H$1946,6,FALSE),""))</f>
        <v/>
      </c>
      <c r="R959" s="18" t="str">
        <f>IF($K959="","",IFERROR(VLOOKUP(--SUBSTITUTE(SUBSTITUTE(TRIM($K959),"-","")," ",""),마스터시트!$A$2:$H$1946,7,FALSE),""))</f>
        <v/>
      </c>
    </row>
    <row r="960" spans="13:18" x14ac:dyDescent="0.3">
      <c r="M960" s="18" t="str">
        <f>IF($K960="","",IFERROR(VLOOKUP(--SUBSTITUTE(SUBSTITUTE(TRIM($K960),"-","")," ",""),마스터시트!$A$2:$H$1946,2,FALSE),"미등록"))</f>
        <v/>
      </c>
      <c r="N960" s="53" t="str">
        <f>IF($K960="","",IFERROR(VLOOKUP(--SUBSTITUTE(SUBSTITUTE(TRIM($K960),"-","")," ",""),마스터시트!$A$2:$H$1946,3,FALSE),"미등록"))</f>
        <v/>
      </c>
      <c r="O960" s="18" t="str">
        <f>IF($K960="","",IFERROR(VLOOKUP(--SUBSTITUTE(SUBSTITUTE(TRIM($K960),"-","")," ",""),마스터시트!$A$2:$H$1946,4,FALSE),""))</f>
        <v/>
      </c>
      <c r="P960" s="18" t="str">
        <f>IF($K960="","",IFERROR(VLOOKUP(--SUBSTITUTE(SUBSTITUTE(TRIM($K960),"-","")," ",""),마스터시트!$A$2:$H$1946,5,FALSE),""))</f>
        <v/>
      </c>
      <c r="Q960" s="18" t="str">
        <f>IF($K960="","",IFERROR(VLOOKUP(--SUBSTITUTE(SUBSTITUTE(TRIM($K960),"-","")," ",""),마스터시트!$A$2:$H$1946,6,FALSE),""))</f>
        <v/>
      </c>
      <c r="R960" s="18" t="str">
        <f>IF($K960="","",IFERROR(VLOOKUP(--SUBSTITUTE(SUBSTITUTE(TRIM($K960),"-","")," ",""),마스터시트!$A$2:$H$1946,7,FALSE),""))</f>
        <v/>
      </c>
    </row>
    <row r="961" spans="13:18" x14ac:dyDescent="0.3">
      <c r="M961" s="18" t="str">
        <f>IF($K961="","",IFERROR(VLOOKUP(--SUBSTITUTE(SUBSTITUTE(TRIM($K961),"-","")," ",""),마스터시트!$A$2:$H$1946,2,FALSE),"미등록"))</f>
        <v/>
      </c>
      <c r="N961" s="53" t="str">
        <f>IF($K961="","",IFERROR(VLOOKUP(--SUBSTITUTE(SUBSTITUTE(TRIM($K961),"-","")," ",""),마스터시트!$A$2:$H$1946,3,FALSE),"미등록"))</f>
        <v/>
      </c>
      <c r="O961" s="18" t="str">
        <f>IF($K961="","",IFERROR(VLOOKUP(--SUBSTITUTE(SUBSTITUTE(TRIM($K961),"-","")," ",""),마스터시트!$A$2:$H$1946,4,FALSE),""))</f>
        <v/>
      </c>
      <c r="P961" s="18" t="str">
        <f>IF($K961="","",IFERROR(VLOOKUP(--SUBSTITUTE(SUBSTITUTE(TRIM($K961),"-","")," ",""),마스터시트!$A$2:$H$1946,5,FALSE),""))</f>
        <v/>
      </c>
      <c r="Q961" s="18" t="str">
        <f>IF($K961="","",IFERROR(VLOOKUP(--SUBSTITUTE(SUBSTITUTE(TRIM($K961),"-","")," ",""),마스터시트!$A$2:$H$1946,6,FALSE),""))</f>
        <v/>
      </c>
      <c r="R961" s="18" t="str">
        <f>IF($K961="","",IFERROR(VLOOKUP(--SUBSTITUTE(SUBSTITUTE(TRIM($K961),"-","")," ",""),마스터시트!$A$2:$H$1946,7,FALSE),""))</f>
        <v/>
      </c>
    </row>
    <row r="962" spans="13:18" x14ac:dyDescent="0.3">
      <c r="M962" s="18" t="str">
        <f>IF($K962="","",IFERROR(VLOOKUP(--SUBSTITUTE(SUBSTITUTE(TRIM($K962),"-","")," ",""),마스터시트!$A$2:$H$1946,2,FALSE),"미등록"))</f>
        <v/>
      </c>
      <c r="N962" s="53" t="str">
        <f>IF($K962="","",IFERROR(VLOOKUP(--SUBSTITUTE(SUBSTITUTE(TRIM($K962),"-","")," ",""),마스터시트!$A$2:$H$1946,3,FALSE),"미등록"))</f>
        <v/>
      </c>
      <c r="O962" s="18" t="str">
        <f>IF($K962="","",IFERROR(VLOOKUP(--SUBSTITUTE(SUBSTITUTE(TRIM($K962),"-","")," ",""),마스터시트!$A$2:$H$1946,4,FALSE),""))</f>
        <v/>
      </c>
      <c r="P962" s="18" t="str">
        <f>IF($K962="","",IFERROR(VLOOKUP(--SUBSTITUTE(SUBSTITUTE(TRIM($K962),"-","")," ",""),마스터시트!$A$2:$H$1946,5,FALSE),""))</f>
        <v/>
      </c>
      <c r="Q962" s="18" t="str">
        <f>IF($K962="","",IFERROR(VLOOKUP(--SUBSTITUTE(SUBSTITUTE(TRIM($K962),"-","")," ",""),마스터시트!$A$2:$H$1946,6,FALSE),""))</f>
        <v/>
      </c>
      <c r="R962" s="18" t="str">
        <f>IF($K962="","",IFERROR(VLOOKUP(--SUBSTITUTE(SUBSTITUTE(TRIM($K962),"-","")," ",""),마스터시트!$A$2:$H$1946,7,FALSE),""))</f>
        <v/>
      </c>
    </row>
    <row r="963" spans="13:18" x14ac:dyDescent="0.3">
      <c r="M963" s="18" t="str">
        <f>IF($K963="","",IFERROR(VLOOKUP(--SUBSTITUTE(SUBSTITUTE(TRIM($K963),"-","")," ",""),마스터시트!$A$2:$H$1946,2,FALSE),"미등록"))</f>
        <v/>
      </c>
      <c r="N963" s="53" t="str">
        <f>IF($K963="","",IFERROR(VLOOKUP(--SUBSTITUTE(SUBSTITUTE(TRIM($K963),"-","")," ",""),마스터시트!$A$2:$H$1946,3,FALSE),"미등록"))</f>
        <v/>
      </c>
      <c r="O963" s="18" t="str">
        <f>IF($K963="","",IFERROR(VLOOKUP(--SUBSTITUTE(SUBSTITUTE(TRIM($K963),"-","")," ",""),마스터시트!$A$2:$H$1946,4,FALSE),""))</f>
        <v/>
      </c>
      <c r="P963" s="18" t="str">
        <f>IF($K963="","",IFERROR(VLOOKUP(--SUBSTITUTE(SUBSTITUTE(TRIM($K963),"-","")," ",""),마스터시트!$A$2:$H$1946,5,FALSE),""))</f>
        <v/>
      </c>
      <c r="Q963" s="18" t="str">
        <f>IF($K963="","",IFERROR(VLOOKUP(--SUBSTITUTE(SUBSTITUTE(TRIM($K963),"-","")," ",""),마스터시트!$A$2:$H$1946,6,FALSE),""))</f>
        <v/>
      </c>
      <c r="R963" s="18" t="str">
        <f>IF($K963="","",IFERROR(VLOOKUP(--SUBSTITUTE(SUBSTITUTE(TRIM($K963),"-","")," ",""),마스터시트!$A$2:$H$1946,7,FALSE),""))</f>
        <v/>
      </c>
    </row>
    <row r="964" spans="13:18" x14ac:dyDescent="0.3">
      <c r="M964" s="18" t="str">
        <f>IF($K964="","",IFERROR(VLOOKUP(--SUBSTITUTE(SUBSTITUTE(TRIM($K964),"-","")," ",""),마스터시트!$A$2:$H$1946,2,FALSE),"미등록"))</f>
        <v/>
      </c>
      <c r="N964" s="53" t="str">
        <f>IF($K964="","",IFERROR(VLOOKUP(--SUBSTITUTE(SUBSTITUTE(TRIM($K964),"-","")," ",""),마스터시트!$A$2:$H$1946,3,FALSE),"미등록"))</f>
        <v/>
      </c>
      <c r="O964" s="18" t="str">
        <f>IF($K964="","",IFERROR(VLOOKUP(--SUBSTITUTE(SUBSTITUTE(TRIM($K964),"-","")," ",""),마스터시트!$A$2:$H$1946,4,FALSE),""))</f>
        <v/>
      </c>
      <c r="P964" s="18" t="str">
        <f>IF($K964="","",IFERROR(VLOOKUP(--SUBSTITUTE(SUBSTITUTE(TRIM($K964),"-","")," ",""),마스터시트!$A$2:$H$1946,5,FALSE),""))</f>
        <v/>
      </c>
      <c r="Q964" s="18" t="str">
        <f>IF($K964="","",IFERROR(VLOOKUP(--SUBSTITUTE(SUBSTITUTE(TRIM($K964),"-","")," ",""),마스터시트!$A$2:$H$1946,6,FALSE),""))</f>
        <v/>
      </c>
      <c r="R964" s="18" t="str">
        <f>IF($K964="","",IFERROR(VLOOKUP(--SUBSTITUTE(SUBSTITUTE(TRIM($K964),"-","")," ",""),마스터시트!$A$2:$H$1946,7,FALSE),""))</f>
        <v/>
      </c>
    </row>
    <row r="965" spans="13:18" x14ac:dyDescent="0.3">
      <c r="M965" s="18" t="str">
        <f>IF($K965="","",IFERROR(VLOOKUP(--SUBSTITUTE(SUBSTITUTE(TRIM($K965),"-","")," ",""),마스터시트!$A$2:$H$1946,2,FALSE),"미등록"))</f>
        <v/>
      </c>
      <c r="N965" s="53" t="str">
        <f>IF($K965="","",IFERROR(VLOOKUP(--SUBSTITUTE(SUBSTITUTE(TRIM($K965),"-","")," ",""),마스터시트!$A$2:$H$1946,3,FALSE),"미등록"))</f>
        <v/>
      </c>
      <c r="O965" s="18" t="str">
        <f>IF($K965="","",IFERROR(VLOOKUP(--SUBSTITUTE(SUBSTITUTE(TRIM($K965),"-","")," ",""),마스터시트!$A$2:$H$1946,4,FALSE),""))</f>
        <v/>
      </c>
      <c r="P965" s="18" t="str">
        <f>IF($K965="","",IFERROR(VLOOKUP(--SUBSTITUTE(SUBSTITUTE(TRIM($K965),"-","")," ",""),마스터시트!$A$2:$H$1946,5,FALSE),""))</f>
        <v/>
      </c>
      <c r="Q965" s="18" t="str">
        <f>IF($K965="","",IFERROR(VLOOKUP(--SUBSTITUTE(SUBSTITUTE(TRIM($K965),"-","")," ",""),마스터시트!$A$2:$H$1946,6,FALSE),""))</f>
        <v/>
      </c>
      <c r="R965" s="18" t="str">
        <f>IF($K965="","",IFERROR(VLOOKUP(--SUBSTITUTE(SUBSTITUTE(TRIM($K965),"-","")," ",""),마스터시트!$A$2:$H$1946,7,FALSE),""))</f>
        <v/>
      </c>
    </row>
    <row r="966" spans="13:18" x14ac:dyDescent="0.3">
      <c r="M966" s="18" t="str">
        <f>IF($K966="","",IFERROR(VLOOKUP(--SUBSTITUTE(SUBSTITUTE(TRIM($K966),"-","")," ",""),마스터시트!$A$2:$H$1946,2,FALSE),"미등록"))</f>
        <v/>
      </c>
      <c r="N966" s="53" t="str">
        <f>IF($K966="","",IFERROR(VLOOKUP(--SUBSTITUTE(SUBSTITUTE(TRIM($K966),"-","")," ",""),마스터시트!$A$2:$H$1946,3,FALSE),"미등록"))</f>
        <v/>
      </c>
      <c r="O966" s="18" t="str">
        <f>IF($K966="","",IFERROR(VLOOKUP(--SUBSTITUTE(SUBSTITUTE(TRIM($K966),"-","")," ",""),마스터시트!$A$2:$H$1946,4,FALSE),""))</f>
        <v/>
      </c>
      <c r="P966" s="18" t="str">
        <f>IF($K966="","",IFERROR(VLOOKUP(--SUBSTITUTE(SUBSTITUTE(TRIM($K966),"-","")," ",""),마스터시트!$A$2:$H$1946,5,FALSE),""))</f>
        <v/>
      </c>
      <c r="Q966" s="18" t="str">
        <f>IF($K966="","",IFERROR(VLOOKUP(--SUBSTITUTE(SUBSTITUTE(TRIM($K966),"-","")," ",""),마스터시트!$A$2:$H$1946,6,FALSE),""))</f>
        <v/>
      </c>
      <c r="R966" s="18" t="str">
        <f>IF($K966="","",IFERROR(VLOOKUP(--SUBSTITUTE(SUBSTITUTE(TRIM($K966),"-","")," ",""),마스터시트!$A$2:$H$1946,7,FALSE),""))</f>
        <v/>
      </c>
    </row>
    <row r="967" spans="13:18" x14ac:dyDescent="0.3">
      <c r="M967" s="18" t="str">
        <f>IF($K967="","",IFERROR(VLOOKUP(--SUBSTITUTE(SUBSTITUTE(TRIM($K967),"-","")," ",""),마스터시트!$A$2:$H$1946,2,FALSE),"미등록"))</f>
        <v/>
      </c>
      <c r="N967" s="53" t="str">
        <f>IF($K967="","",IFERROR(VLOOKUP(--SUBSTITUTE(SUBSTITUTE(TRIM($K967),"-","")," ",""),마스터시트!$A$2:$H$1946,3,FALSE),"미등록"))</f>
        <v/>
      </c>
      <c r="O967" s="18" t="str">
        <f>IF($K967="","",IFERROR(VLOOKUP(--SUBSTITUTE(SUBSTITUTE(TRIM($K967),"-","")," ",""),마스터시트!$A$2:$H$1946,4,FALSE),""))</f>
        <v/>
      </c>
      <c r="P967" s="18" t="str">
        <f>IF($K967="","",IFERROR(VLOOKUP(--SUBSTITUTE(SUBSTITUTE(TRIM($K967),"-","")," ",""),마스터시트!$A$2:$H$1946,5,FALSE),""))</f>
        <v/>
      </c>
      <c r="Q967" s="18" t="str">
        <f>IF($K967="","",IFERROR(VLOOKUP(--SUBSTITUTE(SUBSTITUTE(TRIM($K967),"-","")," ",""),마스터시트!$A$2:$H$1946,6,FALSE),""))</f>
        <v/>
      </c>
      <c r="R967" s="18" t="str">
        <f>IF($K967="","",IFERROR(VLOOKUP(--SUBSTITUTE(SUBSTITUTE(TRIM($K967),"-","")," ",""),마스터시트!$A$2:$H$1946,7,FALSE),""))</f>
        <v/>
      </c>
    </row>
    <row r="968" spans="13:18" x14ac:dyDescent="0.3">
      <c r="M968" s="18" t="str">
        <f>IF($K968="","",IFERROR(VLOOKUP(--SUBSTITUTE(SUBSTITUTE(TRIM($K968),"-","")," ",""),마스터시트!$A$2:$H$1946,2,FALSE),"미등록"))</f>
        <v/>
      </c>
      <c r="N968" s="53" t="str">
        <f>IF($K968="","",IFERROR(VLOOKUP(--SUBSTITUTE(SUBSTITUTE(TRIM($K968),"-","")," ",""),마스터시트!$A$2:$H$1946,3,FALSE),"미등록"))</f>
        <v/>
      </c>
      <c r="O968" s="18" t="str">
        <f>IF($K968="","",IFERROR(VLOOKUP(--SUBSTITUTE(SUBSTITUTE(TRIM($K968),"-","")," ",""),마스터시트!$A$2:$H$1946,4,FALSE),""))</f>
        <v/>
      </c>
      <c r="P968" s="18" t="str">
        <f>IF($K968="","",IFERROR(VLOOKUP(--SUBSTITUTE(SUBSTITUTE(TRIM($K968),"-","")," ",""),마스터시트!$A$2:$H$1946,5,FALSE),""))</f>
        <v/>
      </c>
      <c r="Q968" s="18" t="str">
        <f>IF($K968="","",IFERROR(VLOOKUP(--SUBSTITUTE(SUBSTITUTE(TRIM($K968),"-","")," ",""),마스터시트!$A$2:$H$1946,6,FALSE),""))</f>
        <v/>
      </c>
      <c r="R968" s="18" t="str">
        <f>IF($K968="","",IFERROR(VLOOKUP(--SUBSTITUTE(SUBSTITUTE(TRIM($K968),"-","")," ",""),마스터시트!$A$2:$H$1946,7,FALSE),""))</f>
        <v/>
      </c>
    </row>
    <row r="969" spans="13:18" x14ac:dyDescent="0.3">
      <c r="M969" s="18" t="str">
        <f>IF($K969="","",IFERROR(VLOOKUP(--SUBSTITUTE(SUBSTITUTE(TRIM($K969),"-","")," ",""),마스터시트!$A$2:$H$1946,2,FALSE),"미등록"))</f>
        <v/>
      </c>
      <c r="N969" s="53" t="str">
        <f>IF($K969="","",IFERROR(VLOOKUP(--SUBSTITUTE(SUBSTITUTE(TRIM($K969),"-","")," ",""),마스터시트!$A$2:$H$1946,3,FALSE),"미등록"))</f>
        <v/>
      </c>
      <c r="O969" s="18" t="str">
        <f>IF($K969="","",IFERROR(VLOOKUP(--SUBSTITUTE(SUBSTITUTE(TRIM($K969),"-","")," ",""),마스터시트!$A$2:$H$1946,4,FALSE),""))</f>
        <v/>
      </c>
      <c r="P969" s="18" t="str">
        <f>IF($K969="","",IFERROR(VLOOKUP(--SUBSTITUTE(SUBSTITUTE(TRIM($K969),"-","")," ",""),마스터시트!$A$2:$H$1946,5,FALSE),""))</f>
        <v/>
      </c>
      <c r="Q969" s="18" t="str">
        <f>IF($K969="","",IFERROR(VLOOKUP(--SUBSTITUTE(SUBSTITUTE(TRIM($K969),"-","")," ",""),마스터시트!$A$2:$H$1946,6,FALSE),""))</f>
        <v/>
      </c>
      <c r="R969" s="18" t="str">
        <f>IF($K969="","",IFERROR(VLOOKUP(--SUBSTITUTE(SUBSTITUTE(TRIM($K969),"-","")," ",""),마스터시트!$A$2:$H$1946,7,FALSE),""))</f>
        <v/>
      </c>
    </row>
    <row r="970" spans="13:18" x14ac:dyDescent="0.3">
      <c r="M970" s="18" t="str">
        <f>IF($K970="","",IFERROR(VLOOKUP(--SUBSTITUTE(SUBSTITUTE(TRIM($K970),"-","")," ",""),마스터시트!$A$2:$H$1946,2,FALSE),"미등록"))</f>
        <v/>
      </c>
      <c r="N970" s="53" t="str">
        <f>IF($K970="","",IFERROR(VLOOKUP(--SUBSTITUTE(SUBSTITUTE(TRIM($K970),"-","")," ",""),마스터시트!$A$2:$H$1946,3,FALSE),"미등록"))</f>
        <v/>
      </c>
      <c r="O970" s="18" t="str">
        <f>IF($K970="","",IFERROR(VLOOKUP(--SUBSTITUTE(SUBSTITUTE(TRIM($K970),"-","")," ",""),마스터시트!$A$2:$H$1946,4,FALSE),""))</f>
        <v/>
      </c>
      <c r="P970" s="18" t="str">
        <f>IF($K970="","",IFERROR(VLOOKUP(--SUBSTITUTE(SUBSTITUTE(TRIM($K970),"-","")," ",""),마스터시트!$A$2:$H$1946,5,FALSE),""))</f>
        <v/>
      </c>
      <c r="Q970" s="18" t="str">
        <f>IF($K970="","",IFERROR(VLOOKUP(--SUBSTITUTE(SUBSTITUTE(TRIM($K970),"-","")," ",""),마스터시트!$A$2:$H$1946,6,FALSE),""))</f>
        <v/>
      </c>
      <c r="R970" s="18" t="str">
        <f>IF($K970="","",IFERROR(VLOOKUP(--SUBSTITUTE(SUBSTITUTE(TRIM($K970),"-","")," ",""),마스터시트!$A$2:$H$1946,7,FALSE),""))</f>
        <v/>
      </c>
    </row>
    <row r="971" spans="13:18" x14ac:dyDescent="0.3">
      <c r="M971" s="18" t="str">
        <f>IF($K971="","",IFERROR(VLOOKUP(--SUBSTITUTE(SUBSTITUTE(TRIM($K971),"-","")," ",""),마스터시트!$A$2:$H$1946,2,FALSE),"미등록"))</f>
        <v/>
      </c>
      <c r="N971" s="53" t="str">
        <f>IF($K971="","",IFERROR(VLOOKUP(--SUBSTITUTE(SUBSTITUTE(TRIM($K971),"-","")," ",""),마스터시트!$A$2:$H$1946,3,FALSE),"미등록"))</f>
        <v/>
      </c>
      <c r="O971" s="18" t="str">
        <f>IF($K971="","",IFERROR(VLOOKUP(--SUBSTITUTE(SUBSTITUTE(TRIM($K971),"-","")," ",""),마스터시트!$A$2:$H$1946,4,FALSE),""))</f>
        <v/>
      </c>
      <c r="P971" s="18" t="str">
        <f>IF($K971="","",IFERROR(VLOOKUP(--SUBSTITUTE(SUBSTITUTE(TRIM($K971),"-","")," ",""),마스터시트!$A$2:$H$1946,5,FALSE),""))</f>
        <v/>
      </c>
      <c r="Q971" s="18" t="str">
        <f>IF($K971="","",IFERROR(VLOOKUP(--SUBSTITUTE(SUBSTITUTE(TRIM($K971),"-","")," ",""),마스터시트!$A$2:$H$1946,6,FALSE),""))</f>
        <v/>
      </c>
      <c r="R971" s="18" t="str">
        <f>IF($K971="","",IFERROR(VLOOKUP(--SUBSTITUTE(SUBSTITUTE(TRIM($K971),"-","")," ",""),마스터시트!$A$2:$H$1946,7,FALSE),""))</f>
        <v/>
      </c>
    </row>
    <row r="972" spans="13:18" x14ac:dyDescent="0.3">
      <c r="M972" s="18" t="str">
        <f>IF($K972="","",IFERROR(VLOOKUP(--SUBSTITUTE(SUBSTITUTE(TRIM($K972),"-","")," ",""),마스터시트!$A$2:$H$1946,2,FALSE),"미등록"))</f>
        <v/>
      </c>
      <c r="N972" s="53" t="str">
        <f>IF($K972="","",IFERROR(VLOOKUP(--SUBSTITUTE(SUBSTITUTE(TRIM($K972),"-","")," ",""),마스터시트!$A$2:$H$1946,3,FALSE),"미등록"))</f>
        <v/>
      </c>
      <c r="O972" s="18" t="str">
        <f>IF($K972="","",IFERROR(VLOOKUP(--SUBSTITUTE(SUBSTITUTE(TRIM($K972),"-","")," ",""),마스터시트!$A$2:$H$1946,4,FALSE),""))</f>
        <v/>
      </c>
      <c r="P972" s="18" t="str">
        <f>IF($K972="","",IFERROR(VLOOKUP(--SUBSTITUTE(SUBSTITUTE(TRIM($K972),"-","")," ",""),마스터시트!$A$2:$H$1946,5,FALSE),""))</f>
        <v/>
      </c>
      <c r="Q972" s="18" t="str">
        <f>IF($K972="","",IFERROR(VLOOKUP(--SUBSTITUTE(SUBSTITUTE(TRIM($K972),"-","")," ",""),마스터시트!$A$2:$H$1946,6,FALSE),""))</f>
        <v/>
      </c>
      <c r="R972" s="18" t="str">
        <f>IF($K972="","",IFERROR(VLOOKUP(--SUBSTITUTE(SUBSTITUTE(TRIM($K972),"-","")," ",""),마스터시트!$A$2:$H$1946,7,FALSE),""))</f>
        <v/>
      </c>
    </row>
    <row r="973" spans="13:18" x14ac:dyDescent="0.3">
      <c r="M973" s="18" t="str">
        <f>IF($K973="","",IFERROR(VLOOKUP(--SUBSTITUTE(SUBSTITUTE(TRIM($K973),"-","")," ",""),마스터시트!$A$2:$H$1946,2,FALSE),"미등록"))</f>
        <v/>
      </c>
      <c r="N973" s="53" t="str">
        <f>IF($K973="","",IFERROR(VLOOKUP(--SUBSTITUTE(SUBSTITUTE(TRIM($K973),"-","")," ",""),마스터시트!$A$2:$H$1946,3,FALSE),"미등록"))</f>
        <v/>
      </c>
      <c r="O973" s="18" t="str">
        <f>IF($K973="","",IFERROR(VLOOKUP(--SUBSTITUTE(SUBSTITUTE(TRIM($K973),"-","")," ",""),마스터시트!$A$2:$H$1946,4,FALSE),""))</f>
        <v/>
      </c>
      <c r="P973" s="18" t="str">
        <f>IF($K973="","",IFERROR(VLOOKUP(--SUBSTITUTE(SUBSTITUTE(TRIM($K973),"-","")," ",""),마스터시트!$A$2:$H$1946,5,FALSE),""))</f>
        <v/>
      </c>
      <c r="Q973" s="18" t="str">
        <f>IF($K973="","",IFERROR(VLOOKUP(--SUBSTITUTE(SUBSTITUTE(TRIM($K973),"-","")," ",""),마스터시트!$A$2:$H$1946,6,FALSE),""))</f>
        <v/>
      </c>
      <c r="R973" s="18" t="str">
        <f>IF($K973="","",IFERROR(VLOOKUP(--SUBSTITUTE(SUBSTITUTE(TRIM($K973),"-","")," ",""),마스터시트!$A$2:$H$1946,7,FALSE),""))</f>
        <v/>
      </c>
    </row>
    <row r="974" spans="13:18" x14ac:dyDescent="0.3">
      <c r="M974" s="18" t="str">
        <f>IF($K974="","",IFERROR(VLOOKUP(--SUBSTITUTE(SUBSTITUTE(TRIM($K974),"-","")," ",""),마스터시트!$A$2:$H$1946,2,FALSE),"미등록"))</f>
        <v/>
      </c>
      <c r="N974" s="53" t="str">
        <f>IF($K974="","",IFERROR(VLOOKUP(--SUBSTITUTE(SUBSTITUTE(TRIM($K974),"-","")," ",""),마스터시트!$A$2:$H$1946,3,FALSE),"미등록"))</f>
        <v/>
      </c>
      <c r="O974" s="18" t="str">
        <f>IF($K974="","",IFERROR(VLOOKUP(--SUBSTITUTE(SUBSTITUTE(TRIM($K974),"-","")," ",""),마스터시트!$A$2:$H$1946,4,FALSE),""))</f>
        <v/>
      </c>
      <c r="P974" s="18" t="str">
        <f>IF($K974="","",IFERROR(VLOOKUP(--SUBSTITUTE(SUBSTITUTE(TRIM($K974),"-","")," ",""),마스터시트!$A$2:$H$1946,5,FALSE),""))</f>
        <v/>
      </c>
      <c r="Q974" s="18" t="str">
        <f>IF($K974="","",IFERROR(VLOOKUP(--SUBSTITUTE(SUBSTITUTE(TRIM($K974),"-","")," ",""),마스터시트!$A$2:$H$1946,6,FALSE),""))</f>
        <v/>
      </c>
      <c r="R974" s="18" t="str">
        <f>IF($K974="","",IFERROR(VLOOKUP(--SUBSTITUTE(SUBSTITUTE(TRIM($K974),"-","")," ",""),마스터시트!$A$2:$H$1946,7,FALSE),""))</f>
        <v/>
      </c>
    </row>
    <row r="975" spans="13:18" x14ac:dyDescent="0.3">
      <c r="M975" s="18" t="str">
        <f>IF($K975="","",IFERROR(VLOOKUP(--SUBSTITUTE(SUBSTITUTE(TRIM($K975),"-","")," ",""),마스터시트!$A$2:$H$1946,2,FALSE),"미등록"))</f>
        <v/>
      </c>
      <c r="N975" s="53" t="str">
        <f>IF($K975="","",IFERROR(VLOOKUP(--SUBSTITUTE(SUBSTITUTE(TRIM($K975),"-","")," ",""),마스터시트!$A$2:$H$1946,3,FALSE),"미등록"))</f>
        <v/>
      </c>
      <c r="O975" s="18" t="str">
        <f>IF($K975="","",IFERROR(VLOOKUP(--SUBSTITUTE(SUBSTITUTE(TRIM($K975),"-","")," ",""),마스터시트!$A$2:$H$1946,4,FALSE),""))</f>
        <v/>
      </c>
      <c r="P975" s="18" t="str">
        <f>IF($K975="","",IFERROR(VLOOKUP(--SUBSTITUTE(SUBSTITUTE(TRIM($K975),"-","")," ",""),마스터시트!$A$2:$H$1946,5,FALSE),""))</f>
        <v/>
      </c>
      <c r="Q975" s="18" t="str">
        <f>IF($K975="","",IFERROR(VLOOKUP(--SUBSTITUTE(SUBSTITUTE(TRIM($K975),"-","")," ",""),마스터시트!$A$2:$H$1946,6,FALSE),""))</f>
        <v/>
      </c>
      <c r="R975" s="18" t="str">
        <f>IF($K975="","",IFERROR(VLOOKUP(--SUBSTITUTE(SUBSTITUTE(TRIM($K975),"-","")," ",""),마스터시트!$A$2:$H$1946,7,FALSE),""))</f>
        <v/>
      </c>
    </row>
    <row r="976" spans="13:18" x14ac:dyDescent="0.3">
      <c r="M976" s="18" t="str">
        <f>IF($K976="","",IFERROR(VLOOKUP(--SUBSTITUTE(SUBSTITUTE(TRIM($K976),"-","")," ",""),마스터시트!$A$2:$H$1946,2,FALSE),"미등록"))</f>
        <v/>
      </c>
      <c r="N976" s="53" t="str">
        <f>IF($K976="","",IFERROR(VLOOKUP(--SUBSTITUTE(SUBSTITUTE(TRIM($K976),"-","")," ",""),마스터시트!$A$2:$H$1946,3,FALSE),"미등록"))</f>
        <v/>
      </c>
      <c r="O976" s="18" t="str">
        <f>IF($K976="","",IFERROR(VLOOKUP(--SUBSTITUTE(SUBSTITUTE(TRIM($K976),"-","")," ",""),마스터시트!$A$2:$H$1946,4,FALSE),""))</f>
        <v/>
      </c>
      <c r="P976" s="18" t="str">
        <f>IF($K976="","",IFERROR(VLOOKUP(--SUBSTITUTE(SUBSTITUTE(TRIM($K976),"-","")," ",""),마스터시트!$A$2:$H$1946,5,FALSE),""))</f>
        <v/>
      </c>
      <c r="Q976" s="18" t="str">
        <f>IF($K976="","",IFERROR(VLOOKUP(--SUBSTITUTE(SUBSTITUTE(TRIM($K976),"-","")," ",""),마스터시트!$A$2:$H$1946,6,FALSE),""))</f>
        <v/>
      </c>
      <c r="R976" s="18" t="str">
        <f>IF($K976="","",IFERROR(VLOOKUP(--SUBSTITUTE(SUBSTITUTE(TRIM($K976),"-","")," ",""),마스터시트!$A$2:$H$1946,7,FALSE),""))</f>
        <v/>
      </c>
    </row>
    <row r="977" spans="13:18" x14ac:dyDescent="0.3">
      <c r="M977" s="18" t="str">
        <f>IF($K977="","",IFERROR(VLOOKUP(--SUBSTITUTE(SUBSTITUTE(TRIM($K977),"-","")," ",""),마스터시트!$A$2:$H$1946,2,FALSE),"미등록"))</f>
        <v/>
      </c>
      <c r="N977" s="53" t="str">
        <f>IF($K977="","",IFERROR(VLOOKUP(--SUBSTITUTE(SUBSTITUTE(TRIM($K977),"-","")," ",""),마스터시트!$A$2:$H$1946,3,FALSE),"미등록"))</f>
        <v/>
      </c>
      <c r="O977" s="18" t="str">
        <f>IF($K977="","",IFERROR(VLOOKUP(--SUBSTITUTE(SUBSTITUTE(TRIM($K977),"-","")," ",""),마스터시트!$A$2:$H$1946,4,FALSE),""))</f>
        <v/>
      </c>
      <c r="P977" s="18" t="str">
        <f>IF($K977="","",IFERROR(VLOOKUP(--SUBSTITUTE(SUBSTITUTE(TRIM($K977),"-","")," ",""),마스터시트!$A$2:$H$1946,5,FALSE),""))</f>
        <v/>
      </c>
      <c r="Q977" s="18" t="str">
        <f>IF($K977="","",IFERROR(VLOOKUP(--SUBSTITUTE(SUBSTITUTE(TRIM($K977),"-","")," ",""),마스터시트!$A$2:$H$1946,6,FALSE),""))</f>
        <v/>
      </c>
      <c r="R977" s="18" t="str">
        <f>IF($K977="","",IFERROR(VLOOKUP(--SUBSTITUTE(SUBSTITUTE(TRIM($K977),"-","")," ",""),마스터시트!$A$2:$H$1946,7,FALSE),""))</f>
        <v/>
      </c>
    </row>
    <row r="978" spans="13:18" x14ac:dyDescent="0.3">
      <c r="M978" s="18" t="str">
        <f>IF($K978="","",IFERROR(VLOOKUP(--SUBSTITUTE(SUBSTITUTE(TRIM($K978),"-","")," ",""),마스터시트!$A$2:$H$1946,2,FALSE),"미등록"))</f>
        <v/>
      </c>
      <c r="N978" s="53" t="str">
        <f>IF($K978="","",IFERROR(VLOOKUP(--SUBSTITUTE(SUBSTITUTE(TRIM($K978),"-","")," ",""),마스터시트!$A$2:$H$1946,3,FALSE),"미등록"))</f>
        <v/>
      </c>
      <c r="O978" s="18" t="str">
        <f>IF($K978="","",IFERROR(VLOOKUP(--SUBSTITUTE(SUBSTITUTE(TRIM($K978),"-","")," ",""),마스터시트!$A$2:$H$1946,4,FALSE),""))</f>
        <v/>
      </c>
      <c r="P978" s="18" t="str">
        <f>IF($K978="","",IFERROR(VLOOKUP(--SUBSTITUTE(SUBSTITUTE(TRIM($K978),"-","")," ",""),마스터시트!$A$2:$H$1946,5,FALSE),""))</f>
        <v/>
      </c>
      <c r="Q978" s="18" t="str">
        <f>IF($K978="","",IFERROR(VLOOKUP(--SUBSTITUTE(SUBSTITUTE(TRIM($K978),"-","")," ",""),마스터시트!$A$2:$H$1946,6,FALSE),""))</f>
        <v/>
      </c>
      <c r="R978" s="18" t="str">
        <f>IF($K978="","",IFERROR(VLOOKUP(--SUBSTITUTE(SUBSTITUTE(TRIM($K978),"-","")," ",""),마스터시트!$A$2:$H$1946,7,FALSE),""))</f>
        <v/>
      </c>
    </row>
    <row r="979" spans="13:18" x14ac:dyDescent="0.3">
      <c r="M979" s="18" t="str">
        <f>IF($K979="","",IFERROR(VLOOKUP(--SUBSTITUTE(SUBSTITUTE(TRIM($K979),"-","")," ",""),마스터시트!$A$2:$H$1946,2,FALSE),"미등록"))</f>
        <v/>
      </c>
      <c r="N979" s="53" t="str">
        <f>IF($K979="","",IFERROR(VLOOKUP(--SUBSTITUTE(SUBSTITUTE(TRIM($K979),"-","")," ",""),마스터시트!$A$2:$H$1946,3,FALSE),"미등록"))</f>
        <v/>
      </c>
      <c r="O979" s="18" t="str">
        <f>IF($K979="","",IFERROR(VLOOKUP(--SUBSTITUTE(SUBSTITUTE(TRIM($K979),"-","")," ",""),마스터시트!$A$2:$H$1946,4,FALSE),""))</f>
        <v/>
      </c>
      <c r="P979" s="18" t="str">
        <f>IF($K979="","",IFERROR(VLOOKUP(--SUBSTITUTE(SUBSTITUTE(TRIM($K979),"-","")," ",""),마스터시트!$A$2:$H$1946,5,FALSE),""))</f>
        <v/>
      </c>
      <c r="Q979" s="18" t="str">
        <f>IF($K979="","",IFERROR(VLOOKUP(--SUBSTITUTE(SUBSTITUTE(TRIM($K979),"-","")," ",""),마스터시트!$A$2:$H$1946,6,FALSE),""))</f>
        <v/>
      </c>
      <c r="R979" s="18" t="str">
        <f>IF($K979="","",IFERROR(VLOOKUP(--SUBSTITUTE(SUBSTITUTE(TRIM($K979),"-","")," ",""),마스터시트!$A$2:$H$1946,7,FALSE),""))</f>
        <v/>
      </c>
    </row>
    <row r="980" spans="13:18" x14ac:dyDescent="0.3">
      <c r="M980" s="18" t="str">
        <f>IF($K980="","",IFERROR(VLOOKUP(--SUBSTITUTE(SUBSTITUTE(TRIM($K980),"-","")," ",""),마스터시트!$A$2:$H$1946,2,FALSE),"미등록"))</f>
        <v/>
      </c>
      <c r="N980" s="53" t="str">
        <f>IF($K980="","",IFERROR(VLOOKUP(--SUBSTITUTE(SUBSTITUTE(TRIM($K980),"-","")," ",""),마스터시트!$A$2:$H$1946,3,FALSE),"미등록"))</f>
        <v/>
      </c>
      <c r="O980" s="18" t="str">
        <f>IF($K980="","",IFERROR(VLOOKUP(--SUBSTITUTE(SUBSTITUTE(TRIM($K980),"-","")," ",""),마스터시트!$A$2:$H$1946,4,FALSE),""))</f>
        <v/>
      </c>
      <c r="P980" s="18" t="str">
        <f>IF($K980="","",IFERROR(VLOOKUP(--SUBSTITUTE(SUBSTITUTE(TRIM($K980),"-","")," ",""),마스터시트!$A$2:$H$1946,5,FALSE),""))</f>
        <v/>
      </c>
      <c r="Q980" s="18" t="str">
        <f>IF($K980="","",IFERROR(VLOOKUP(--SUBSTITUTE(SUBSTITUTE(TRIM($K980),"-","")," ",""),마스터시트!$A$2:$H$1946,6,FALSE),""))</f>
        <v/>
      </c>
      <c r="R980" s="18" t="str">
        <f>IF($K980="","",IFERROR(VLOOKUP(--SUBSTITUTE(SUBSTITUTE(TRIM($K980),"-","")," ",""),마스터시트!$A$2:$H$1946,7,FALSE),""))</f>
        <v/>
      </c>
    </row>
    <row r="981" spans="13:18" x14ac:dyDescent="0.3">
      <c r="M981" s="18" t="str">
        <f>IF($K981="","",IFERROR(VLOOKUP(--SUBSTITUTE(SUBSTITUTE(TRIM($K981),"-","")," ",""),마스터시트!$A$2:$H$1946,2,FALSE),"미등록"))</f>
        <v/>
      </c>
      <c r="N981" s="53" t="str">
        <f>IF($K981="","",IFERROR(VLOOKUP(--SUBSTITUTE(SUBSTITUTE(TRIM($K981),"-","")," ",""),마스터시트!$A$2:$H$1946,3,FALSE),"미등록"))</f>
        <v/>
      </c>
      <c r="O981" s="18" t="str">
        <f>IF($K981="","",IFERROR(VLOOKUP(--SUBSTITUTE(SUBSTITUTE(TRIM($K981),"-","")," ",""),마스터시트!$A$2:$H$1946,4,FALSE),""))</f>
        <v/>
      </c>
      <c r="P981" s="18" t="str">
        <f>IF($K981="","",IFERROR(VLOOKUP(--SUBSTITUTE(SUBSTITUTE(TRIM($K981),"-","")," ",""),마스터시트!$A$2:$H$1946,5,FALSE),""))</f>
        <v/>
      </c>
      <c r="Q981" s="18" t="str">
        <f>IF($K981="","",IFERROR(VLOOKUP(--SUBSTITUTE(SUBSTITUTE(TRIM($K981),"-","")," ",""),마스터시트!$A$2:$H$1946,6,FALSE),""))</f>
        <v/>
      </c>
      <c r="R981" s="18" t="str">
        <f>IF($K981="","",IFERROR(VLOOKUP(--SUBSTITUTE(SUBSTITUTE(TRIM($K981),"-","")," ",""),마스터시트!$A$2:$H$1946,7,FALSE),""))</f>
        <v/>
      </c>
    </row>
    <row r="982" spans="13:18" x14ac:dyDescent="0.3">
      <c r="M982" s="18" t="str">
        <f>IF($K982="","",IFERROR(VLOOKUP(--SUBSTITUTE(SUBSTITUTE(TRIM($K982),"-","")," ",""),마스터시트!$A$2:$H$1946,2,FALSE),"미등록"))</f>
        <v/>
      </c>
      <c r="N982" s="53" t="str">
        <f>IF($K982="","",IFERROR(VLOOKUP(--SUBSTITUTE(SUBSTITUTE(TRIM($K982),"-","")," ",""),마스터시트!$A$2:$H$1946,3,FALSE),"미등록"))</f>
        <v/>
      </c>
      <c r="O982" s="18" t="str">
        <f>IF($K982="","",IFERROR(VLOOKUP(--SUBSTITUTE(SUBSTITUTE(TRIM($K982),"-","")," ",""),마스터시트!$A$2:$H$1946,4,FALSE),""))</f>
        <v/>
      </c>
      <c r="P982" s="18" t="str">
        <f>IF($K982="","",IFERROR(VLOOKUP(--SUBSTITUTE(SUBSTITUTE(TRIM($K982),"-","")," ",""),마스터시트!$A$2:$H$1946,5,FALSE),""))</f>
        <v/>
      </c>
      <c r="Q982" s="18" t="str">
        <f>IF($K982="","",IFERROR(VLOOKUP(--SUBSTITUTE(SUBSTITUTE(TRIM($K982),"-","")," ",""),마스터시트!$A$2:$H$1946,6,FALSE),""))</f>
        <v/>
      </c>
      <c r="R982" s="18" t="str">
        <f>IF($K982="","",IFERROR(VLOOKUP(--SUBSTITUTE(SUBSTITUTE(TRIM($K982),"-","")," ",""),마스터시트!$A$2:$H$1946,7,FALSE),""))</f>
        <v/>
      </c>
    </row>
    <row r="983" spans="13:18" x14ac:dyDescent="0.3">
      <c r="M983" s="18" t="str">
        <f>IF($K983="","",IFERROR(VLOOKUP(--SUBSTITUTE(SUBSTITUTE(TRIM($K983),"-","")," ",""),마스터시트!$A$2:$H$1946,2,FALSE),"미등록"))</f>
        <v/>
      </c>
      <c r="N983" s="53" t="str">
        <f>IF($K983="","",IFERROR(VLOOKUP(--SUBSTITUTE(SUBSTITUTE(TRIM($K983),"-","")," ",""),마스터시트!$A$2:$H$1946,3,FALSE),"미등록"))</f>
        <v/>
      </c>
      <c r="O983" s="18" t="str">
        <f>IF($K983="","",IFERROR(VLOOKUP(--SUBSTITUTE(SUBSTITUTE(TRIM($K983),"-","")," ",""),마스터시트!$A$2:$H$1946,4,FALSE),""))</f>
        <v/>
      </c>
      <c r="P983" s="18" t="str">
        <f>IF($K983="","",IFERROR(VLOOKUP(--SUBSTITUTE(SUBSTITUTE(TRIM($K983),"-","")," ",""),마스터시트!$A$2:$H$1946,5,FALSE),""))</f>
        <v/>
      </c>
      <c r="Q983" s="18" t="str">
        <f>IF($K983="","",IFERROR(VLOOKUP(--SUBSTITUTE(SUBSTITUTE(TRIM($K983),"-","")," ",""),마스터시트!$A$2:$H$1946,6,FALSE),""))</f>
        <v/>
      </c>
      <c r="R983" s="18" t="str">
        <f>IF($K983="","",IFERROR(VLOOKUP(--SUBSTITUTE(SUBSTITUTE(TRIM($K983),"-","")," ",""),마스터시트!$A$2:$H$1946,7,FALSE),""))</f>
        <v/>
      </c>
    </row>
    <row r="984" spans="13:18" x14ac:dyDescent="0.3">
      <c r="M984" s="18" t="str">
        <f>IF($K984="","",IFERROR(VLOOKUP(--SUBSTITUTE(SUBSTITUTE(TRIM($K984),"-","")," ",""),마스터시트!$A$2:$H$1946,2,FALSE),"미등록"))</f>
        <v/>
      </c>
      <c r="N984" s="53" t="str">
        <f>IF($K984="","",IFERROR(VLOOKUP(--SUBSTITUTE(SUBSTITUTE(TRIM($K984),"-","")," ",""),마스터시트!$A$2:$H$1946,3,FALSE),"미등록"))</f>
        <v/>
      </c>
      <c r="O984" s="18" t="str">
        <f>IF($K984="","",IFERROR(VLOOKUP(--SUBSTITUTE(SUBSTITUTE(TRIM($K984),"-","")," ",""),마스터시트!$A$2:$H$1946,4,FALSE),""))</f>
        <v/>
      </c>
      <c r="P984" s="18" t="str">
        <f>IF($K984="","",IFERROR(VLOOKUP(--SUBSTITUTE(SUBSTITUTE(TRIM($K984),"-","")," ",""),마스터시트!$A$2:$H$1946,5,FALSE),""))</f>
        <v/>
      </c>
      <c r="Q984" s="18" t="str">
        <f>IF($K984="","",IFERROR(VLOOKUP(--SUBSTITUTE(SUBSTITUTE(TRIM($K984),"-","")," ",""),마스터시트!$A$2:$H$1946,6,FALSE),""))</f>
        <v/>
      </c>
      <c r="R984" s="18" t="str">
        <f>IF($K984="","",IFERROR(VLOOKUP(--SUBSTITUTE(SUBSTITUTE(TRIM($K984),"-","")," ",""),마스터시트!$A$2:$H$1946,7,FALSE),""))</f>
        <v/>
      </c>
    </row>
    <row r="985" spans="13:18" x14ac:dyDescent="0.3">
      <c r="M985" s="18" t="str">
        <f>IF($K985="","",IFERROR(VLOOKUP(--SUBSTITUTE(SUBSTITUTE(TRIM($K985),"-","")," ",""),마스터시트!$A$2:$H$1946,2,FALSE),"미등록"))</f>
        <v/>
      </c>
      <c r="N985" s="53" t="str">
        <f>IF($K985="","",IFERROR(VLOOKUP(--SUBSTITUTE(SUBSTITUTE(TRIM($K985),"-","")," ",""),마스터시트!$A$2:$H$1946,3,FALSE),"미등록"))</f>
        <v/>
      </c>
      <c r="O985" s="18" t="str">
        <f>IF($K985="","",IFERROR(VLOOKUP(--SUBSTITUTE(SUBSTITUTE(TRIM($K985),"-","")," ",""),마스터시트!$A$2:$H$1946,4,FALSE),""))</f>
        <v/>
      </c>
      <c r="P985" s="18" t="str">
        <f>IF($K985="","",IFERROR(VLOOKUP(--SUBSTITUTE(SUBSTITUTE(TRIM($K985),"-","")," ",""),마스터시트!$A$2:$H$1946,5,FALSE),""))</f>
        <v/>
      </c>
      <c r="Q985" s="18" t="str">
        <f>IF($K985="","",IFERROR(VLOOKUP(--SUBSTITUTE(SUBSTITUTE(TRIM($K985),"-","")," ",""),마스터시트!$A$2:$H$1946,6,FALSE),""))</f>
        <v/>
      </c>
      <c r="R985" s="18" t="str">
        <f>IF($K985="","",IFERROR(VLOOKUP(--SUBSTITUTE(SUBSTITUTE(TRIM($K985),"-","")," ",""),마스터시트!$A$2:$H$1946,7,FALSE),""))</f>
        <v/>
      </c>
    </row>
    <row r="986" spans="13:18" x14ac:dyDescent="0.3">
      <c r="M986" s="18" t="str">
        <f>IF($K986="","",IFERROR(VLOOKUP(--SUBSTITUTE(SUBSTITUTE(TRIM($K986),"-","")," ",""),마스터시트!$A$2:$H$1946,2,FALSE),"미등록"))</f>
        <v/>
      </c>
      <c r="N986" s="53" t="str">
        <f>IF($K986="","",IFERROR(VLOOKUP(--SUBSTITUTE(SUBSTITUTE(TRIM($K986),"-","")," ",""),마스터시트!$A$2:$H$1946,3,FALSE),"미등록"))</f>
        <v/>
      </c>
      <c r="O986" s="18" t="str">
        <f>IF($K986="","",IFERROR(VLOOKUP(--SUBSTITUTE(SUBSTITUTE(TRIM($K986),"-","")," ",""),마스터시트!$A$2:$H$1946,4,FALSE),""))</f>
        <v/>
      </c>
      <c r="P986" s="18" t="str">
        <f>IF($K986="","",IFERROR(VLOOKUP(--SUBSTITUTE(SUBSTITUTE(TRIM($K986),"-","")," ",""),마스터시트!$A$2:$H$1946,5,FALSE),""))</f>
        <v/>
      </c>
      <c r="Q986" s="18" t="str">
        <f>IF($K986="","",IFERROR(VLOOKUP(--SUBSTITUTE(SUBSTITUTE(TRIM($K986),"-","")," ",""),마스터시트!$A$2:$H$1946,6,FALSE),""))</f>
        <v/>
      </c>
      <c r="R986" s="18" t="str">
        <f>IF($K986="","",IFERROR(VLOOKUP(--SUBSTITUTE(SUBSTITUTE(TRIM($K986),"-","")," ",""),마스터시트!$A$2:$H$1946,7,FALSE),""))</f>
        <v/>
      </c>
    </row>
    <row r="987" spans="13:18" x14ac:dyDescent="0.3">
      <c r="M987" s="18" t="str">
        <f>IF($K987="","",IFERROR(VLOOKUP(--SUBSTITUTE(SUBSTITUTE(TRIM($K987),"-","")," ",""),마스터시트!$A$2:$H$1946,2,FALSE),"미등록"))</f>
        <v/>
      </c>
      <c r="N987" s="53" t="str">
        <f>IF($K987="","",IFERROR(VLOOKUP(--SUBSTITUTE(SUBSTITUTE(TRIM($K987),"-","")," ",""),마스터시트!$A$2:$H$1946,3,FALSE),"미등록"))</f>
        <v/>
      </c>
      <c r="O987" s="18" t="str">
        <f>IF($K987="","",IFERROR(VLOOKUP(--SUBSTITUTE(SUBSTITUTE(TRIM($K987),"-","")," ",""),마스터시트!$A$2:$H$1946,4,FALSE),""))</f>
        <v/>
      </c>
      <c r="P987" s="18" t="str">
        <f>IF($K987="","",IFERROR(VLOOKUP(--SUBSTITUTE(SUBSTITUTE(TRIM($K987),"-","")," ",""),마스터시트!$A$2:$H$1946,5,FALSE),""))</f>
        <v/>
      </c>
      <c r="Q987" s="18" t="str">
        <f>IF($K987="","",IFERROR(VLOOKUP(--SUBSTITUTE(SUBSTITUTE(TRIM($K987),"-","")," ",""),마스터시트!$A$2:$H$1946,6,FALSE),""))</f>
        <v/>
      </c>
      <c r="R987" s="18" t="str">
        <f>IF($K987="","",IFERROR(VLOOKUP(--SUBSTITUTE(SUBSTITUTE(TRIM($K987),"-","")," ",""),마스터시트!$A$2:$H$1946,7,FALSE),""))</f>
        <v/>
      </c>
    </row>
    <row r="988" spans="13:18" x14ac:dyDescent="0.3">
      <c r="M988" s="18" t="str">
        <f>IF($K988="","",IFERROR(VLOOKUP(--SUBSTITUTE(SUBSTITUTE(TRIM($K988),"-","")," ",""),마스터시트!$A$2:$H$1946,2,FALSE),"미등록"))</f>
        <v/>
      </c>
      <c r="N988" s="53" t="str">
        <f>IF($K988="","",IFERROR(VLOOKUP(--SUBSTITUTE(SUBSTITUTE(TRIM($K988),"-","")," ",""),마스터시트!$A$2:$H$1946,3,FALSE),"미등록"))</f>
        <v/>
      </c>
      <c r="O988" s="18" t="str">
        <f>IF($K988="","",IFERROR(VLOOKUP(--SUBSTITUTE(SUBSTITUTE(TRIM($K988),"-","")," ",""),마스터시트!$A$2:$H$1946,4,FALSE),""))</f>
        <v/>
      </c>
      <c r="P988" s="18" t="str">
        <f>IF($K988="","",IFERROR(VLOOKUP(--SUBSTITUTE(SUBSTITUTE(TRIM($K988),"-","")," ",""),마스터시트!$A$2:$H$1946,5,FALSE),""))</f>
        <v/>
      </c>
      <c r="Q988" s="18" t="str">
        <f>IF($K988="","",IFERROR(VLOOKUP(--SUBSTITUTE(SUBSTITUTE(TRIM($K988),"-","")," ",""),마스터시트!$A$2:$H$1946,6,FALSE),""))</f>
        <v/>
      </c>
      <c r="R988" s="18" t="str">
        <f>IF($K988="","",IFERROR(VLOOKUP(--SUBSTITUTE(SUBSTITUTE(TRIM($K988),"-","")," ",""),마스터시트!$A$2:$H$1946,7,FALSE),""))</f>
        <v/>
      </c>
    </row>
    <row r="989" spans="13:18" x14ac:dyDescent="0.3">
      <c r="M989" s="18" t="str">
        <f>IF($K989="","",IFERROR(VLOOKUP(--SUBSTITUTE(SUBSTITUTE(TRIM($K989),"-","")," ",""),마스터시트!$A$2:$H$1946,2,FALSE),"미등록"))</f>
        <v/>
      </c>
      <c r="N989" s="53" t="str">
        <f>IF($K989="","",IFERROR(VLOOKUP(--SUBSTITUTE(SUBSTITUTE(TRIM($K989),"-","")," ",""),마스터시트!$A$2:$H$1946,3,FALSE),"미등록"))</f>
        <v/>
      </c>
      <c r="O989" s="18" t="str">
        <f>IF($K989="","",IFERROR(VLOOKUP(--SUBSTITUTE(SUBSTITUTE(TRIM($K989),"-","")," ",""),마스터시트!$A$2:$H$1946,4,FALSE),""))</f>
        <v/>
      </c>
      <c r="P989" s="18" t="str">
        <f>IF($K989="","",IFERROR(VLOOKUP(--SUBSTITUTE(SUBSTITUTE(TRIM($K989),"-","")," ",""),마스터시트!$A$2:$H$1946,5,FALSE),""))</f>
        <v/>
      </c>
      <c r="Q989" s="18" t="str">
        <f>IF($K989="","",IFERROR(VLOOKUP(--SUBSTITUTE(SUBSTITUTE(TRIM($K989),"-","")," ",""),마스터시트!$A$2:$H$1946,6,FALSE),""))</f>
        <v/>
      </c>
      <c r="R989" s="18" t="str">
        <f>IF($K989="","",IFERROR(VLOOKUP(--SUBSTITUTE(SUBSTITUTE(TRIM($K989),"-","")," ",""),마스터시트!$A$2:$H$1946,7,FALSE),""))</f>
        <v/>
      </c>
    </row>
    <row r="990" spans="13:18" x14ac:dyDescent="0.3">
      <c r="M990" s="18" t="str">
        <f>IF($K990="","",IFERROR(VLOOKUP(--SUBSTITUTE(SUBSTITUTE(TRIM($K990),"-","")," ",""),마스터시트!$A$2:$H$1946,2,FALSE),"미등록"))</f>
        <v/>
      </c>
      <c r="N990" s="53" t="str">
        <f>IF($K990="","",IFERROR(VLOOKUP(--SUBSTITUTE(SUBSTITUTE(TRIM($K990),"-","")," ",""),마스터시트!$A$2:$H$1946,3,FALSE),"미등록"))</f>
        <v/>
      </c>
      <c r="O990" s="18" t="str">
        <f>IF($K990="","",IFERROR(VLOOKUP(--SUBSTITUTE(SUBSTITUTE(TRIM($K990),"-","")," ",""),마스터시트!$A$2:$H$1946,4,FALSE),""))</f>
        <v/>
      </c>
      <c r="P990" s="18" t="str">
        <f>IF($K990="","",IFERROR(VLOOKUP(--SUBSTITUTE(SUBSTITUTE(TRIM($K990),"-","")," ",""),마스터시트!$A$2:$H$1946,5,FALSE),""))</f>
        <v/>
      </c>
      <c r="Q990" s="18" t="str">
        <f>IF($K990="","",IFERROR(VLOOKUP(--SUBSTITUTE(SUBSTITUTE(TRIM($K990),"-","")," ",""),마스터시트!$A$2:$H$1946,6,FALSE),""))</f>
        <v/>
      </c>
      <c r="R990" s="18" t="str">
        <f>IF($K990="","",IFERROR(VLOOKUP(--SUBSTITUTE(SUBSTITUTE(TRIM($K990),"-","")," ",""),마스터시트!$A$2:$H$1946,7,FALSE),""))</f>
        <v/>
      </c>
    </row>
    <row r="991" spans="13:18" x14ac:dyDescent="0.3">
      <c r="M991" s="18" t="str">
        <f>IF($K991="","",IFERROR(VLOOKUP(--SUBSTITUTE(SUBSTITUTE(TRIM($K991),"-","")," ",""),마스터시트!$A$2:$H$1946,2,FALSE),"미등록"))</f>
        <v/>
      </c>
      <c r="N991" s="53" t="str">
        <f>IF($K991="","",IFERROR(VLOOKUP(--SUBSTITUTE(SUBSTITUTE(TRIM($K991),"-","")," ",""),마스터시트!$A$2:$H$1946,3,FALSE),"미등록"))</f>
        <v/>
      </c>
      <c r="O991" s="18" t="str">
        <f>IF($K991="","",IFERROR(VLOOKUP(--SUBSTITUTE(SUBSTITUTE(TRIM($K991),"-","")," ",""),마스터시트!$A$2:$H$1946,4,FALSE),""))</f>
        <v/>
      </c>
      <c r="P991" s="18" t="str">
        <f>IF($K991="","",IFERROR(VLOOKUP(--SUBSTITUTE(SUBSTITUTE(TRIM($K991),"-","")," ",""),마스터시트!$A$2:$H$1946,5,FALSE),""))</f>
        <v/>
      </c>
      <c r="Q991" s="18" t="str">
        <f>IF($K991="","",IFERROR(VLOOKUP(--SUBSTITUTE(SUBSTITUTE(TRIM($K991),"-","")," ",""),마스터시트!$A$2:$H$1946,6,FALSE),""))</f>
        <v/>
      </c>
      <c r="R991" s="18" t="str">
        <f>IF($K991="","",IFERROR(VLOOKUP(--SUBSTITUTE(SUBSTITUTE(TRIM($K991),"-","")," ",""),마스터시트!$A$2:$H$1946,7,FALSE),""))</f>
        <v/>
      </c>
    </row>
    <row r="992" spans="13:18" x14ac:dyDescent="0.3">
      <c r="M992" s="18" t="str">
        <f>IF($K992="","",IFERROR(VLOOKUP(--SUBSTITUTE(SUBSTITUTE(TRIM($K992),"-","")," ",""),마스터시트!$A$2:$H$1946,2,FALSE),"미등록"))</f>
        <v/>
      </c>
      <c r="N992" s="53" t="str">
        <f>IF($K992="","",IFERROR(VLOOKUP(--SUBSTITUTE(SUBSTITUTE(TRIM($K992),"-","")," ",""),마스터시트!$A$2:$H$1946,3,FALSE),"미등록"))</f>
        <v/>
      </c>
      <c r="O992" s="18" t="str">
        <f>IF($K992="","",IFERROR(VLOOKUP(--SUBSTITUTE(SUBSTITUTE(TRIM($K992),"-","")," ",""),마스터시트!$A$2:$H$1946,4,FALSE),""))</f>
        <v/>
      </c>
      <c r="P992" s="18" t="str">
        <f>IF($K992="","",IFERROR(VLOOKUP(--SUBSTITUTE(SUBSTITUTE(TRIM($K992),"-","")," ",""),마스터시트!$A$2:$H$1946,5,FALSE),""))</f>
        <v/>
      </c>
      <c r="Q992" s="18" t="str">
        <f>IF($K992="","",IFERROR(VLOOKUP(--SUBSTITUTE(SUBSTITUTE(TRIM($K992),"-","")," ",""),마스터시트!$A$2:$H$1946,6,FALSE),""))</f>
        <v/>
      </c>
      <c r="R992" s="18" t="str">
        <f>IF($K992="","",IFERROR(VLOOKUP(--SUBSTITUTE(SUBSTITUTE(TRIM($K992),"-","")," ",""),마스터시트!$A$2:$H$1946,7,FALSE),""))</f>
        <v/>
      </c>
    </row>
    <row r="993" spans="13:18" x14ac:dyDescent="0.3">
      <c r="M993" s="18" t="str">
        <f>IF($K993="","",IFERROR(VLOOKUP(--SUBSTITUTE(SUBSTITUTE(TRIM($K993),"-","")," ",""),마스터시트!$A$2:$H$1946,2,FALSE),"미등록"))</f>
        <v/>
      </c>
      <c r="N993" s="53" t="str">
        <f>IF($K993="","",IFERROR(VLOOKUP(--SUBSTITUTE(SUBSTITUTE(TRIM($K993),"-","")," ",""),마스터시트!$A$2:$H$1946,3,FALSE),"미등록"))</f>
        <v/>
      </c>
      <c r="O993" s="18" t="str">
        <f>IF($K993="","",IFERROR(VLOOKUP(--SUBSTITUTE(SUBSTITUTE(TRIM($K993),"-","")," ",""),마스터시트!$A$2:$H$1946,4,FALSE),""))</f>
        <v/>
      </c>
      <c r="P993" s="18" t="str">
        <f>IF($K993="","",IFERROR(VLOOKUP(--SUBSTITUTE(SUBSTITUTE(TRIM($K993),"-","")," ",""),마스터시트!$A$2:$H$1946,5,FALSE),""))</f>
        <v/>
      </c>
      <c r="Q993" s="18" t="str">
        <f>IF($K993="","",IFERROR(VLOOKUP(--SUBSTITUTE(SUBSTITUTE(TRIM($K993),"-","")," ",""),마스터시트!$A$2:$H$1946,6,FALSE),""))</f>
        <v/>
      </c>
      <c r="R993" s="18" t="str">
        <f>IF($K993="","",IFERROR(VLOOKUP(--SUBSTITUTE(SUBSTITUTE(TRIM($K993),"-","")," ",""),마스터시트!$A$2:$H$1946,7,FALSE),""))</f>
        <v/>
      </c>
    </row>
    <row r="994" spans="13:18" x14ac:dyDescent="0.3">
      <c r="M994" s="18" t="str">
        <f>IF($K994="","",IFERROR(VLOOKUP(--SUBSTITUTE(SUBSTITUTE(TRIM($K994),"-","")," ",""),마스터시트!$A$2:$H$1946,2,FALSE),"미등록"))</f>
        <v/>
      </c>
      <c r="N994" s="53" t="str">
        <f>IF($K994="","",IFERROR(VLOOKUP(--SUBSTITUTE(SUBSTITUTE(TRIM($K994),"-","")," ",""),마스터시트!$A$2:$H$1946,3,FALSE),"미등록"))</f>
        <v/>
      </c>
      <c r="O994" s="18" t="str">
        <f>IF($K994="","",IFERROR(VLOOKUP(--SUBSTITUTE(SUBSTITUTE(TRIM($K994),"-","")," ",""),마스터시트!$A$2:$H$1946,4,FALSE),""))</f>
        <v/>
      </c>
      <c r="P994" s="18" t="str">
        <f>IF($K994="","",IFERROR(VLOOKUP(--SUBSTITUTE(SUBSTITUTE(TRIM($K994),"-","")," ",""),마스터시트!$A$2:$H$1946,5,FALSE),""))</f>
        <v/>
      </c>
      <c r="Q994" s="18" t="str">
        <f>IF($K994="","",IFERROR(VLOOKUP(--SUBSTITUTE(SUBSTITUTE(TRIM($K994),"-","")," ",""),마스터시트!$A$2:$H$1946,6,FALSE),""))</f>
        <v/>
      </c>
      <c r="R994" s="18" t="str">
        <f>IF($K994="","",IFERROR(VLOOKUP(--SUBSTITUTE(SUBSTITUTE(TRIM($K994),"-","")," ",""),마스터시트!$A$2:$H$1946,7,FALSE),""))</f>
        <v/>
      </c>
    </row>
    <row r="995" spans="13:18" x14ac:dyDescent="0.3">
      <c r="M995" s="18" t="str">
        <f>IF($K995="","",IFERROR(VLOOKUP(--SUBSTITUTE(SUBSTITUTE(TRIM($K995),"-","")," ",""),마스터시트!$A$2:$H$1946,2,FALSE),"미등록"))</f>
        <v/>
      </c>
      <c r="N995" s="53" t="str">
        <f>IF($K995="","",IFERROR(VLOOKUP(--SUBSTITUTE(SUBSTITUTE(TRIM($K995),"-","")," ",""),마스터시트!$A$2:$H$1946,3,FALSE),"미등록"))</f>
        <v/>
      </c>
      <c r="O995" s="18" t="str">
        <f>IF($K995="","",IFERROR(VLOOKUP(--SUBSTITUTE(SUBSTITUTE(TRIM($K995),"-","")," ",""),마스터시트!$A$2:$H$1946,4,FALSE),""))</f>
        <v/>
      </c>
      <c r="P995" s="18" t="str">
        <f>IF($K995="","",IFERROR(VLOOKUP(--SUBSTITUTE(SUBSTITUTE(TRIM($K995),"-","")," ",""),마스터시트!$A$2:$H$1946,5,FALSE),""))</f>
        <v/>
      </c>
      <c r="Q995" s="18" t="str">
        <f>IF($K995="","",IFERROR(VLOOKUP(--SUBSTITUTE(SUBSTITUTE(TRIM($K995),"-","")," ",""),마스터시트!$A$2:$H$1946,6,FALSE),""))</f>
        <v/>
      </c>
      <c r="R995" s="18" t="str">
        <f>IF($K995="","",IFERROR(VLOOKUP(--SUBSTITUTE(SUBSTITUTE(TRIM($K995),"-","")," ",""),마스터시트!$A$2:$H$1946,7,FALSE),""))</f>
        <v/>
      </c>
    </row>
    <row r="996" spans="13:18" x14ac:dyDescent="0.3">
      <c r="M996" s="18" t="str">
        <f>IF($K996="","",IFERROR(VLOOKUP(--SUBSTITUTE(SUBSTITUTE(TRIM($K996),"-","")," ",""),마스터시트!$A$2:$H$1946,2,FALSE),"미등록"))</f>
        <v/>
      </c>
      <c r="N996" s="53" t="str">
        <f>IF($K996="","",IFERROR(VLOOKUP(--SUBSTITUTE(SUBSTITUTE(TRIM($K996),"-","")," ",""),마스터시트!$A$2:$H$1946,3,FALSE),"미등록"))</f>
        <v/>
      </c>
      <c r="O996" s="18" t="str">
        <f>IF($K996="","",IFERROR(VLOOKUP(--SUBSTITUTE(SUBSTITUTE(TRIM($K996),"-","")," ",""),마스터시트!$A$2:$H$1946,4,FALSE),""))</f>
        <v/>
      </c>
      <c r="P996" s="18" t="str">
        <f>IF($K996="","",IFERROR(VLOOKUP(--SUBSTITUTE(SUBSTITUTE(TRIM($K996),"-","")," ",""),마스터시트!$A$2:$H$1946,5,FALSE),""))</f>
        <v/>
      </c>
      <c r="Q996" s="18" t="str">
        <f>IF($K996="","",IFERROR(VLOOKUP(--SUBSTITUTE(SUBSTITUTE(TRIM($K996),"-","")," ",""),마스터시트!$A$2:$H$1946,6,FALSE),""))</f>
        <v/>
      </c>
      <c r="R996" s="18" t="str">
        <f>IF($K996="","",IFERROR(VLOOKUP(--SUBSTITUTE(SUBSTITUTE(TRIM($K996),"-","")," ",""),마스터시트!$A$2:$H$1946,7,FALSE),""))</f>
        <v/>
      </c>
    </row>
    <row r="997" spans="13:18" x14ac:dyDescent="0.3">
      <c r="M997" s="18" t="str">
        <f>IF($K997="","",IFERROR(VLOOKUP(--SUBSTITUTE(SUBSTITUTE(TRIM($K997),"-","")," ",""),마스터시트!$A$2:$H$1946,2,FALSE),"미등록"))</f>
        <v/>
      </c>
      <c r="N997" s="53" t="str">
        <f>IF($K997="","",IFERROR(VLOOKUP(--SUBSTITUTE(SUBSTITUTE(TRIM($K997),"-","")," ",""),마스터시트!$A$2:$H$1946,3,FALSE),"미등록"))</f>
        <v/>
      </c>
      <c r="O997" s="18" t="str">
        <f>IF($K997="","",IFERROR(VLOOKUP(--SUBSTITUTE(SUBSTITUTE(TRIM($K997),"-","")," ",""),마스터시트!$A$2:$H$1946,4,FALSE),""))</f>
        <v/>
      </c>
      <c r="P997" s="18" t="str">
        <f>IF($K997="","",IFERROR(VLOOKUP(--SUBSTITUTE(SUBSTITUTE(TRIM($K997),"-","")," ",""),마스터시트!$A$2:$H$1946,5,FALSE),""))</f>
        <v/>
      </c>
      <c r="Q997" s="18" t="str">
        <f>IF($K997="","",IFERROR(VLOOKUP(--SUBSTITUTE(SUBSTITUTE(TRIM($K997),"-","")," ",""),마스터시트!$A$2:$H$1946,6,FALSE),""))</f>
        <v/>
      </c>
      <c r="R997" s="18" t="str">
        <f>IF($K997="","",IFERROR(VLOOKUP(--SUBSTITUTE(SUBSTITUTE(TRIM($K997),"-","")," ",""),마스터시트!$A$2:$H$1946,7,FALSE),""))</f>
        <v/>
      </c>
    </row>
    <row r="998" spans="13:18" x14ac:dyDescent="0.3">
      <c r="M998" s="18" t="str">
        <f>IF($K998="","",IFERROR(VLOOKUP(--SUBSTITUTE(SUBSTITUTE(TRIM($K998),"-","")," ",""),마스터시트!$A$2:$H$1946,2,FALSE),"미등록"))</f>
        <v/>
      </c>
      <c r="N998" s="53" t="str">
        <f>IF($K998="","",IFERROR(VLOOKUP(--SUBSTITUTE(SUBSTITUTE(TRIM($K998),"-","")," ",""),마스터시트!$A$2:$H$1946,3,FALSE),"미등록"))</f>
        <v/>
      </c>
      <c r="O998" s="18" t="str">
        <f>IF($K998="","",IFERROR(VLOOKUP(--SUBSTITUTE(SUBSTITUTE(TRIM($K998),"-","")," ",""),마스터시트!$A$2:$H$1946,4,FALSE),""))</f>
        <v/>
      </c>
      <c r="P998" s="18" t="str">
        <f>IF($K998="","",IFERROR(VLOOKUP(--SUBSTITUTE(SUBSTITUTE(TRIM($K998),"-","")," ",""),마스터시트!$A$2:$H$1946,5,FALSE),""))</f>
        <v/>
      </c>
      <c r="Q998" s="18" t="str">
        <f>IF($K998="","",IFERROR(VLOOKUP(--SUBSTITUTE(SUBSTITUTE(TRIM($K998),"-","")," ",""),마스터시트!$A$2:$H$1946,6,FALSE),""))</f>
        <v/>
      </c>
      <c r="R998" s="18" t="str">
        <f>IF($K998="","",IFERROR(VLOOKUP(--SUBSTITUTE(SUBSTITUTE(TRIM($K998),"-","")," ",""),마스터시트!$A$2:$H$1946,7,FALSE),""))</f>
        <v/>
      </c>
    </row>
    <row r="999" spans="13:18" x14ac:dyDescent="0.3">
      <c r="M999" s="18" t="str">
        <f>IF($K999="","",IFERROR(VLOOKUP(--SUBSTITUTE(SUBSTITUTE(TRIM($K999),"-","")," ",""),마스터시트!$A$2:$H$1946,2,FALSE),"미등록"))</f>
        <v/>
      </c>
      <c r="N999" s="53" t="str">
        <f>IF($K999="","",IFERROR(VLOOKUP(--SUBSTITUTE(SUBSTITUTE(TRIM($K999),"-","")," ",""),마스터시트!$A$2:$H$1946,3,FALSE),"미등록"))</f>
        <v/>
      </c>
      <c r="O999" s="18" t="str">
        <f>IF($K999="","",IFERROR(VLOOKUP(--SUBSTITUTE(SUBSTITUTE(TRIM($K999),"-","")," ",""),마스터시트!$A$2:$H$1946,4,FALSE),""))</f>
        <v/>
      </c>
      <c r="P999" s="18" t="str">
        <f>IF($K999="","",IFERROR(VLOOKUP(--SUBSTITUTE(SUBSTITUTE(TRIM($K999),"-","")," ",""),마스터시트!$A$2:$H$1946,5,FALSE),""))</f>
        <v/>
      </c>
      <c r="Q999" s="18" t="str">
        <f>IF($K999="","",IFERROR(VLOOKUP(--SUBSTITUTE(SUBSTITUTE(TRIM($K999),"-","")," ",""),마스터시트!$A$2:$H$1946,6,FALSE),""))</f>
        <v/>
      </c>
      <c r="R999" s="18" t="str">
        <f>IF($K999="","",IFERROR(VLOOKUP(--SUBSTITUTE(SUBSTITUTE(TRIM($K999),"-","")," ",""),마스터시트!$A$2:$H$1946,7,FALSE),""))</f>
        <v/>
      </c>
    </row>
    <row r="1000" spans="13:18" x14ac:dyDescent="0.3">
      <c r="M1000" s="18" t="str">
        <f>IF($K1000="","",IFERROR(VLOOKUP(--SUBSTITUTE(SUBSTITUTE(TRIM($K1000),"-","")," ",""),마스터시트!$A$2:$H$1946,2,FALSE),"미등록"))</f>
        <v/>
      </c>
      <c r="N1000" s="53" t="str">
        <f>IF($K1000="","",IFERROR(VLOOKUP(--SUBSTITUTE(SUBSTITUTE(TRIM($K1000),"-","")," ",""),마스터시트!$A$2:$H$1946,3,FALSE),"미등록"))</f>
        <v/>
      </c>
      <c r="O1000" s="18" t="str">
        <f>IF($K1000="","",IFERROR(VLOOKUP(--SUBSTITUTE(SUBSTITUTE(TRIM($K1000),"-","")," ",""),마스터시트!$A$2:$H$1946,4,FALSE),""))</f>
        <v/>
      </c>
      <c r="P1000" s="18" t="str">
        <f>IF($K1000="","",IFERROR(VLOOKUP(--SUBSTITUTE(SUBSTITUTE(TRIM($K1000),"-","")," ",""),마스터시트!$A$2:$H$1946,5,FALSE),""))</f>
        <v/>
      </c>
      <c r="Q1000" s="18" t="str">
        <f>IF($K1000="","",IFERROR(VLOOKUP(--SUBSTITUTE(SUBSTITUTE(TRIM($K1000),"-","")," ",""),마스터시트!$A$2:$H$1946,6,FALSE),""))</f>
        <v/>
      </c>
      <c r="R1000" s="18" t="str">
        <f>IF($K1000="","",IFERROR(VLOOKUP(--SUBSTITUTE(SUBSTITUTE(TRIM($K1000),"-","")," ",""),마스터시트!$A$2:$H$1946,7,FALSE),""))</f>
        <v/>
      </c>
    </row>
    <row r="1001" spans="13:18" x14ac:dyDescent="0.3">
      <c r="M1001" s="18" t="str">
        <f>IF($K1001="","",IFERROR(VLOOKUP(--SUBSTITUTE(SUBSTITUTE(TRIM($K1001),"-","")," ",""),마스터시트!$A$2:$H$1946,2,FALSE),"미등록"))</f>
        <v/>
      </c>
      <c r="N1001" s="53" t="str">
        <f>IF($K1001="","",IFERROR(VLOOKUP(--SUBSTITUTE(SUBSTITUTE(TRIM($K1001),"-","")," ",""),마스터시트!$A$2:$H$1946,3,FALSE),"미등록"))</f>
        <v/>
      </c>
      <c r="O1001" s="18" t="str">
        <f>IF($K1001="","",IFERROR(VLOOKUP(--SUBSTITUTE(SUBSTITUTE(TRIM($K1001),"-","")," ",""),마스터시트!$A$2:$H$1946,4,FALSE),""))</f>
        <v/>
      </c>
      <c r="P1001" s="18" t="str">
        <f>IF($K1001="","",IFERROR(VLOOKUP(--SUBSTITUTE(SUBSTITUTE(TRIM($K1001),"-","")," ",""),마스터시트!$A$2:$H$1946,5,FALSE),""))</f>
        <v/>
      </c>
      <c r="Q1001" s="18" t="str">
        <f>IF($K1001="","",IFERROR(VLOOKUP(--SUBSTITUTE(SUBSTITUTE(TRIM($K1001),"-","")," ",""),마스터시트!$A$2:$H$1946,6,FALSE),""))</f>
        <v/>
      </c>
      <c r="R1001" s="18" t="str">
        <f>IF($K1001="","",IFERROR(VLOOKUP(--SUBSTITUTE(SUBSTITUTE(TRIM($K1001),"-","")," ",""),마스터시트!$A$2:$H$1946,7,FALSE),""))</f>
        <v/>
      </c>
    </row>
    <row r="1002" spans="13:18" x14ac:dyDescent="0.3">
      <c r="M1002" s="18" t="str">
        <f>IF($K1002="","",IFERROR(VLOOKUP(--SUBSTITUTE(SUBSTITUTE(TRIM($K1002),"-","")," ",""),마스터시트!$A$2:$H$1946,2,FALSE),"미등록"))</f>
        <v/>
      </c>
      <c r="N1002" s="53" t="str">
        <f>IF($K1002="","",IFERROR(VLOOKUP(--SUBSTITUTE(SUBSTITUTE(TRIM($K1002),"-","")," ",""),마스터시트!$A$2:$H$1946,3,FALSE),"미등록"))</f>
        <v/>
      </c>
      <c r="O1002" s="18" t="str">
        <f>IF($K1002="","",IFERROR(VLOOKUP(--SUBSTITUTE(SUBSTITUTE(TRIM($K1002),"-","")," ",""),마스터시트!$A$2:$H$1946,4,FALSE),""))</f>
        <v/>
      </c>
      <c r="P1002" s="18" t="str">
        <f>IF($K1002="","",IFERROR(VLOOKUP(--SUBSTITUTE(SUBSTITUTE(TRIM($K1002),"-","")," ",""),마스터시트!$A$2:$H$1946,5,FALSE),""))</f>
        <v/>
      </c>
      <c r="Q1002" s="18" t="str">
        <f>IF($K1002="","",IFERROR(VLOOKUP(--SUBSTITUTE(SUBSTITUTE(TRIM($K1002),"-","")," ",""),마스터시트!$A$2:$H$1946,6,FALSE),""))</f>
        <v/>
      </c>
      <c r="R1002" s="18" t="str">
        <f>IF($K1002="","",IFERROR(VLOOKUP(--SUBSTITUTE(SUBSTITUTE(TRIM($K1002),"-","")," ",""),마스터시트!$A$2:$H$1946,7,FALSE),""))</f>
        <v/>
      </c>
    </row>
    <row r="1003" spans="13:18" x14ac:dyDescent="0.3">
      <c r="M1003" s="18" t="str">
        <f>IF($K1003="","",IFERROR(VLOOKUP(--SUBSTITUTE(SUBSTITUTE(TRIM($K1003),"-","")," ",""),마스터시트!$A$2:$H$1946,2,FALSE),"미등록"))</f>
        <v/>
      </c>
      <c r="N1003" s="53" t="str">
        <f>IF($K1003="","",IFERROR(VLOOKUP(--SUBSTITUTE(SUBSTITUTE(TRIM($K1003),"-","")," ",""),마스터시트!$A$2:$H$1946,3,FALSE),"미등록"))</f>
        <v/>
      </c>
      <c r="O1003" s="18" t="str">
        <f>IF($K1003="","",IFERROR(VLOOKUP(--SUBSTITUTE(SUBSTITUTE(TRIM($K1003),"-","")," ",""),마스터시트!$A$2:$H$1946,4,FALSE),""))</f>
        <v/>
      </c>
      <c r="P1003" s="18" t="str">
        <f>IF($K1003="","",IFERROR(VLOOKUP(--SUBSTITUTE(SUBSTITUTE(TRIM($K1003),"-","")," ",""),마스터시트!$A$2:$H$1946,5,FALSE),""))</f>
        <v/>
      </c>
      <c r="Q1003" s="18" t="str">
        <f>IF($K1003="","",IFERROR(VLOOKUP(--SUBSTITUTE(SUBSTITUTE(TRIM($K1003),"-","")," ",""),마스터시트!$A$2:$H$1946,6,FALSE),""))</f>
        <v/>
      </c>
      <c r="R1003" s="18" t="str">
        <f>IF($K1003="","",IFERROR(VLOOKUP(--SUBSTITUTE(SUBSTITUTE(TRIM($K1003),"-","")," ",""),마스터시트!$A$2:$H$1946,7,FALSE),""))</f>
        <v/>
      </c>
    </row>
    <row r="1004" spans="13:18" x14ac:dyDescent="0.3">
      <c r="M1004" s="18" t="str">
        <f>IF($K1004="","",IFERROR(VLOOKUP(--SUBSTITUTE(SUBSTITUTE(TRIM($K1004),"-","")," ",""),마스터시트!$A$2:$H$1946,2,FALSE),"미등록"))</f>
        <v/>
      </c>
      <c r="N1004" s="53" t="str">
        <f>IF($K1004="","",IFERROR(VLOOKUP(--SUBSTITUTE(SUBSTITUTE(TRIM($K1004),"-","")," ",""),마스터시트!$A$2:$H$1946,3,FALSE),"미등록"))</f>
        <v/>
      </c>
      <c r="O1004" s="18" t="str">
        <f>IF($K1004="","",IFERROR(VLOOKUP(--SUBSTITUTE(SUBSTITUTE(TRIM($K1004),"-","")," ",""),마스터시트!$A$2:$H$1946,4,FALSE),""))</f>
        <v/>
      </c>
      <c r="P1004" s="18" t="str">
        <f>IF($K1004="","",IFERROR(VLOOKUP(--SUBSTITUTE(SUBSTITUTE(TRIM($K1004),"-","")," ",""),마스터시트!$A$2:$H$1946,5,FALSE),""))</f>
        <v/>
      </c>
      <c r="Q1004" s="18" t="str">
        <f>IF($K1004="","",IFERROR(VLOOKUP(--SUBSTITUTE(SUBSTITUTE(TRIM($K1004),"-","")," ",""),마스터시트!$A$2:$H$1946,6,FALSE),""))</f>
        <v/>
      </c>
      <c r="R1004" s="18" t="str">
        <f>IF($K1004="","",IFERROR(VLOOKUP(--SUBSTITUTE(SUBSTITUTE(TRIM($K1004),"-","")," ",""),마스터시트!$A$2:$H$1946,7,FALSE),""))</f>
        <v/>
      </c>
    </row>
    <row r="1005" spans="13:18" x14ac:dyDescent="0.3">
      <c r="M1005" s="18" t="str">
        <f>IF($K1005="","",IFERROR(VLOOKUP(--SUBSTITUTE(SUBSTITUTE(TRIM($K1005),"-","")," ",""),마스터시트!$A$2:$H$1946,2,FALSE),"미등록"))</f>
        <v/>
      </c>
      <c r="N1005" s="53" t="str">
        <f>IF($K1005="","",IFERROR(VLOOKUP(--SUBSTITUTE(SUBSTITUTE(TRIM($K1005),"-","")," ",""),마스터시트!$A$2:$H$1946,3,FALSE),"미등록"))</f>
        <v/>
      </c>
      <c r="O1005" s="18" t="str">
        <f>IF($K1005="","",IFERROR(VLOOKUP(--SUBSTITUTE(SUBSTITUTE(TRIM($K1005),"-","")," ",""),마스터시트!$A$2:$H$1946,4,FALSE),""))</f>
        <v/>
      </c>
      <c r="P1005" s="18" t="str">
        <f>IF($K1005="","",IFERROR(VLOOKUP(--SUBSTITUTE(SUBSTITUTE(TRIM($K1005),"-","")," ",""),마스터시트!$A$2:$H$1946,5,FALSE),""))</f>
        <v/>
      </c>
      <c r="Q1005" s="18" t="str">
        <f>IF($K1005="","",IFERROR(VLOOKUP(--SUBSTITUTE(SUBSTITUTE(TRIM($K1005),"-","")," ",""),마스터시트!$A$2:$H$1946,6,FALSE),""))</f>
        <v/>
      </c>
      <c r="R1005" s="18" t="str">
        <f>IF($K1005="","",IFERROR(VLOOKUP(--SUBSTITUTE(SUBSTITUTE(TRIM($K1005),"-","")," ",""),마스터시트!$A$2:$H$1946,7,FALSE),""))</f>
        <v/>
      </c>
    </row>
    <row r="1006" spans="13:18" x14ac:dyDescent="0.3">
      <c r="M1006" s="18" t="str">
        <f>IF($K1006="","",IFERROR(VLOOKUP(--SUBSTITUTE(SUBSTITUTE(TRIM($K1006),"-","")," ",""),마스터시트!$A$2:$H$1946,2,FALSE),"미등록"))</f>
        <v/>
      </c>
      <c r="N1006" s="53" t="str">
        <f>IF($K1006="","",IFERROR(VLOOKUP(--SUBSTITUTE(SUBSTITUTE(TRIM($K1006),"-","")," ",""),마스터시트!$A$2:$H$1946,3,FALSE),"미등록"))</f>
        <v/>
      </c>
      <c r="O1006" s="18" t="str">
        <f>IF($K1006="","",IFERROR(VLOOKUP(--SUBSTITUTE(SUBSTITUTE(TRIM($K1006),"-","")," ",""),마스터시트!$A$2:$H$1946,4,FALSE),""))</f>
        <v/>
      </c>
      <c r="P1006" s="18" t="str">
        <f>IF($K1006="","",IFERROR(VLOOKUP(--SUBSTITUTE(SUBSTITUTE(TRIM($K1006),"-","")," ",""),마스터시트!$A$2:$H$1946,5,FALSE),""))</f>
        <v/>
      </c>
      <c r="Q1006" s="18" t="str">
        <f>IF($K1006="","",IFERROR(VLOOKUP(--SUBSTITUTE(SUBSTITUTE(TRIM($K1006),"-","")," ",""),마스터시트!$A$2:$H$1946,6,FALSE),""))</f>
        <v/>
      </c>
      <c r="R1006" s="18" t="str">
        <f>IF($K1006="","",IFERROR(VLOOKUP(--SUBSTITUTE(SUBSTITUTE(TRIM($K1006),"-","")," ",""),마스터시트!$A$2:$H$1946,7,FALSE),""))</f>
        <v/>
      </c>
    </row>
    <row r="1007" spans="13:18" x14ac:dyDescent="0.3">
      <c r="M1007" s="18" t="str">
        <f>IF($K1007="","",IFERROR(VLOOKUP(--SUBSTITUTE(SUBSTITUTE(TRIM($K1007),"-","")," ",""),마스터시트!$A$2:$H$1946,2,FALSE),"미등록"))</f>
        <v/>
      </c>
      <c r="N1007" s="53" t="str">
        <f>IF($K1007="","",IFERROR(VLOOKUP(--SUBSTITUTE(SUBSTITUTE(TRIM($K1007),"-","")," ",""),마스터시트!$A$2:$H$1946,3,FALSE),"미등록"))</f>
        <v/>
      </c>
      <c r="O1007" s="18" t="str">
        <f>IF($K1007="","",IFERROR(VLOOKUP(--SUBSTITUTE(SUBSTITUTE(TRIM($K1007),"-","")," ",""),마스터시트!$A$2:$H$1946,4,FALSE),""))</f>
        <v/>
      </c>
      <c r="P1007" s="18" t="str">
        <f>IF($K1007="","",IFERROR(VLOOKUP(--SUBSTITUTE(SUBSTITUTE(TRIM($K1007),"-","")," ",""),마스터시트!$A$2:$H$1946,5,FALSE),""))</f>
        <v/>
      </c>
      <c r="Q1007" s="18" t="str">
        <f>IF($K1007="","",IFERROR(VLOOKUP(--SUBSTITUTE(SUBSTITUTE(TRIM($K1007),"-","")," ",""),마스터시트!$A$2:$H$1946,6,FALSE),""))</f>
        <v/>
      </c>
      <c r="R1007" s="18" t="str">
        <f>IF($K1007="","",IFERROR(VLOOKUP(--SUBSTITUTE(SUBSTITUTE(TRIM($K1007),"-","")," ",""),마스터시트!$A$2:$H$1946,7,FALSE),""))</f>
        <v/>
      </c>
    </row>
    <row r="1008" spans="13:18" x14ac:dyDescent="0.3">
      <c r="M1008" s="18" t="str">
        <f>IF($K1008="","",IFERROR(VLOOKUP(--SUBSTITUTE(SUBSTITUTE(TRIM($K1008),"-","")," ",""),마스터시트!$A$2:$H$1946,2,FALSE),"미등록"))</f>
        <v/>
      </c>
      <c r="N1008" s="53" t="str">
        <f>IF($K1008="","",IFERROR(VLOOKUP(--SUBSTITUTE(SUBSTITUTE(TRIM($K1008),"-","")," ",""),마스터시트!$A$2:$H$1946,3,FALSE),"미등록"))</f>
        <v/>
      </c>
      <c r="O1008" s="18" t="str">
        <f>IF($K1008="","",IFERROR(VLOOKUP(--SUBSTITUTE(SUBSTITUTE(TRIM($K1008),"-","")," ",""),마스터시트!$A$2:$H$1946,4,FALSE),""))</f>
        <v/>
      </c>
      <c r="P1008" s="18" t="str">
        <f>IF($K1008="","",IFERROR(VLOOKUP(--SUBSTITUTE(SUBSTITUTE(TRIM($K1008),"-","")," ",""),마스터시트!$A$2:$H$1946,5,FALSE),""))</f>
        <v/>
      </c>
      <c r="Q1008" s="18" t="str">
        <f>IF($K1008="","",IFERROR(VLOOKUP(--SUBSTITUTE(SUBSTITUTE(TRIM($K1008),"-","")," ",""),마스터시트!$A$2:$H$1946,6,FALSE),""))</f>
        <v/>
      </c>
      <c r="R1008" s="18" t="str">
        <f>IF($K1008="","",IFERROR(VLOOKUP(--SUBSTITUTE(SUBSTITUTE(TRIM($K1008),"-","")," ",""),마스터시트!$A$2:$H$1946,7,FALSE),""))</f>
        <v/>
      </c>
    </row>
    <row r="1009" spans="13:18" x14ac:dyDescent="0.3">
      <c r="M1009" s="18" t="str">
        <f>IF($K1009="","",IFERROR(VLOOKUP(--SUBSTITUTE(SUBSTITUTE(TRIM($K1009),"-","")," ",""),마스터시트!$A$2:$H$1946,2,FALSE),"미등록"))</f>
        <v/>
      </c>
      <c r="N1009" s="53" t="str">
        <f>IF($K1009="","",IFERROR(VLOOKUP(--SUBSTITUTE(SUBSTITUTE(TRIM($K1009),"-","")," ",""),마스터시트!$A$2:$H$1946,3,FALSE),"미등록"))</f>
        <v/>
      </c>
      <c r="O1009" s="18" t="str">
        <f>IF($K1009="","",IFERROR(VLOOKUP(--SUBSTITUTE(SUBSTITUTE(TRIM($K1009),"-","")," ",""),마스터시트!$A$2:$H$1946,4,FALSE),""))</f>
        <v/>
      </c>
      <c r="P1009" s="18" t="str">
        <f>IF($K1009="","",IFERROR(VLOOKUP(--SUBSTITUTE(SUBSTITUTE(TRIM($K1009),"-","")," ",""),마스터시트!$A$2:$H$1946,5,FALSE),""))</f>
        <v/>
      </c>
      <c r="Q1009" s="18" t="str">
        <f>IF($K1009="","",IFERROR(VLOOKUP(--SUBSTITUTE(SUBSTITUTE(TRIM($K1009),"-","")," ",""),마스터시트!$A$2:$H$1946,6,FALSE),""))</f>
        <v/>
      </c>
      <c r="R1009" s="18" t="str">
        <f>IF($K1009="","",IFERROR(VLOOKUP(--SUBSTITUTE(SUBSTITUTE(TRIM($K1009),"-","")," ",""),마스터시트!$A$2:$H$1946,7,FALSE),""))</f>
        <v/>
      </c>
    </row>
    <row r="1010" spans="13:18" x14ac:dyDescent="0.3">
      <c r="M1010" s="18" t="str">
        <f>IF($K1010="","",IFERROR(VLOOKUP(--SUBSTITUTE(SUBSTITUTE(TRIM($K1010),"-","")," ",""),마스터시트!$A$2:$H$1946,2,FALSE),"미등록"))</f>
        <v/>
      </c>
      <c r="N1010" s="53" t="str">
        <f>IF($K1010="","",IFERROR(VLOOKUP(--SUBSTITUTE(SUBSTITUTE(TRIM($K1010),"-","")," ",""),마스터시트!$A$2:$H$1946,3,FALSE),"미등록"))</f>
        <v/>
      </c>
      <c r="O1010" s="18" t="str">
        <f>IF($K1010="","",IFERROR(VLOOKUP(--SUBSTITUTE(SUBSTITUTE(TRIM($K1010),"-","")," ",""),마스터시트!$A$2:$H$1946,4,FALSE),""))</f>
        <v/>
      </c>
      <c r="P1010" s="18" t="str">
        <f>IF($K1010="","",IFERROR(VLOOKUP(--SUBSTITUTE(SUBSTITUTE(TRIM($K1010),"-","")," ",""),마스터시트!$A$2:$H$1946,5,FALSE),""))</f>
        <v/>
      </c>
      <c r="Q1010" s="18" t="str">
        <f>IF($K1010="","",IFERROR(VLOOKUP(--SUBSTITUTE(SUBSTITUTE(TRIM($K1010),"-","")," ",""),마스터시트!$A$2:$H$1946,6,FALSE),""))</f>
        <v/>
      </c>
      <c r="R1010" s="18" t="str">
        <f>IF($K1010="","",IFERROR(VLOOKUP(--SUBSTITUTE(SUBSTITUTE(TRIM($K1010),"-","")," ",""),마스터시트!$A$2:$H$1946,7,FALSE),""))</f>
        <v/>
      </c>
    </row>
    <row r="1011" spans="13:18" x14ac:dyDescent="0.3">
      <c r="M1011" s="18" t="str">
        <f>IF($K1011="","",IFERROR(VLOOKUP(--SUBSTITUTE(SUBSTITUTE(TRIM($K1011),"-","")," ",""),마스터시트!$A$2:$H$1946,2,FALSE),"미등록"))</f>
        <v/>
      </c>
      <c r="N1011" s="53" t="str">
        <f>IF($K1011="","",IFERROR(VLOOKUP(--SUBSTITUTE(SUBSTITUTE(TRIM($K1011),"-","")," ",""),마스터시트!$A$2:$H$1946,3,FALSE),"미등록"))</f>
        <v/>
      </c>
      <c r="O1011" s="18" t="str">
        <f>IF($K1011="","",IFERROR(VLOOKUP(--SUBSTITUTE(SUBSTITUTE(TRIM($K1011),"-","")," ",""),마스터시트!$A$2:$H$1946,4,FALSE),""))</f>
        <v/>
      </c>
      <c r="P1011" s="18" t="str">
        <f>IF($K1011="","",IFERROR(VLOOKUP(--SUBSTITUTE(SUBSTITUTE(TRIM($K1011),"-","")," ",""),마스터시트!$A$2:$H$1946,5,FALSE),""))</f>
        <v/>
      </c>
      <c r="Q1011" s="18" t="str">
        <f>IF($K1011="","",IFERROR(VLOOKUP(--SUBSTITUTE(SUBSTITUTE(TRIM($K1011),"-","")," ",""),마스터시트!$A$2:$H$1946,6,FALSE),""))</f>
        <v/>
      </c>
      <c r="R1011" s="18" t="str">
        <f>IF($K1011="","",IFERROR(VLOOKUP(--SUBSTITUTE(SUBSTITUTE(TRIM($K1011),"-","")," ",""),마스터시트!$A$2:$H$1946,7,FALSE),""))</f>
        <v/>
      </c>
    </row>
    <row r="1012" spans="13:18" x14ac:dyDescent="0.3">
      <c r="M1012" s="18" t="str">
        <f>IF($K1012="","",IFERROR(VLOOKUP(--SUBSTITUTE(SUBSTITUTE(TRIM($K1012),"-","")," ",""),마스터시트!$A$2:$H$1946,2,FALSE),"미등록"))</f>
        <v/>
      </c>
      <c r="N1012" s="53" t="str">
        <f>IF($K1012="","",IFERROR(VLOOKUP(--SUBSTITUTE(SUBSTITUTE(TRIM($K1012),"-","")," ",""),마스터시트!$A$2:$H$1946,3,FALSE),"미등록"))</f>
        <v/>
      </c>
      <c r="O1012" s="18" t="str">
        <f>IF($K1012="","",IFERROR(VLOOKUP(--SUBSTITUTE(SUBSTITUTE(TRIM($K1012),"-","")," ",""),마스터시트!$A$2:$H$1946,4,FALSE),""))</f>
        <v/>
      </c>
      <c r="P1012" s="18" t="str">
        <f>IF($K1012="","",IFERROR(VLOOKUP(--SUBSTITUTE(SUBSTITUTE(TRIM($K1012),"-","")," ",""),마스터시트!$A$2:$H$1946,5,FALSE),""))</f>
        <v/>
      </c>
      <c r="Q1012" s="18" t="str">
        <f>IF($K1012="","",IFERROR(VLOOKUP(--SUBSTITUTE(SUBSTITUTE(TRIM($K1012),"-","")," ",""),마스터시트!$A$2:$H$1946,6,FALSE),""))</f>
        <v/>
      </c>
      <c r="R1012" s="18" t="str">
        <f>IF($K1012="","",IFERROR(VLOOKUP(--SUBSTITUTE(SUBSTITUTE(TRIM($K1012),"-","")," ",""),마스터시트!$A$2:$H$1946,7,FALSE),""))</f>
        <v/>
      </c>
    </row>
    <row r="1013" spans="13:18" x14ac:dyDescent="0.3">
      <c r="M1013" s="18" t="str">
        <f>IF($K1013="","",IFERROR(VLOOKUP(--SUBSTITUTE(SUBSTITUTE(TRIM($K1013),"-","")," ",""),마스터시트!$A$2:$H$1946,2,FALSE),"미등록"))</f>
        <v/>
      </c>
      <c r="N1013" s="53" t="str">
        <f>IF($K1013="","",IFERROR(VLOOKUP(--SUBSTITUTE(SUBSTITUTE(TRIM($K1013),"-","")," ",""),마스터시트!$A$2:$H$1946,3,FALSE),"미등록"))</f>
        <v/>
      </c>
      <c r="O1013" s="18" t="str">
        <f>IF($K1013="","",IFERROR(VLOOKUP(--SUBSTITUTE(SUBSTITUTE(TRIM($K1013),"-","")," ",""),마스터시트!$A$2:$H$1946,4,FALSE),""))</f>
        <v/>
      </c>
      <c r="P1013" s="18" t="str">
        <f>IF($K1013="","",IFERROR(VLOOKUP(--SUBSTITUTE(SUBSTITUTE(TRIM($K1013),"-","")," ",""),마스터시트!$A$2:$H$1946,5,FALSE),""))</f>
        <v/>
      </c>
      <c r="Q1013" s="18" t="str">
        <f>IF($K1013="","",IFERROR(VLOOKUP(--SUBSTITUTE(SUBSTITUTE(TRIM($K1013),"-","")," ",""),마스터시트!$A$2:$H$1946,6,FALSE),""))</f>
        <v/>
      </c>
      <c r="R1013" s="18" t="str">
        <f>IF($K1013="","",IFERROR(VLOOKUP(--SUBSTITUTE(SUBSTITUTE(TRIM($K1013),"-","")," ",""),마스터시트!$A$2:$H$1946,7,FALSE),""))</f>
        <v/>
      </c>
    </row>
    <row r="1014" spans="13:18" x14ac:dyDescent="0.3">
      <c r="M1014" s="18" t="str">
        <f>IF($K1014="","",IFERROR(VLOOKUP(--SUBSTITUTE(SUBSTITUTE(TRIM($K1014),"-","")," ",""),마스터시트!$A$2:$H$1946,2,FALSE),"미등록"))</f>
        <v/>
      </c>
      <c r="N1014" s="53" t="str">
        <f>IF($K1014="","",IFERROR(VLOOKUP(--SUBSTITUTE(SUBSTITUTE(TRIM($K1014),"-","")," ",""),마스터시트!$A$2:$H$1946,3,FALSE),"미등록"))</f>
        <v/>
      </c>
      <c r="O1014" s="18" t="str">
        <f>IF($K1014="","",IFERROR(VLOOKUP(--SUBSTITUTE(SUBSTITUTE(TRIM($K1014),"-","")," ",""),마스터시트!$A$2:$H$1946,4,FALSE),""))</f>
        <v/>
      </c>
      <c r="P1014" s="18" t="str">
        <f>IF($K1014="","",IFERROR(VLOOKUP(--SUBSTITUTE(SUBSTITUTE(TRIM($K1014),"-","")," ",""),마스터시트!$A$2:$H$1946,5,FALSE),""))</f>
        <v/>
      </c>
      <c r="Q1014" s="18" t="str">
        <f>IF($K1014="","",IFERROR(VLOOKUP(--SUBSTITUTE(SUBSTITUTE(TRIM($K1014),"-","")," ",""),마스터시트!$A$2:$H$1946,6,FALSE),""))</f>
        <v/>
      </c>
      <c r="R1014" s="18" t="str">
        <f>IF($K1014="","",IFERROR(VLOOKUP(--SUBSTITUTE(SUBSTITUTE(TRIM($K1014),"-","")," ",""),마스터시트!$A$2:$H$1946,7,FALSE),""))</f>
        <v/>
      </c>
    </row>
    <row r="1015" spans="13:18" x14ac:dyDescent="0.3">
      <c r="M1015" s="18" t="str">
        <f>IF($K1015="","",IFERROR(VLOOKUP(--SUBSTITUTE(SUBSTITUTE(TRIM($K1015),"-","")," ",""),마스터시트!$A$2:$H$1946,2,FALSE),"미등록"))</f>
        <v/>
      </c>
      <c r="N1015" s="53" t="str">
        <f>IF($K1015="","",IFERROR(VLOOKUP(--SUBSTITUTE(SUBSTITUTE(TRIM($K1015),"-","")," ",""),마스터시트!$A$2:$H$1946,3,FALSE),"미등록"))</f>
        <v/>
      </c>
      <c r="O1015" s="18" t="str">
        <f>IF($K1015="","",IFERROR(VLOOKUP(--SUBSTITUTE(SUBSTITUTE(TRIM($K1015),"-","")," ",""),마스터시트!$A$2:$H$1946,4,FALSE),""))</f>
        <v/>
      </c>
      <c r="P1015" s="18" t="str">
        <f>IF($K1015="","",IFERROR(VLOOKUP(--SUBSTITUTE(SUBSTITUTE(TRIM($K1015),"-","")," ",""),마스터시트!$A$2:$H$1946,5,FALSE),""))</f>
        <v/>
      </c>
      <c r="Q1015" s="18" t="str">
        <f>IF($K1015="","",IFERROR(VLOOKUP(--SUBSTITUTE(SUBSTITUTE(TRIM($K1015),"-","")," ",""),마스터시트!$A$2:$H$1946,6,FALSE),""))</f>
        <v/>
      </c>
      <c r="R1015" s="18" t="str">
        <f>IF($K1015="","",IFERROR(VLOOKUP(--SUBSTITUTE(SUBSTITUTE(TRIM($K1015),"-","")," ",""),마스터시트!$A$2:$H$1946,7,FALSE),""))</f>
        <v/>
      </c>
    </row>
    <row r="1016" spans="13:18" x14ac:dyDescent="0.3">
      <c r="M1016" s="18" t="str">
        <f>IF($K1016="","",IFERROR(VLOOKUP(--SUBSTITUTE(SUBSTITUTE(TRIM($K1016),"-","")," ",""),마스터시트!$A$2:$H$1946,2,FALSE),"미등록"))</f>
        <v/>
      </c>
      <c r="N1016" s="53" t="str">
        <f>IF($K1016="","",IFERROR(VLOOKUP(--SUBSTITUTE(SUBSTITUTE(TRIM($K1016),"-","")," ",""),마스터시트!$A$2:$H$1946,3,FALSE),"미등록"))</f>
        <v/>
      </c>
      <c r="O1016" s="18" t="str">
        <f>IF($K1016="","",IFERROR(VLOOKUP(--SUBSTITUTE(SUBSTITUTE(TRIM($K1016),"-","")," ",""),마스터시트!$A$2:$H$1946,4,FALSE),""))</f>
        <v/>
      </c>
      <c r="P1016" s="18" t="str">
        <f>IF($K1016="","",IFERROR(VLOOKUP(--SUBSTITUTE(SUBSTITUTE(TRIM($K1016),"-","")," ",""),마스터시트!$A$2:$H$1946,5,FALSE),""))</f>
        <v/>
      </c>
      <c r="Q1016" s="18" t="str">
        <f>IF($K1016="","",IFERROR(VLOOKUP(--SUBSTITUTE(SUBSTITUTE(TRIM($K1016),"-","")," ",""),마스터시트!$A$2:$H$1946,6,FALSE),""))</f>
        <v/>
      </c>
      <c r="R1016" s="18" t="str">
        <f>IF($K1016="","",IFERROR(VLOOKUP(--SUBSTITUTE(SUBSTITUTE(TRIM($K1016),"-","")," ",""),마스터시트!$A$2:$H$1946,7,FALSE),""))</f>
        <v/>
      </c>
    </row>
    <row r="1017" spans="13:18" x14ac:dyDescent="0.3">
      <c r="M1017" s="18" t="str">
        <f>IF($K1017="","",IFERROR(VLOOKUP(--SUBSTITUTE(SUBSTITUTE(TRIM($K1017),"-","")," ",""),마스터시트!$A$2:$H$1946,2,FALSE),"미등록"))</f>
        <v/>
      </c>
      <c r="N1017" s="53" t="str">
        <f>IF($K1017="","",IFERROR(VLOOKUP(--SUBSTITUTE(SUBSTITUTE(TRIM($K1017),"-","")," ",""),마스터시트!$A$2:$H$1946,3,FALSE),"미등록"))</f>
        <v/>
      </c>
      <c r="O1017" s="18" t="str">
        <f>IF($K1017="","",IFERROR(VLOOKUP(--SUBSTITUTE(SUBSTITUTE(TRIM($K1017),"-","")," ",""),마스터시트!$A$2:$H$1946,4,FALSE),""))</f>
        <v/>
      </c>
      <c r="P1017" s="18" t="str">
        <f>IF($K1017="","",IFERROR(VLOOKUP(--SUBSTITUTE(SUBSTITUTE(TRIM($K1017),"-","")," ",""),마스터시트!$A$2:$H$1946,5,FALSE),""))</f>
        <v/>
      </c>
      <c r="Q1017" s="18" t="str">
        <f>IF($K1017="","",IFERROR(VLOOKUP(--SUBSTITUTE(SUBSTITUTE(TRIM($K1017),"-","")," ",""),마스터시트!$A$2:$H$1946,6,FALSE),""))</f>
        <v/>
      </c>
      <c r="R1017" s="18" t="str">
        <f>IF($K1017="","",IFERROR(VLOOKUP(--SUBSTITUTE(SUBSTITUTE(TRIM($K1017),"-","")," ",""),마스터시트!$A$2:$H$1946,7,FALSE),""))</f>
        <v/>
      </c>
    </row>
    <row r="1018" spans="13:18" x14ac:dyDescent="0.3">
      <c r="M1018" s="18" t="str">
        <f>IF($K1018="","",IFERROR(VLOOKUP(--SUBSTITUTE(SUBSTITUTE(TRIM($K1018),"-","")," ",""),마스터시트!$A$2:$H$1946,2,FALSE),"미등록"))</f>
        <v/>
      </c>
      <c r="N1018" s="53" t="str">
        <f>IF($K1018="","",IFERROR(VLOOKUP(--SUBSTITUTE(SUBSTITUTE(TRIM($K1018),"-","")," ",""),마스터시트!$A$2:$H$1946,3,FALSE),"미등록"))</f>
        <v/>
      </c>
      <c r="O1018" s="18" t="str">
        <f>IF($K1018="","",IFERROR(VLOOKUP(--SUBSTITUTE(SUBSTITUTE(TRIM($K1018),"-","")," ",""),마스터시트!$A$2:$H$1946,4,FALSE),""))</f>
        <v/>
      </c>
      <c r="P1018" s="18" t="str">
        <f>IF($K1018="","",IFERROR(VLOOKUP(--SUBSTITUTE(SUBSTITUTE(TRIM($K1018),"-","")," ",""),마스터시트!$A$2:$H$1946,5,FALSE),""))</f>
        <v/>
      </c>
      <c r="Q1018" s="18" t="str">
        <f>IF($K1018="","",IFERROR(VLOOKUP(--SUBSTITUTE(SUBSTITUTE(TRIM($K1018),"-","")," ",""),마스터시트!$A$2:$H$1946,6,FALSE),""))</f>
        <v/>
      </c>
      <c r="R1018" s="18" t="str">
        <f>IF($K1018="","",IFERROR(VLOOKUP(--SUBSTITUTE(SUBSTITUTE(TRIM($K1018),"-","")," ",""),마스터시트!$A$2:$H$1946,7,FALSE),""))</f>
        <v/>
      </c>
    </row>
    <row r="1019" spans="13:18" x14ac:dyDescent="0.3">
      <c r="M1019" s="18" t="str">
        <f>IF($K1019="","",IFERROR(VLOOKUP(--SUBSTITUTE(SUBSTITUTE(TRIM($K1019),"-","")," ",""),마스터시트!$A$2:$H$1946,2,FALSE),"미등록"))</f>
        <v/>
      </c>
      <c r="N1019" s="53" t="str">
        <f>IF($K1019="","",IFERROR(VLOOKUP(--SUBSTITUTE(SUBSTITUTE(TRIM($K1019),"-","")," ",""),마스터시트!$A$2:$H$1946,3,FALSE),"미등록"))</f>
        <v/>
      </c>
      <c r="O1019" s="18" t="str">
        <f>IF($K1019="","",IFERROR(VLOOKUP(--SUBSTITUTE(SUBSTITUTE(TRIM($K1019),"-","")," ",""),마스터시트!$A$2:$H$1946,4,FALSE),""))</f>
        <v/>
      </c>
      <c r="P1019" s="18" t="str">
        <f>IF($K1019="","",IFERROR(VLOOKUP(--SUBSTITUTE(SUBSTITUTE(TRIM($K1019),"-","")," ",""),마스터시트!$A$2:$H$1946,5,FALSE),""))</f>
        <v/>
      </c>
      <c r="Q1019" s="18" t="str">
        <f>IF($K1019="","",IFERROR(VLOOKUP(--SUBSTITUTE(SUBSTITUTE(TRIM($K1019),"-","")," ",""),마스터시트!$A$2:$H$1946,6,FALSE),""))</f>
        <v/>
      </c>
      <c r="R1019" s="18" t="str">
        <f>IF($K1019="","",IFERROR(VLOOKUP(--SUBSTITUTE(SUBSTITUTE(TRIM($K1019),"-","")," ",""),마스터시트!$A$2:$H$1946,7,FALSE),""))</f>
        <v/>
      </c>
    </row>
    <row r="1020" spans="13:18" x14ac:dyDescent="0.3">
      <c r="M1020" s="18" t="str">
        <f>IF($K1020="","",IFERROR(VLOOKUP(--SUBSTITUTE(SUBSTITUTE(TRIM($K1020),"-","")," ",""),마스터시트!$A$2:$H$1946,2,FALSE),"미등록"))</f>
        <v/>
      </c>
      <c r="N1020" s="53" t="str">
        <f>IF($K1020="","",IFERROR(VLOOKUP(--SUBSTITUTE(SUBSTITUTE(TRIM($K1020),"-","")," ",""),마스터시트!$A$2:$H$1946,3,FALSE),"미등록"))</f>
        <v/>
      </c>
      <c r="O1020" s="18" t="str">
        <f>IF($K1020="","",IFERROR(VLOOKUP(--SUBSTITUTE(SUBSTITUTE(TRIM($K1020),"-","")," ",""),마스터시트!$A$2:$H$1946,4,FALSE),""))</f>
        <v/>
      </c>
      <c r="P1020" s="18" t="str">
        <f>IF($K1020="","",IFERROR(VLOOKUP(--SUBSTITUTE(SUBSTITUTE(TRIM($K1020),"-","")," ",""),마스터시트!$A$2:$H$1946,5,FALSE),""))</f>
        <v/>
      </c>
      <c r="Q1020" s="18" t="str">
        <f>IF($K1020="","",IFERROR(VLOOKUP(--SUBSTITUTE(SUBSTITUTE(TRIM($K1020),"-","")," ",""),마스터시트!$A$2:$H$1946,6,FALSE),""))</f>
        <v/>
      </c>
      <c r="R1020" s="18" t="str">
        <f>IF($K1020="","",IFERROR(VLOOKUP(--SUBSTITUTE(SUBSTITUTE(TRIM($K1020),"-","")," ",""),마스터시트!$A$2:$H$1946,7,FALSE),""))</f>
        <v/>
      </c>
    </row>
    <row r="1021" spans="13:18" x14ac:dyDescent="0.3">
      <c r="M1021" s="18" t="str">
        <f>IF($K1021="","",IFERROR(VLOOKUP(--SUBSTITUTE(SUBSTITUTE(TRIM($K1021),"-","")," ",""),마스터시트!$A$2:$H$1946,2,FALSE),"미등록"))</f>
        <v/>
      </c>
      <c r="N1021" s="53" t="str">
        <f>IF($K1021="","",IFERROR(VLOOKUP(--SUBSTITUTE(SUBSTITUTE(TRIM($K1021),"-","")," ",""),마스터시트!$A$2:$H$1946,3,FALSE),"미등록"))</f>
        <v/>
      </c>
      <c r="O1021" s="18" t="str">
        <f>IF($K1021="","",IFERROR(VLOOKUP(--SUBSTITUTE(SUBSTITUTE(TRIM($K1021),"-","")," ",""),마스터시트!$A$2:$H$1946,4,FALSE),""))</f>
        <v/>
      </c>
      <c r="P1021" s="18" t="str">
        <f>IF($K1021="","",IFERROR(VLOOKUP(--SUBSTITUTE(SUBSTITUTE(TRIM($K1021),"-","")," ",""),마스터시트!$A$2:$H$1946,5,FALSE),""))</f>
        <v/>
      </c>
      <c r="Q1021" s="18" t="str">
        <f>IF($K1021="","",IFERROR(VLOOKUP(--SUBSTITUTE(SUBSTITUTE(TRIM($K1021),"-","")," ",""),마스터시트!$A$2:$H$1946,6,FALSE),""))</f>
        <v/>
      </c>
      <c r="R1021" s="18" t="str">
        <f>IF($K1021="","",IFERROR(VLOOKUP(--SUBSTITUTE(SUBSTITUTE(TRIM($K1021),"-","")," ",""),마스터시트!$A$2:$H$1946,7,FALSE),""))</f>
        <v/>
      </c>
    </row>
    <row r="1022" spans="13:18" x14ac:dyDescent="0.3">
      <c r="M1022" s="18" t="str">
        <f>IF($K1022="","",IFERROR(VLOOKUP(--SUBSTITUTE(SUBSTITUTE(TRIM($K1022),"-","")," ",""),마스터시트!$A$2:$H$1946,2,FALSE),"미등록"))</f>
        <v/>
      </c>
      <c r="N1022" s="53" t="str">
        <f>IF($K1022="","",IFERROR(VLOOKUP(--SUBSTITUTE(SUBSTITUTE(TRIM($K1022),"-","")," ",""),마스터시트!$A$2:$H$1946,3,FALSE),"미등록"))</f>
        <v/>
      </c>
      <c r="O1022" s="18" t="str">
        <f>IF($K1022="","",IFERROR(VLOOKUP(--SUBSTITUTE(SUBSTITUTE(TRIM($K1022),"-","")," ",""),마스터시트!$A$2:$H$1946,4,FALSE),""))</f>
        <v/>
      </c>
      <c r="P1022" s="18" t="str">
        <f>IF($K1022="","",IFERROR(VLOOKUP(--SUBSTITUTE(SUBSTITUTE(TRIM($K1022),"-","")," ",""),마스터시트!$A$2:$H$1946,5,FALSE),""))</f>
        <v/>
      </c>
      <c r="Q1022" s="18" t="str">
        <f>IF($K1022="","",IFERROR(VLOOKUP(--SUBSTITUTE(SUBSTITUTE(TRIM($K1022),"-","")," ",""),마스터시트!$A$2:$H$1946,6,FALSE),""))</f>
        <v/>
      </c>
      <c r="R1022" s="18" t="str">
        <f>IF($K1022="","",IFERROR(VLOOKUP(--SUBSTITUTE(SUBSTITUTE(TRIM($K1022),"-","")," ",""),마스터시트!$A$2:$H$1946,7,FALSE),""))</f>
        <v/>
      </c>
    </row>
    <row r="1023" spans="13:18" x14ac:dyDescent="0.3">
      <c r="M1023" s="18" t="str">
        <f>IF($K1023="","",IFERROR(VLOOKUP(--SUBSTITUTE(SUBSTITUTE(TRIM($K1023),"-","")," ",""),마스터시트!$A$2:$H$1946,2,FALSE),"미등록"))</f>
        <v/>
      </c>
      <c r="N1023" s="53" t="str">
        <f>IF($K1023="","",IFERROR(VLOOKUP(--SUBSTITUTE(SUBSTITUTE(TRIM($K1023),"-","")," ",""),마스터시트!$A$2:$H$1946,3,FALSE),"미등록"))</f>
        <v/>
      </c>
      <c r="O1023" s="18" t="str">
        <f>IF($K1023="","",IFERROR(VLOOKUP(--SUBSTITUTE(SUBSTITUTE(TRIM($K1023),"-","")," ",""),마스터시트!$A$2:$H$1946,4,FALSE),""))</f>
        <v/>
      </c>
      <c r="P1023" s="18" t="str">
        <f>IF($K1023="","",IFERROR(VLOOKUP(--SUBSTITUTE(SUBSTITUTE(TRIM($K1023),"-","")," ",""),마스터시트!$A$2:$H$1946,5,FALSE),""))</f>
        <v/>
      </c>
      <c r="Q1023" s="18" t="str">
        <f>IF($K1023="","",IFERROR(VLOOKUP(--SUBSTITUTE(SUBSTITUTE(TRIM($K1023),"-","")," ",""),마스터시트!$A$2:$H$1946,6,FALSE),""))</f>
        <v/>
      </c>
      <c r="R1023" s="18" t="str">
        <f>IF($K1023="","",IFERROR(VLOOKUP(--SUBSTITUTE(SUBSTITUTE(TRIM($K1023),"-","")," ",""),마스터시트!$A$2:$H$1946,7,FALSE),""))</f>
        <v/>
      </c>
    </row>
    <row r="1024" spans="13:18" x14ac:dyDescent="0.3">
      <c r="M1024" s="18" t="str">
        <f>IF($K1024="","",IFERROR(VLOOKUP(--SUBSTITUTE(SUBSTITUTE(TRIM($K1024),"-","")," ",""),마스터시트!$A$2:$H$1946,2,FALSE),"미등록"))</f>
        <v/>
      </c>
      <c r="N1024" s="53" t="str">
        <f>IF($K1024="","",IFERROR(VLOOKUP(--SUBSTITUTE(SUBSTITUTE(TRIM($K1024),"-","")," ",""),마스터시트!$A$2:$H$1946,3,FALSE),"미등록"))</f>
        <v/>
      </c>
      <c r="O1024" s="18" t="str">
        <f>IF($K1024="","",IFERROR(VLOOKUP(--SUBSTITUTE(SUBSTITUTE(TRIM($K1024),"-","")," ",""),마스터시트!$A$2:$H$1946,4,FALSE),""))</f>
        <v/>
      </c>
      <c r="P1024" s="18" t="str">
        <f>IF($K1024="","",IFERROR(VLOOKUP(--SUBSTITUTE(SUBSTITUTE(TRIM($K1024),"-","")," ",""),마스터시트!$A$2:$H$1946,5,FALSE),""))</f>
        <v/>
      </c>
      <c r="Q1024" s="18" t="str">
        <f>IF($K1024="","",IFERROR(VLOOKUP(--SUBSTITUTE(SUBSTITUTE(TRIM($K1024),"-","")," ",""),마스터시트!$A$2:$H$1946,6,FALSE),""))</f>
        <v/>
      </c>
      <c r="R1024" s="18" t="str">
        <f>IF($K1024="","",IFERROR(VLOOKUP(--SUBSTITUTE(SUBSTITUTE(TRIM($K1024),"-","")," ",""),마스터시트!$A$2:$H$1946,7,FALSE),""))</f>
        <v/>
      </c>
    </row>
    <row r="1025" spans="13:18" x14ac:dyDescent="0.3">
      <c r="M1025" s="18" t="str">
        <f>IF($K1025="","",IFERROR(VLOOKUP(--SUBSTITUTE(SUBSTITUTE(TRIM($K1025),"-","")," ",""),마스터시트!$A$2:$H$1946,2,FALSE),"미등록"))</f>
        <v/>
      </c>
      <c r="N1025" s="53" t="str">
        <f>IF($K1025="","",IFERROR(VLOOKUP(--SUBSTITUTE(SUBSTITUTE(TRIM($K1025),"-","")," ",""),마스터시트!$A$2:$H$1946,3,FALSE),"미등록"))</f>
        <v/>
      </c>
      <c r="O1025" s="18" t="str">
        <f>IF($K1025="","",IFERROR(VLOOKUP(--SUBSTITUTE(SUBSTITUTE(TRIM($K1025),"-","")," ",""),마스터시트!$A$2:$H$1946,4,FALSE),""))</f>
        <v/>
      </c>
      <c r="P1025" s="18" t="str">
        <f>IF($K1025="","",IFERROR(VLOOKUP(--SUBSTITUTE(SUBSTITUTE(TRIM($K1025),"-","")," ",""),마스터시트!$A$2:$H$1946,5,FALSE),""))</f>
        <v/>
      </c>
      <c r="Q1025" s="18" t="str">
        <f>IF($K1025="","",IFERROR(VLOOKUP(--SUBSTITUTE(SUBSTITUTE(TRIM($K1025),"-","")," ",""),마스터시트!$A$2:$H$1946,6,FALSE),""))</f>
        <v/>
      </c>
      <c r="R1025" s="18" t="str">
        <f>IF($K1025="","",IFERROR(VLOOKUP(--SUBSTITUTE(SUBSTITUTE(TRIM($K1025),"-","")," ",""),마스터시트!$A$2:$H$1946,7,FALSE),""))</f>
        <v/>
      </c>
    </row>
    <row r="1026" spans="13:18" x14ac:dyDescent="0.3">
      <c r="M1026" s="18" t="str">
        <f>IF($K1026="","",IFERROR(VLOOKUP(--SUBSTITUTE(SUBSTITUTE(TRIM($K1026),"-","")," ",""),마스터시트!$A$2:$H$1946,2,FALSE),"미등록"))</f>
        <v/>
      </c>
      <c r="N1026" s="53" t="str">
        <f>IF($K1026="","",IFERROR(VLOOKUP(--SUBSTITUTE(SUBSTITUTE(TRIM($K1026),"-","")," ",""),마스터시트!$A$2:$H$1946,3,FALSE),"미등록"))</f>
        <v/>
      </c>
      <c r="O1026" s="18" t="str">
        <f>IF($K1026="","",IFERROR(VLOOKUP(--SUBSTITUTE(SUBSTITUTE(TRIM($K1026),"-","")," ",""),마스터시트!$A$2:$H$1946,4,FALSE),""))</f>
        <v/>
      </c>
      <c r="P1026" s="18" t="str">
        <f>IF($K1026="","",IFERROR(VLOOKUP(--SUBSTITUTE(SUBSTITUTE(TRIM($K1026),"-","")," ",""),마스터시트!$A$2:$H$1946,5,FALSE),""))</f>
        <v/>
      </c>
      <c r="Q1026" s="18" t="str">
        <f>IF($K1026="","",IFERROR(VLOOKUP(--SUBSTITUTE(SUBSTITUTE(TRIM($K1026),"-","")," ",""),마스터시트!$A$2:$H$1946,6,FALSE),""))</f>
        <v/>
      </c>
      <c r="R1026" s="18" t="str">
        <f>IF($K1026="","",IFERROR(VLOOKUP(--SUBSTITUTE(SUBSTITUTE(TRIM($K1026),"-","")," ",""),마스터시트!$A$2:$H$1946,7,FALSE),""))</f>
        <v/>
      </c>
    </row>
    <row r="1027" spans="13:18" x14ac:dyDescent="0.3">
      <c r="M1027" s="18" t="str">
        <f>IF($K1027="","",IFERROR(VLOOKUP(--SUBSTITUTE(SUBSTITUTE(TRIM($K1027),"-","")," ",""),마스터시트!$A$2:$H$1946,2,FALSE),"미등록"))</f>
        <v/>
      </c>
      <c r="N1027" s="53" t="str">
        <f>IF($K1027="","",IFERROR(VLOOKUP(--SUBSTITUTE(SUBSTITUTE(TRIM($K1027),"-","")," ",""),마스터시트!$A$2:$H$1946,3,FALSE),"미등록"))</f>
        <v/>
      </c>
      <c r="O1027" s="18" t="str">
        <f>IF($K1027="","",IFERROR(VLOOKUP(--SUBSTITUTE(SUBSTITUTE(TRIM($K1027),"-","")," ",""),마스터시트!$A$2:$H$1946,4,FALSE),""))</f>
        <v/>
      </c>
      <c r="P1027" s="18" t="str">
        <f>IF($K1027="","",IFERROR(VLOOKUP(--SUBSTITUTE(SUBSTITUTE(TRIM($K1027),"-","")," ",""),마스터시트!$A$2:$H$1946,5,FALSE),""))</f>
        <v/>
      </c>
      <c r="Q1027" s="18" t="str">
        <f>IF($K1027="","",IFERROR(VLOOKUP(--SUBSTITUTE(SUBSTITUTE(TRIM($K1027),"-","")," ",""),마스터시트!$A$2:$H$1946,6,FALSE),""))</f>
        <v/>
      </c>
      <c r="R1027" s="18" t="str">
        <f>IF($K1027="","",IFERROR(VLOOKUP(--SUBSTITUTE(SUBSTITUTE(TRIM($K1027),"-","")," ",""),마스터시트!$A$2:$H$1946,7,FALSE),""))</f>
        <v/>
      </c>
    </row>
    <row r="1028" spans="13:18" x14ac:dyDescent="0.3">
      <c r="M1028" s="18" t="str">
        <f>IF($K1028="","",IFERROR(VLOOKUP(--SUBSTITUTE(SUBSTITUTE(TRIM($K1028),"-","")," ",""),마스터시트!$A$2:$H$1946,2,FALSE),"미등록"))</f>
        <v/>
      </c>
      <c r="N1028" s="53" t="str">
        <f>IF($K1028="","",IFERROR(VLOOKUP(--SUBSTITUTE(SUBSTITUTE(TRIM($K1028),"-","")," ",""),마스터시트!$A$2:$H$1946,3,FALSE),"미등록"))</f>
        <v/>
      </c>
      <c r="O1028" s="18" t="str">
        <f>IF($K1028="","",IFERROR(VLOOKUP(--SUBSTITUTE(SUBSTITUTE(TRIM($K1028),"-","")," ",""),마스터시트!$A$2:$H$1946,4,FALSE),""))</f>
        <v/>
      </c>
      <c r="P1028" s="18" t="str">
        <f>IF($K1028="","",IFERROR(VLOOKUP(--SUBSTITUTE(SUBSTITUTE(TRIM($K1028),"-","")," ",""),마스터시트!$A$2:$H$1946,5,FALSE),""))</f>
        <v/>
      </c>
      <c r="Q1028" s="18" t="str">
        <f>IF($K1028="","",IFERROR(VLOOKUP(--SUBSTITUTE(SUBSTITUTE(TRIM($K1028),"-","")," ",""),마스터시트!$A$2:$H$1946,6,FALSE),""))</f>
        <v/>
      </c>
      <c r="R1028" s="18" t="str">
        <f>IF($K1028="","",IFERROR(VLOOKUP(--SUBSTITUTE(SUBSTITUTE(TRIM($K1028),"-","")," ",""),마스터시트!$A$2:$H$1946,7,FALSE),""))</f>
        <v/>
      </c>
    </row>
    <row r="1029" spans="13:18" x14ac:dyDescent="0.3">
      <c r="M1029" s="18" t="str">
        <f>IF($K1029="","",IFERROR(VLOOKUP(--SUBSTITUTE(SUBSTITUTE(TRIM($K1029),"-","")," ",""),마스터시트!$A$2:$H$1946,2,FALSE),"미등록"))</f>
        <v/>
      </c>
      <c r="N1029" s="53" t="str">
        <f>IF($K1029="","",IFERROR(VLOOKUP(--SUBSTITUTE(SUBSTITUTE(TRIM($K1029),"-","")," ",""),마스터시트!$A$2:$H$1946,3,FALSE),"미등록"))</f>
        <v/>
      </c>
      <c r="O1029" s="18" t="str">
        <f>IF($K1029="","",IFERROR(VLOOKUP(--SUBSTITUTE(SUBSTITUTE(TRIM($K1029),"-","")," ",""),마스터시트!$A$2:$H$1946,4,FALSE),""))</f>
        <v/>
      </c>
      <c r="P1029" s="18" t="str">
        <f>IF($K1029="","",IFERROR(VLOOKUP(--SUBSTITUTE(SUBSTITUTE(TRIM($K1029),"-","")," ",""),마스터시트!$A$2:$H$1946,5,FALSE),""))</f>
        <v/>
      </c>
      <c r="Q1029" s="18" t="str">
        <f>IF($K1029="","",IFERROR(VLOOKUP(--SUBSTITUTE(SUBSTITUTE(TRIM($K1029),"-","")," ",""),마스터시트!$A$2:$H$1946,6,FALSE),""))</f>
        <v/>
      </c>
      <c r="R1029" s="18" t="str">
        <f>IF($K1029="","",IFERROR(VLOOKUP(--SUBSTITUTE(SUBSTITUTE(TRIM($K1029),"-","")," ",""),마스터시트!$A$2:$H$1946,7,FALSE),""))</f>
        <v/>
      </c>
    </row>
    <row r="1030" spans="13:18" x14ac:dyDescent="0.3">
      <c r="M1030" s="18" t="str">
        <f>IF($K1030="","",IFERROR(VLOOKUP(--SUBSTITUTE(SUBSTITUTE(TRIM($K1030),"-","")," ",""),마스터시트!$A$2:$H$1946,2,FALSE),"미등록"))</f>
        <v/>
      </c>
      <c r="N1030" s="53" t="str">
        <f>IF($K1030="","",IFERROR(VLOOKUP(--SUBSTITUTE(SUBSTITUTE(TRIM($K1030),"-","")," ",""),마스터시트!$A$2:$H$1946,3,FALSE),"미등록"))</f>
        <v/>
      </c>
      <c r="O1030" s="18" t="str">
        <f>IF($K1030="","",IFERROR(VLOOKUP(--SUBSTITUTE(SUBSTITUTE(TRIM($K1030),"-","")," ",""),마스터시트!$A$2:$H$1946,4,FALSE),""))</f>
        <v/>
      </c>
      <c r="P1030" s="18" t="str">
        <f>IF($K1030="","",IFERROR(VLOOKUP(--SUBSTITUTE(SUBSTITUTE(TRIM($K1030),"-","")," ",""),마스터시트!$A$2:$H$1946,5,FALSE),""))</f>
        <v/>
      </c>
      <c r="Q1030" s="18" t="str">
        <f>IF($K1030="","",IFERROR(VLOOKUP(--SUBSTITUTE(SUBSTITUTE(TRIM($K1030),"-","")," ",""),마스터시트!$A$2:$H$1946,6,FALSE),""))</f>
        <v/>
      </c>
      <c r="R1030" s="18" t="str">
        <f>IF($K1030="","",IFERROR(VLOOKUP(--SUBSTITUTE(SUBSTITUTE(TRIM($K1030),"-","")," ",""),마스터시트!$A$2:$H$1946,7,FALSE),""))</f>
        <v/>
      </c>
    </row>
    <row r="1031" spans="13:18" x14ac:dyDescent="0.3">
      <c r="M1031" s="18" t="str">
        <f>IF($K1031="","",IFERROR(VLOOKUP(--SUBSTITUTE(SUBSTITUTE(TRIM($K1031),"-","")," ",""),마스터시트!$A$2:$H$1946,2,FALSE),"미등록"))</f>
        <v/>
      </c>
      <c r="N1031" s="53" t="str">
        <f>IF($K1031="","",IFERROR(VLOOKUP(--SUBSTITUTE(SUBSTITUTE(TRIM($K1031),"-","")," ",""),마스터시트!$A$2:$H$1946,3,FALSE),"미등록"))</f>
        <v/>
      </c>
      <c r="O1031" s="18" t="str">
        <f>IF($K1031="","",IFERROR(VLOOKUP(--SUBSTITUTE(SUBSTITUTE(TRIM($K1031),"-","")," ",""),마스터시트!$A$2:$H$1946,4,FALSE),""))</f>
        <v/>
      </c>
      <c r="P1031" s="18" t="str">
        <f>IF($K1031="","",IFERROR(VLOOKUP(--SUBSTITUTE(SUBSTITUTE(TRIM($K1031),"-","")," ",""),마스터시트!$A$2:$H$1946,5,FALSE),""))</f>
        <v/>
      </c>
      <c r="Q1031" s="18" t="str">
        <f>IF($K1031="","",IFERROR(VLOOKUP(--SUBSTITUTE(SUBSTITUTE(TRIM($K1031),"-","")," ",""),마스터시트!$A$2:$H$1946,6,FALSE),""))</f>
        <v/>
      </c>
      <c r="R1031" s="18" t="str">
        <f>IF($K1031="","",IFERROR(VLOOKUP(--SUBSTITUTE(SUBSTITUTE(TRIM($K1031),"-","")," ",""),마스터시트!$A$2:$H$1946,7,FALSE),""))</f>
        <v/>
      </c>
    </row>
    <row r="1032" spans="13:18" x14ac:dyDescent="0.3">
      <c r="M1032" s="18" t="str">
        <f>IF($K1032="","",IFERROR(VLOOKUP(--SUBSTITUTE(SUBSTITUTE(TRIM($K1032),"-","")," ",""),마스터시트!$A$2:$H$1946,2,FALSE),"미등록"))</f>
        <v/>
      </c>
      <c r="N1032" s="53" t="str">
        <f>IF($K1032="","",IFERROR(VLOOKUP(--SUBSTITUTE(SUBSTITUTE(TRIM($K1032),"-","")," ",""),마스터시트!$A$2:$H$1946,3,FALSE),"미등록"))</f>
        <v/>
      </c>
      <c r="O1032" s="18" t="str">
        <f>IF($K1032="","",IFERROR(VLOOKUP(--SUBSTITUTE(SUBSTITUTE(TRIM($K1032),"-","")," ",""),마스터시트!$A$2:$H$1946,4,FALSE),""))</f>
        <v/>
      </c>
      <c r="P1032" s="18" t="str">
        <f>IF($K1032="","",IFERROR(VLOOKUP(--SUBSTITUTE(SUBSTITUTE(TRIM($K1032),"-","")," ",""),마스터시트!$A$2:$H$1946,5,FALSE),""))</f>
        <v/>
      </c>
      <c r="Q1032" s="18" t="str">
        <f>IF($K1032="","",IFERROR(VLOOKUP(--SUBSTITUTE(SUBSTITUTE(TRIM($K1032),"-","")," ",""),마스터시트!$A$2:$H$1946,6,FALSE),""))</f>
        <v/>
      </c>
      <c r="R1032" s="18" t="str">
        <f>IF($K1032="","",IFERROR(VLOOKUP(--SUBSTITUTE(SUBSTITUTE(TRIM($K1032),"-","")," ",""),마스터시트!$A$2:$H$1946,7,FALSE),""))</f>
        <v/>
      </c>
    </row>
    <row r="1033" spans="13:18" x14ac:dyDescent="0.3">
      <c r="M1033" s="18" t="str">
        <f>IF($K1033="","",IFERROR(VLOOKUP(--SUBSTITUTE(SUBSTITUTE(TRIM($K1033),"-","")," ",""),마스터시트!$A$2:$H$1946,2,FALSE),"미등록"))</f>
        <v/>
      </c>
      <c r="N1033" s="53" t="str">
        <f>IF($K1033="","",IFERROR(VLOOKUP(--SUBSTITUTE(SUBSTITUTE(TRIM($K1033),"-","")," ",""),마스터시트!$A$2:$H$1946,3,FALSE),"미등록"))</f>
        <v/>
      </c>
      <c r="O1033" s="18" t="str">
        <f>IF($K1033="","",IFERROR(VLOOKUP(--SUBSTITUTE(SUBSTITUTE(TRIM($K1033),"-","")," ",""),마스터시트!$A$2:$H$1946,4,FALSE),""))</f>
        <v/>
      </c>
      <c r="P1033" s="18" t="str">
        <f>IF($K1033="","",IFERROR(VLOOKUP(--SUBSTITUTE(SUBSTITUTE(TRIM($K1033),"-","")," ",""),마스터시트!$A$2:$H$1946,5,FALSE),""))</f>
        <v/>
      </c>
      <c r="Q1033" s="18" t="str">
        <f>IF($K1033="","",IFERROR(VLOOKUP(--SUBSTITUTE(SUBSTITUTE(TRIM($K1033),"-","")," ",""),마스터시트!$A$2:$H$1946,6,FALSE),""))</f>
        <v/>
      </c>
      <c r="R1033" s="18" t="str">
        <f>IF($K1033="","",IFERROR(VLOOKUP(--SUBSTITUTE(SUBSTITUTE(TRIM($K1033),"-","")," ",""),마스터시트!$A$2:$H$1946,7,FALSE),""))</f>
        <v/>
      </c>
    </row>
    <row r="1034" spans="13:18" x14ac:dyDescent="0.3">
      <c r="M1034" s="18" t="str">
        <f>IF($K1034="","",IFERROR(VLOOKUP(--SUBSTITUTE(SUBSTITUTE(TRIM($K1034),"-","")," ",""),마스터시트!$A$2:$H$1946,2,FALSE),"미등록"))</f>
        <v/>
      </c>
      <c r="N1034" s="53" t="str">
        <f>IF($K1034="","",IFERROR(VLOOKUP(--SUBSTITUTE(SUBSTITUTE(TRIM($K1034),"-","")," ",""),마스터시트!$A$2:$H$1946,3,FALSE),"미등록"))</f>
        <v/>
      </c>
      <c r="O1034" s="18" t="str">
        <f>IF($K1034="","",IFERROR(VLOOKUP(--SUBSTITUTE(SUBSTITUTE(TRIM($K1034),"-","")," ",""),마스터시트!$A$2:$H$1946,4,FALSE),""))</f>
        <v/>
      </c>
      <c r="P1034" s="18" t="str">
        <f>IF($K1034="","",IFERROR(VLOOKUP(--SUBSTITUTE(SUBSTITUTE(TRIM($K1034),"-","")," ",""),마스터시트!$A$2:$H$1946,5,FALSE),""))</f>
        <v/>
      </c>
      <c r="Q1034" s="18" t="str">
        <f>IF($K1034="","",IFERROR(VLOOKUP(--SUBSTITUTE(SUBSTITUTE(TRIM($K1034),"-","")," ",""),마스터시트!$A$2:$H$1946,6,FALSE),""))</f>
        <v/>
      </c>
      <c r="R1034" s="18" t="str">
        <f>IF($K1034="","",IFERROR(VLOOKUP(--SUBSTITUTE(SUBSTITUTE(TRIM($K1034),"-","")," ",""),마스터시트!$A$2:$H$1946,7,FALSE),""))</f>
        <v/>
      </c>
    </row>
    <row r="1035" spans="13:18" x14ac:dyDescent="0.3">
      <c r="M1035" s="18" t="str">
        <f>IF($K1035="","",IFERROR(VLOOKUP(--SUBSTITUTE(SUBSTITUTE(TRIM($K1035),"-","")," ",""),마스터시트!$A$2:$H$1946,2,FALSE),"미등록"))</f>
        <v/>
      </c>
      <c r="N1035" s="53" t="str">
        <f>IF($K1035="","",IFERROR(VLOOKUP(--SUBSTITUTE(SUBSTITUTE(TRIM($K1035),"-","")," ",""),마스터시트!$A$2:$H$1946,3,FALSE),"미등록"))</f>
        <v/>
      </c>
      <c r="O1035" s="18" t="str">
        <f>IF($K1035="","",IFERROR(VLOOKUP(--SUBSTITUTE(SUBSTITUTE(TRIM($K1035),"-","")," ",""),마스터시트!$A$2:$H$1946,4,FALSE),""))</f>
        <v/>
      </c>
      <c r="P1035" s="18" t="str">
        <f>IF($K1035="","",IFERROR(VLOOKUP(--SUBSTITUTE(SUBSTITUTE(TRIM($K1035),"-","")," ",""),마스터시트!$A$2:$H$1946,5,FALSE),""))</f>
        <v/>
      </c>
      <c r="Q1035" s="18" t="str">
        <f>IF($K1035="","",IFERROR(VLOOKUP(--SUBSTITUTE(SUBSTITUTE(TRIM($K1035),"-","")," ",""),마스터시트!$A$2:$H$1946,6,FALSE),""))</f>
        <v/>
      </c>
      <c r="R1035" s="18" t="str">
        <f>IF($K1035="","",IFERROR(VLOOKUP(--SUBSTITUTE(SUBSTITUTE(TRIM($K1035),"-","")," ",""),마스터시트!$A$2:$H$1946,7,FALSE),""))</f>
        <v/>
      </c>
    </row>
    <row r="1036" spans="13:18" x14ac:dyDescent="0.3">
      <c r="M1036" s="18" t="str">
        <f>IF($K1036="","",IFERROR(VLOOKUP(--SUBSTITUTE(SUBSTITUTE(TRIM($K1036),"-","")," ",""),마스터시트!$A$2:$H$1946,2,FALSE),"미등록"))</f>
        <v/>
      </c>
      <c r="N1036" s="53" t="str">
        <f>IF($K1036="","",IFERROR(VLOOKUP(--SUBSTITUTE(SUBSTITUTE(TRIM($K1036),"-","")," ",""),마스터시트!$A$2:$H$1946,3,FALSE),"미등록"))</f>
        <v/>
      </c>
      <c r="O1036" s="18" t="str">
        <f>IF($K1036="","",IFERROR(VLOOKUP(--SUBSTITUTE(SUBSTITUTE(TRIM($K1036),"-","")," ",""),마스터시트!$A$2:$H$1946,4,FALSE),""))</f>
        <v/>
      </c>
      <c r="P1036" s="18" t="str">
        <f>IF($K1036="","",IFERROR(VLOOKUP(--SUBSTITUTE(SUBSTITUTE(TRIM($K1036),"-","")," ",""),마스터시트!$A$2:$H$1946,5,FALSE),""))</f>
        <v/>
      </c>
      <c r="Q1036" s="18" t="str">
        <f>IF($K1036="","",IFERROR(VLOOKUP(--SUBSTITUTE(SUBSTITUTE(TRIM($K1036),"-","")," ",""),마스터시트!$A$2:$H$1946,6,FALSE),""))</f>
        <v/>
      </c>
      <c r="R1036" s="18" t="str">
        <f>IF($K1036="","",IFERROR(VLOOKUP(--SUBSTITUTE(SUBSTITUTE(TRIM($K1036),"-","")," ",""),마스터시트!$A$2:$H$1946,7,FALSE),""))</f>
        <v/>
      </c>
    </row>
    <row r="1037" spans="13:18" x14ac:dyDescent="0.3">
      <c r="M1037" s="18" t="str">
        <f>IF($K1037="","",IFERROR(VLOOKUP(--SUBSTITUTE(SUBSTITUTE(TRIM($K1037),"-","")," ",""),마스터시트!$A$2:$H$1946,2,FALSE),"미등록"))</f>
        <v/>
      </c>
      <c r="N1037" s="53" t="str">
        <f>IF($K1037="","",IFERROR(VLOOKUP(--SUBSTITUTE(SUBSTITUTE(TRIM($K1037),"-","")," ",""),마스터시트!$A$2:$H$1946,3,FALSE),"미등록"))</f>
        <v/>
      </c>
      <c r="O1037" s="18" t="str">
        <f>IF($K1037="","",IFERROR(VLOOKUP(--SUBSTITUTE(SUBSTITUTE(TRIM($K1037),"-","")," ",""),마스터시트!$A$2:$H$1946,4,FALSE),""))</f>
        <v/>
      </c>
      <c r="P1037" s="18" t="str">
        <f>IF($K1037="","",IFERROR(VLOOKUP(--SUBSTITUTE(SUBSTITUTE(TRIM($K1037),"-","")," ",""),마스터시트!$A$2:$H$1946,5,FALSE),""))</f>
        <v/>
      </c>
      <c r="Q1037" s="18" t="str">
        <f>IF($K1037="","",IFERROR(VLOOKUP(--SUBSTITUTE(SUBSTITUTE(TRIM($K1037),"-","")," ",""),마스터시트!$A$2:$H$1946,6,FALSE),""))</f>
        <v/>
      </c>
      <c r="R1037" s="18" t="str">
        <f>IF($K1037="","",IFERROR(VLOOKUP(--SUBSTITUTE(SUBSTITUTE(TRIM($K1037),"-","")," ",""),마스터시트!$A$2:$H$1946,7,FALSE),""))</f>
        <v/>
      </c>
    </row>
    <row r="1038" spans="13:18" x14ac:dyDescent="0.3">
      <c r="M1038" s="18" t="str">
        <f>IF($K1038="","",IFERROR(VLOOKUP(--SUBSTITUTE(SUBSTITUTE(TRIM($K1038),"-","")," ",""),마스터시트!$A$2:$H$1946,2,FALSE),"미등록"))</f>
        <v/>
      </c>
      <c r="N1038" s="53" t="str">
        <f>IF($K1038="","",IFERROR(VLOOKUP(--SUBSTITUTE(SUBSTITUTE(TRIM($K1038),"-","")," ",""),마스터시트!$A$2:$H$1946,3,FALSE),"미등록"))</f>
        <v/>
      </c>
      <c r="O1038" s="18" t="str">
        <f>IF($K1038="","",IFERROR(VLOOKUP(--SUBSTITUTE(SUBSTITUTE(TRIM($K1038),"-","")," ",""),마스터시트!$A$2:$H$1946,4,FALSE),""))</f>
        <v/>
      </c>
      <c r="P1038" s="18" t="str">
        <f>IF($K1038="","",IFERROR(VLOOKUP(--SUBSTITUTE(SUBSTITUTE(TRIM($K1038),"-","")," ",""),마스터시트!$A$2:$H$1946,5,FALSE),""))</f>
        <v/>
      </c>
      <c r="Q1038" s="18" t="str">
        <f>IF($K1038="","",IFERROR(VLOOKUP(--SUBSTITUTE(SUBSTITUTE(TRIM($K1038),"-","")," ",""),마스터시트!$A$2:$H$1946,6,FALSE),""))</f>
        <v/>
      </c>
      <c r="R1038" s="18" t="str">
        <f>IF($K1038="","",IFERROR(VLOOKUP(--SUBSTITUTE(SUBSTITUTE(TRIM($K1038),"-","")," ",""),마스터시트!$A$2:$H$1946,7,FALSE),""))</f>
        <v/>
      </c>
    </row>
    <row r="1039" spans="13:18" x14ac:dyDescent="0.3">
      <c r="M1039" s="18" t="str">
        <f>IF($K1039="","",IFERROR(VLOOKUP(--SUBSTITUTE(SUBSTITUTE(TRIM($K1039),"-","")," ",""),마스터시트!$A$2:$H$1946,2,FALSE),"미등록"))</f>
        <v/>
      </c>
      <c r="N1039" s="53" t="str">
        <f>IF($K1039="","",IFERROR(VLOOKUP(--SUBSTITUTE(SUBSTITUTE(TRIM($K1039),"-","")," ",""),마스터시트!$A$2:$H$1946,3,FALSE),"미등록"))</f>
        <v/>
      </c>
      <c r="O1039" s="18" t="str">
        <f>IF($K1039="","",IFERROR(VLOOKUP(--SUBSTITUTE(SUBSTITUTE(TRIM($K1039),"-","")," ",""),마스터시트!$A$2:$H$1946,4,FALSE),""))</f>
        <v/>
      </c>
      <c r="P1039" s="18" t="str">
        <f>IF($K1039="","",IFERROR(VLOOKUP(--SUBSTITUTE(SUBSTITUTE(TRIM($K1039),"-","")," ",""),마스터시트!$A$2:$H$1946,5,FALSE),""))</f>
        <v/>
      </c>
      <c r="Q1039" s="18" t="str">
        <f>IF($K1039="","",IFERROR(VLOOKUP(--SUBSTITUTE(SUBSTITUTE(TRIM($K1039),"-","")," ",""),마스터시트!$A$2:$H$1946,6,FALSE),""))</f>
        <v/>
      </c>
      <c r="R1039" s="18" t="str">
        <f>IF($K1039="","",IFERROR(VLOOKUP(--SUBSTITUTE(SUBSTITUTE(TRIM($K1039),"-","")," ",""),마스터시트!$A$2:$H$1946,7,FALSE),""))</f>
        <v/>
      </c>
    </row>
    <row r="1040" spans="13:18" x14ac:dyDescent="0.3">
      <c r="M1040" s="18" t="str">
        <f>IF($K1040="","",IFERROR(VLOOKUP(--SUBSTITUTE(SUBSTITUTE(TRIM($K1040),"-","")," ",""),마스터시트!$A$2:$H$1946,2,FALSE),"미등록"))</f>
        <v/>
      </c>
      <c r="N1040" s="53" t="str">
        <f>IF($K1040="","",IFERROR(VLOOKUP(--SUBSTITUTE(SUBSTITUTE(TRIM($K1040),"-","")," ",""),마스터시트!$A$2:$H$1946,3,FALSE),"미등록"))</f>
        <v/>
      </c>
      <c r="O1040" s="18" t="str">
        <f>IF($K1040="","",IFERROR(VLOOKUP(--SUBSTITUTE(SUBSTITUTE(TRIM($K1040),"-","")," ",""),마스터시트!$A$2:$H$1946,4,FALSE),""))</f>
        <v/>
      </c>
      <c r="P1040" s="18" t="str">
        <f>IF($K1040="","",IFERROR(VLOOKUP(--SUBSTITUTE(SUBSTITUTE(TRIM($K1040),"-","")," ",""),마스터시트!$A$2:$H$1946,5,FALSE),""))</f>
        <v/>
      </c>
      <c r="Q1040" s="18" t="str">
        <f>IF($K1040="","",IFERROR(VLOOKUP(--SUBSTITUTE(SUBSTITUTE(TRIM($K1040),"-","")," ",""),마스터시트!$A$2:$H$1946,6,FALSE),""))</f>
        <v/>
      </c>
      <c r="R1040" s="18" t="str">
        <f>IF($K1040="","",IFERROR(VLOOKUP(--SUBSTITUTE(SUBSTITUTE(TRIM($K1040),"-","")," ",""),마스터시트!$A$2:$H$1946,7,FALSE),""))</f>
        <v/>
      </c>
    </row>
    <row r="1041" spans="13:18" x14ac:dyDescent="0.3">
      <c r="M1041" s="18" t="str">
        <f>IF($K1041="","",IFERROR(VLOOKUP(--SUBSTITUTE(SUBSTITUTE(TRIM($K1041),"-","")," ",""),마스터시트!$A$2:$H$1946,2,FALSE),"미등록"))</f>
        <v/>
      </c>
      <c r="N1041" s="53" t="str">
        <f>IF($K1041="","",IFERROR(VLOOKUP(--SUBSTITUTE(SUBSTITUTE(TRIM($K1041),"-","")," ",""),마스터시트!$A$2:$H$1946,3,FALSE),"미등록"))</f>
        <v/>
      </c>
      <c r="O1041" s="18" t="str">
        <f>IF($K1041="","",IFERROR(VLOOKUP(--SUBSTITUTE(SUBSTITUTE(TRIM($K1041),"-","")," ",""),마스터시트!$A$2:$H$1946,4,FALSE),""))</f>
        <v/>
      </c>
      <c r="P1041" s="18" t="str">
        <f>IF($K1041="","",IFERROR(VLOOKUP(--SUBSTITUTE(SUBSTITUTE(TRIM($K1041),"-","")," ",""),마스터시트!$A$2:$H$1946,5,FALSE),""))</f>
        <v/>
      </c>
      <c r="Q1041" s="18" t="str">
        <f>IF($K1041="","",IFERROR(VLOOKUP(--SUBSTITUTE(SUBSTITUTE(TRIM($K1041),"-","")," ",""),마스터시트!$A$2:$H$1946,6,FALSE),""))</f>
        <v/>
      </c>
      <c r="R1041" s="18" t="str">
        <f>IF($K1041="","",IFERROR(VLOOKUP(--SUBSTITUTE(SUBSTITUTE(TRIM($K1041),"-","")," ",""),마스터시트!$A$2:$H$1946,7,FALSE),""))</f>
        <v/>
      </c>
    </row>
    <row r="1042" spans="13:18" x14ac:dyDescent="0.3">
      <c r="M1042" s="18" t="str">
        <f>IF($K1042="","",IFERROR(VLOOKUP(--SUBSTITUTE(SUBSTITUTE(TRIM($K1042),"-","")," ",""),마스터시트!$A$2:$H$1946,2,FALSE),"미등록"))</f>
        <v/>
      </c>
      <c r="N1042" s="53" t="str">
        <f>IF($K1042="","",IFERROR(VLOOKUP(--SUBSTITUTE(SUBSTITUTE(TRIM($K1042),"-","")," ",""),마스터시트!$A$2:$H$1946,3,FALSE),"미등록"))</f>
        <v/>
      </c>
      <c r="O1042" s="18" t="str">
        <f>IF($K1042="","",IFERROR(VLOOKUP(--SUBSTITUTE(SUBSTITUTE(TRIM($K1042),"-","")," ",""),마스터시트!$A$2:$H$1946,4,FALSE),""))</f>
        <v/>
      </c>
      <c r="P1042" s="18" t="str">
        <f>IF($K1042="","",IFERROR(VLOOKUP(--SUBSTITUTE(SUBSTITUTE(TRIM($K1042),"-","")," ",""),마스터시트!$A$2:$H$1946,5,FALSE),""))</f>
        <v/>
      </c>
      <c r="Q1042" s="18" t="str">
        <f>IF($K1042="","",IFERROR(VLOOKUP(--SUBSTITUTE(SUBSTITUTE(TRIM($K1042),"-","")," ",""),마스터시트!$A$2:$H$1946,6,FALSE),""))</f>
        <v/>
      </c>
      <c r="R1042" s="18" t="str">
        <f>IF($K1042="","",IFERROR(VLOOKUP(--SUBSTITUTE(SUBSTITUTE(TRIM($K1042),"-","")," ",""),마스터시트!$A$2:$H$1946,7,FALSE),""))</f>
        <v/>
      </c>
    </row>
    <row r="1043" spans="13:18" x14ac:dyDescent="0.3">
      <c r="M1043" s="18" t="str">
        <f>IF($K1043="","",IFERROR(VLOOKUP(--SUBSTITUTE(SUBSTITUTE(TRIM($K1043),"-","")," ",""),마스터시트!$A$2:$H$1946,2,FALSE),"미등록"))</f>
        <v/>
      </c>
      <c r="N1043" s="53" t="str">
        <f>IF($K1043="","",IFERROR(VLOOKUP(--SUBSTITUTE(SUBSTITUTE(TRIM($K1043),"-","")," ",""),마스터시트!$A$2:$H$1946,3,FALSE),"미등록"))</f>
        <v/>
      </c>
      <c r="O1043" s="18" t="str">
        <f>IF($K1043="","",IFERROR(VLOOKUP(--SUBSTITUTE(SUBSTITUTE(TRIM($K1043),"-","")," ",""),마스터시트!$A$2:$H$1946,4,FALSE),""))</f>
        <v/>
      </c>
      <c r="P1043" s="18" t="str">
        <f>IF($K1043="","",IFERROR(VLOOKUP(--SUBSTITUTE(SUBSTITUTE(TRIM($K1043),"-","")," ",""),마스터시트!$A$2:$H$1946,5,FALSE),""))</f>
        <v/>
      </c>
      <c r="Q1043" s="18" t="str">
        <f>IF($K1043="","",IFERROR(VLOOKUP(--SUBSTITUTE(SUBSTITUTE(TRIM($K1043),"-","")," ",""),마스터시트!$A$2:$H$1946,6,FALSE),""))</f>
        <v/>
      </c>
      <c r="R1043" s="18" t="str">
        <f>IF($K1043="","",IFERROR(VLOOKUP(--SUBSTITUTE(SUBSTITUTE(TRIM($K1043),"-","")," ",""),마스터시트!$A$2:$H$1946,7,FALSE),""))</f>
        <v/>
      </c>
    </row>
    <row r="1044" spans="13:18" x14ac:dyDescent="0.3">
      <c r="M1044" s="18" t="str">
        <f>IF($K1044="","",IFERROR(VLOOKUP(--SUBSTITUTE(SUBSTITUTE(TRIM($K1044),"-","")," ",""),마스터시트!$A$2:$H$1946,2,FALSE),"미등록"))</f>
        <v/>
      </c>
      <c r="N1044" s="53" t="str">
        <f>IF($K1044="","",IFERROR(VLOOKUP(--SUBSTITUTE(SUBSTITUTE(TRIM($K1044),"-","")," ",""),마스터시트!$A$2:$H$1946,3,FALSE),"미등록"))</f>
        <v/>
      </c>
      <c r="O1044" s="18" t="str">
        <f>IF($K1044="","",IFERROR(VLOOKUP(--SUBSTITUTE(SUBSTITUTE(TRIM($K1044),"-","")," ",""),마스터시트!$A$2:$H$1946,4,FALSE),""))</f>
        <v/>
      </c>
      <c r="P1044" s="18" t="str">
        <f>IF($K1044="","",IFERROR(VLOOKUP(--SUBSTITUTE(SUBSTITUTE(TRIM($K1044),"-","")," ",""),마스터시트!$A$2:$H$1946,5,FALSE),""))</f>
        <v/>
      </c>
      <c r="Q1044" s="18" t="str">
        <f>IF($K1044="","",IFERROR(VLOOKUP(--SUBSTITUTE(SUBSTITUTE(TRIM($K1044),"-","")," ",""),마스터시트!$A$2:$H$1946,6,FALSE),""))</f>
        <v/>
      </c>
      <c r="R1044" s="18" t="str">
        <f>IF($K1044="","",IFERROR(VLOOKUP(--SUBSTITUTE(SUBSTITUTE(TRIM($K1044),"-","")," ",""),마스터시트!$A$2:$H$1946,7,FALSE),""))</f>
        <v/>
      </c>
    </row>
    <row r="1045" spans="13:18" x14ac:dyDescent="0.3">
      <c r="M1045" s="18" t="str">
        <f>IF($K1045="","",IFERROR(VLOOKUP(--SUBSTITUTE(SUBSTITUTE(TRIM($K1045),"-","")," ",""),마스터시트!$A$2:$H$1946,2,FALSE),"미등록"))</f>
        <v/>
      </c>
      <c r="N1045" s="53" t="str">
        <f>IF($K1045="","",IFERROR(VLOOKUP(--SUBSTITUTE(SUBSTITUTE(TRIM($K1045),"-","")," ",""),마스터시트!$A$2:$H$1946,3,FALSE),"미등록"))</f>
        <v/>
      </c>
      <c r="O1045" s="18" t="str">
        <f>IF($K1045="","",IFERROR(VLOOKUP(--SUBSTITUTE(SUBSTITUTE(TRIM($K1045),"-","")," ",""),마스터시트!$A$2:$H$1946,4,FALSE),""))</f>
        <v/>
      </c>
      <c r="P1045" s="18" t="str">
        <f>IF($K1045="","",IFERROR(VLOOKUP(--SUBSTITUTE(SUBSTITUTE(TRIM($K1045),"-","")," ",""),마스터시트!$A$2:$H$1946,5,FALSE),""))</f>
        <v/>
      </c>
      <c r="Q1045" s="18" t="str">
        <f>IF($K1045="","",IFERROR(VLOOKUP(--SUBSTITUTE(SUBSTITUTE(TRIM($K1045),"-","")," ",""),마스터시트!$A$2:$H$1946,6,FALSE),""))</f>
        <v/>
      </c>
      <c r="R1045" s="18" t="str">
        <f>IF($K1045="","",IFERROR(VLOOKUP(--SUBSTITUTE(SUBSTITUTE(TRIM($K1045),"-","")," ",""),마스터시트!$A$2:$H$1946,7,FALSE),""))</f>
        <v/>
      </c>
    </row>
    <row r="1046" spans="13:18" x14ac:dyDescent="0.3">
      <c r="M1046" s="18" t="str">
        <f>IF($K1046="","",IFERROR(VLOOKUP(--SUBSTITUTE(SUBSTITUTE(TRIM($K1046),"-","")," ",""),마스터시트!$A$2:$H$1946,2,FALSE),"미등록"))</f>
        <v/>
      </c>
      <c r="N1046" s="53" t="str">
        <f>IF($K1046="","",IFERROR(VLOOKUP(--SUBSTITUTE(SUBSTITUTE(TRIM($K1046),"-","")," ",""),마스터시트!$A$2:$H$1946,3,FALSE),"미등록"))</f>
        <v/>
      </c>
      <c r="O1046" s="18" t="str">
        <f>IF($K1046="","",IFERROR(VLOOKUP(--SUBSTITUTE(SUBSTITUTE(TRIM($K1046),"-","")," ",""),마스터시트!$A$2:$H$1946,4,FALSE),""))</f>
        <v/>
      </c>
      <c r="P1046" s="18" t="str">
        <f>IF($K1046="","",IFERROR(VLOOKUP(--SUBSTITUTE(SUBSTITUTE(TRIM($K1046),"-","")," ",""),마스터시트!$A$2:$H$1946,5,FALSE),""))</f>
        <v/>
      </c>
      <c r="Q1046" s="18" t="str">
        <f>IF($K1046="","",IFERROR(VLOOKUP(--SUBSTITUTE(SUBSTITUTE(TRIM($K1046),"-","")," ",""),마스터시트!$A$2:$H$1946,6,FALSE),""))</f>
        <v/>
      </c>
      <c r="R1046" s="18" t="str">
        <f>IF($K1046="","",IFERROR(VLOOKUP(--SUBSTITUTE(SUBSTITUTE(TRIM($K1046),"-","")," ",""),마스터시트!$A$2:$H$1946,7,FALSE),""))</f>
        <v/>
      </c>
    </row>
    <row r="1047" spans="13:18" x14ac:dyDescent="0.3">
      <c r="M1047" s="18" t="str">
        <f>IF($K1047="","",IFERROR(VLOOKUP(--SUBSTITUTE(SUBSTITUTE(TRIM($K1047),"-","")," ",""),마스터시트!$A$2:$H$1946,2,FALSE),"미등록"))</f>
        <v/>
      </c>
      <c r="N1047" s="53" t="str">
        <f>IF($K1047="","",IFERROR(VLOOKUP(--SUBSTITUTE(SUBSTITUTE(TRIM($K1047),"-","")," ",""),마스터시트!$A$2:$H$1946,3,FALSE),"미등록"))</f>
        <v/>
      </c>
      <c r="O1047" s="18" t="str">
        <f>IF($K1047="","",IFERROR(VLOOKUP(--SUBSTITUTE(SUBSTITUTE(TRIM($K1047),"-","")," ",""),마스터시트!$A$2:$H$1946,4,FALSE),""))</f>
        <v/>
      </c>
      <c r="P1047" s="18" t="str">
        <f>IF($K1047="","",IFERROR(VLOOKUP(--SUBSTITUTE(SUBSTITUTE(TRIM($K1047),"-","")," ",""),마스터시트!$A$2:$H$1946,5,FALSE),""))</f>
        <v/>
      </c>
      <c r="Q1047" s="18" t="str">
        <f>IF($K1047="","",IFERROR(VLOOKUP(--SUBSTITUTE(SUBSTITUTE(TRIM($K1047),"-","")," ",""),마스터시트!$A$2:$H$1946,6,FALSE),""))</f>
        <v/>
      </c>
      <c r="R1047" s="18" t="str">
        <f>IF($K1047="","",IFERROR(VLOOKUP(--SUBSTITUTE(SUBSTITUTE(TRIM($K1047),"-","")," ",""),마스터시트!$A$2:$H$1946,7,FALSE),""))</f>
        <v/>
      </c>
    </row>
    <row r="1048" spans="13:18" x14ac:dyDescent="0.3">
      <c r="M1048" s="18" t="str">
        <f>IF($K1048="","",IFERROR(VLOOKUP(--SUBSTITUTE(SUBSTITUTE(TRIM($K1048),"-","")," ",""),마스터시트!$A$2:$H$1946,2,FALSE),"미등록"))</f>
        <v/>
      </c>
      <c r="N1048" s="53" t="str">
        <f>IF($K1048="","",IFERROR(VLOOKUP(--SUBSTITUTE(SUBSTITUTE(TRIM($K1048),"-","")," ",""),마스터시트!$A$2:$H$1946,3,FALSE),"미등록"))</f>
        <v/>
      </c>
      <c r="O1048" s="18" t="str">
        <f>IF($K1048="","",IFERROR(VLOOKUP(--SUBSTITUTE(SUBSTITUTE(TRIM($K1048),"-","")," ",""),마스터시트!$A$2:$H$1946,4,FALSE),""))</f>
        <v/>
      </c>
      <c r="P1048" s="18" t="str">
        <f>IF($K1048="","",IFERROR(VLOOKUP(--SUBSTITUTE(SUBSTITUTE(TRIM($K1048),"-","")," ",""),마스터시트!$A$2:$H$1946,5,FALSE),""))</f>
        <v/>
      </c>
      <c r="Q1048" s="18" t="str">
        <f>IF($K1048="","",IFERROR(VLOOKUP(--SUBSTITUTE(SUBSTITUTE(TRIM($K1048),"-","")," ",""),마스터시트!$A$2:$H$1946,6,FALSE),""))</f>
        <v/>
      </c>
      <c r="R1048" s="18" t="str">
        <f>IF($K1048="","",IFERROR(VLOOKUP(--SUBSTITUTE(SUBSTITUTE(TRIM($K1048),"-","")," ",""),마스터시트!$A$2:$H$1946,7,FALSE),""))</f>
        <v/>
      </c>
    </row>
    <row r="1049" spans="13:18" x14ac:dyDescent="0.3">
      <c r="M1049" s="18" t="str">
        <f>IF($K1049="","",IFERROR(VLOOKUP(--SUBSTITUTE(SUBSTITUTE(TRIM($K1049),"-","")," ",""),마스터시트!$A$2:$H$1946,2,FALSE),"미등록"))</f>
        <v/>
      </c>
      <c r="N1049" s="53" t="str">
        <f>IF($K1049="","",IFERROR(VLOOKUP(--SUBSTITUTE(SUBSTITUTE(TRIM($K1049),"-","")," ",""),마스터시트!$A$2:$H$1946,3,FALSE),"미등록"))</f>
        <v/>
      </c>
      <c r="O1049" s="18" t="str">
        <f>IF($K1049="","",IFERROR(VLOOKUP(--SUBSTITUTE(SUBSTITUTE(TRIM($K1049),"-","")," ",""),마스터시트!$A$2:$H$1946,4,FALSE),""))</f>
        <v/>
      </c>
      <c r="P1049" s="18" t="str">
        <f>IF($K1049="","",IFERROR(VLOOKUP(--SUBSTITUTE(SUBSTITUTE(TRIM($K1049),"-","")," ",""),마스터시트!$A$2:$H$1946,5,FALSE),""))</f>
        <v/>
      </c>
      <c r="Q1049" s="18" t="str">
        <f>IF($K1049="","",IFERROR(VLOOKUP(--SUBSTITUTE(SUBSTITUTE(TRIM($K1049),"-","")," ",""),마스터시트!$A$2:$H$1946,6,FALSE),""))</f>
        <v/>
      </c>
      <c r="R1049" s="18" t="str">
        <f>IF($K1049="","",IFERROR(VLOOKUP(--SUBSTITUTE(SUBSTITUTE(TRIM($K1049),"-","")," ",""),마스터시트!$A$2:$H$1946,7,FALSE),""))</f>
        <v/>
      </c>
    </row>
    <row r="1050" spans="13:18" x14ac:dyDescent="0.3">
      <c r="M1050" s="18" t="str">
        <f>IF($K1050="","",IFERROR(VLOOKUP(--SUBSTITUTE(SUBSTITUTE(TRIM($K1050),"-","")," ",""),마스터시트!$A$2:$H$1946,2,FALSE),"미등록"))</f>
        <v/>
      </c>
      <c r="N1050" s="53" t="str">
        <f>IF($K1050="","",IFERROR(VLOOKUP(--SUBSTITUTE(SUBSTITUTE(TRIM($K1050),"-","")," ",""),마스터시트!$A$2:$H$1946,3,FALSE),"미등록"))</f>
        <v/>
      </c>
      <c r="O1050" s="18" t="str">
        <f>IF($K1050="","",IFERROR(VLOOKUP(--SUBSTITUTE(SUBSTITUTE(TRIM($K1050),"-","")," ",""),마스터시트!$A$2:$H$1946,4,FALSE),""))</f>
        <v/>
      </c>
      <c r="P1050" s="18" t="str">
        <f>IF($K1050="","",IFERROR(VLOOKUP(--SUBSTITUTE(SUBSTITUTE(TRIM($K1050),"-","")," ",""),마스터시트!$A$2:$H$1946,5,FALSE),""))</f>
        <v/>
      </c>
      <c r="Q1050" s="18" t="str">
        <f>IF($K1050="","",IFERROR(VLOOKUP(--SUBSTITUTE(SUBSTITUTE(TRIM($K1050),"-","")," ",""),마스터시트!$A$2:$H$1946,6,FALSE),""))</f>
        <v/>
      </c>
      <c r="R1050" s="18" t="str">
        <f>IF($K1050="","",IFERROR(VLOOKUP(--SUBSTITUTE(SUBSTITUTE(TRIM($K1050),"-","")," ",""),마스터시트!$A$2:$H$1946,7,FALSE),""))</f>
        <v/>
      </c>
    </row>
    <row r="1051" spans="13:18" x14ac:dyDescent="0.3">
      <c r="M1051" s="18" t="str">
        <f>IF($K1051="","",IFERROR(VLOOKUP(--SUBSTITUTE(SUBSTITUTE(TRIM($K1051),"-","")," ",""),마스터시트!$A$2:$H$1946,2,FALSE),"미등록"))</f>
        <v/>
      </c>
      <c r="N1051" s="53" t="str">
        <f>IF($K1051="","",IFERROR(VLOOKUP(--SUBSTITUTE(SUBSTITUTE(TRIM($K1051),"-","")," ",""),마스터시트!$A$2:$H$1946,3,FALSE),"미등록"))</f>
        <v/>
      </c>
      <c r="O1051" s="18" t="str">
        <f>IF($K1051="","",IFERROR(VLOOKUP(--SUBSTITUTE(SUBSTITUTE(TRIM($K1051),"-","")," ",""),마스터시트!$A$2:$H$1946,4,FALSE),""))</f>
        <v/>
      </c>
      <c r="P1051" s="18" t="str">
        <f>IF($K1051="","",IFERROR(VLOOKUP(--SUBSTITUTE(SUBSTITUTE(TRIM($K1051),"-","")," ",""),마스터시트!$A$2:$H$1946,5,FALSE),""))</f>
        <v/>
      </c>
      <c r="Q1051" s="18" t="str">
        <f>IF($K1051="","",IFERROR(VLOOKUP(--SUBSTITUTE(SUBSTITUTE(TRIM($K1051),"-","")," ",""),마스터시트!$A$2:$H$1946,6,FALSE),""))</f>
        <v/>
      </c>
      <c r="R1051" s="18" t="str">
        <f>IF($K1051="","",IFERROR(VLOOKUP(--SUBSTITUTE(SUBSTITUTE(TRIM($K1051),"-","")," ",""),마스터시트!$A$2:$H$1946,7,FALSE),""))</f>
        <v/>
      </c>
    </row>
    <row r="1052" spans="13:18" x14ac:dyDescent="0.3">
      <c r="M1052" s="18" t="str">
        <f>IF($K1052="","",IFERROR(VLOOKUP(--SUBSTITUTE(SUBSTITUTE(TRIM($K1052),"-","")," ",""),마스터시트!$A$2:$H$1946,2,FALSE),"미등록"))</f>
        <v/>
      </c>
      <c r="N1052" s="53" t="str">
        <f>IF($K1052="","",IFERROR(VLOOKUP(--SUBSTITUTE(SUBSTITUTE(TRIM($K1052),"-","")," ",""),마스터시트!$A$2:$H$1946,3,FALSE),"미등록"))</f>
        <v/>
      </c>
      <c r="O1052" s="18" t="str">
        <f>IF($K1052="","",IFERROR(VLOOKUP(--SUBSTITUTE(SUBSTITUTE(TRIM($K1052),"-","")," ",""),마스터시트!$A$2:$H$1946,4,FALSE),""))</f>
        <v/>
      </c>
      <c r="P1052" s="18" t="str">
        <f>IF($K1052="","",IFERROR(VLOOKUP(--SUBSTITUTE(SUBSTITUTE(TRIM($K1052),"-","")," ",""),마스터시트!$A$2:$H$1946,5,FALSE),""))</f>
        <v/>
      </c>
      <c r="Q1052" s="18" t="str">
        <f>IF($K1052="","",IFERROR(VLOOKUP(--SUBSTITUTE(SUBSTITUTE(TRIM($K1052),"-","")," ",""),마스터시트!$A$2:$H$1946,6,FALSE),""))</f>
        <v/>
      </c>
      <c r="R1052" s="18" t="str">
        <f>IF($K1052="","",IFERROR(VLOOKUP(--SUBSTITUTE(SUBSTITUTE(TRIM($K1052),"-","")," ",""),마스터시트!$A$2:$H$1946,7,FALSE),""))</f>
        <v/>
      </c>
    </row>
    <row r="1053" spans="13:18" x14ac:dyDescent="0.3">
      <c r="M1053" s="18" t="str">
        <f>IF($K1053="","",IFERROR(VLOOKUP(--SUBSTITUTE(SUBSTITUTE(TRIM($K1053),"-","")," ",""),마스터시트!$A$2:$H$1946,2,FALSE),"미등록"))</f>
        <v/>
      </c>
      <c r="N1053" s="53" t="str">
        <f>IF($K1053="","",IFERROR(VLOOKUP(--SUBSTITUTE(SUBSTITUTE(TRIM($K1053),"-","")," ",""),마스터시트!$A$2:$H$1946,3,FALSE),"미등록"))</f>
        <v/>
      </c>
      <c r="O1053" s="18" t="str">
        <f>IF($K1053="","",IFERROR(VLOOKUP(--SUBSTITUTE(SUBSTITUTE(TRIM($K1053),"-","")," ",""),마스터시트!$A$2:$H$1946,4,FALSE),""))</f>
        <v/>
      </c>
      <c r="P1053" s="18" t="str">
        <f>IF($K1053="","",IFERROR(VLOOKUP(--SUBSTITUTE(SUBSTITUTE(TRIM($K1053),"-","")," ",""),마스터시트!$A$2:$H$1946,5,FALSE),""))</f>
        <v/>
      </c>
      <c r="Q1053" s="18" t="str">
        <f>IF($K1053="","",IFERROR(VLOOKUP(--SUBSTITUTE(SUBSTITUTE(TRIM($K1053),"-","")," ",""),마스터시트!$A$2:$H$1946,6,FALSE),""))</f>
        <v/>
      </c>
      <c r="R1053" s="18" t="str">
        <f>IF($K1053="","",IFERROR(VLOOKUP(--SUBSTITUTE(SUBSTITUTE(TRIM($K1053),"-","")," ",""),마스터시트!$A$2:$H$1946,7,FALSE),""))</f>
        <v/>
      </c>
    </row>
    <row r="1054" spans="13:18" x14ac:dyDescent="0.3">
      <c r="M1054" s="18" t="str">
        <f>IF($K1054="","",IFERROR(VLOOKUP(--SUBSTITUTE(SUBSTITUTE(TRIM($K1054),"-","")," ",""),마스터시트!$A$2:$H$1946,2,FALSE),"미등록"))</f>
        <v/>
      </c>
      <c r="N1054" s="53" t="str">
        <f>IF($K1054="","",IFERROR(VLOOKUP(--SUBSTITUTE(SUBSTITUTE(TRIM($K1054),"-","")," ",""),마스터시트!$A$2:$H$1946,3,FALSE),"미등록"))</f>
        <v/>
      </c>
      <c r="O1054" s="18" t="str">
        <f>IF($K1054="","",IFERROR(VLOOKUP(--SUBSTITUTE(SUBSTITUTE(TRIM($K1054),"-","")," ",""),마스터시트!$A$2:$H$1946,4,FALSE),""))</f>
        <v/>
      </c>
      <c r="P1054" s="18" t="str">
        <f>IF($K1054="","",IFERROR(VLOOKUP(--SUBSTITUTE(SUBSTITUTE(TRIM($K1054),"-","")," ",""),마스터시트!$A$2:$H$1946,5,FALSE),""))</f>
        <v/>
      </c>
      <c r="Q1054" s="18" t="str">
        <f>IF($K1054="","",IFERROR(VLOOKUP(--SUBSTITUTE(SUBSTITUTE(TRIM($K1054),"-","")," ",""),마스터시트!$A$2:$H$1946,6,FALSE),""))</f>
        <v/>
      </c>
      <c r="R1054" s="18" t="str">
        <f>IF($K1054="","",IFERROR(VLOOKUP(--SUBSTITUTE(SUBSTITUTE(TRIM($K1054),"-","")," ",""),마스터시트!$A$2:$H$1946,7,FALSE),""))</f>
        <v/>
      </c>
    </row>
    <row r="1055" spans="13:18" x14ac:dyDescent="0.3">
      <c r="M1055" s="18" t="str">
        <f>IF($K1055="","",IFERROR(VLOOKUP(--SUBSTITUTE(SUBSTITUTE(TRIM($K1055),"-","")," ",""),마스터시트!$A$2:$H$1946,2,FALSE),"미등록"))</f>
        <v/>
      </c>
      <c r="N1055" s="53" t="str">
        <f>IF($K1055="","",IFERROR(VLOOKUP(--SUBSTITUTE(SUBSTITUTE(TRIM($K1055),"-","")," ",""),마스터시트!$A$2:$H$1946,3,FALSE),"미등록"))</f>
        <v/>
      </c>
      <c r="O1055" s="18" t="str">
        <f>IF($K1055="","",IFERROR(VLOOKUP(--SUBSTITUTE(SUBSTITUTE(TRIM($K1055),"-","")," ",""),마스터시트!$A$2:$H$1946,4,FALSE),""))</f>
        <v/>
      </c>
      <c r="P1055" s="18" t="str">
        <f>IF($K1055="","",IFERROR(VLOOKUP(--SUBSTITUTE(SUBSTITUTE(TRIM($K1055),"-","")," ",""),마스터시트!$A$2:$H$1946,5,FALSE),""))</f>
        <v/>
      </c>
      <c r="Q1055" s="18" t="str">
        <f>IF($K1055="","",IFERROR(VLOOKUP(--SUBSTITUTE(SUBSTITUTE(TRIM($K1055),"-","")," ",""),마스터시트!$A$2:$H$1946,6,FALSE),""))</f>
        <v/>
      </c>
      <c r="R1055" s="18" t="str">
        <f>IF($K1055="","",IFERROR(VLOOKUP(--SUBSTITUTE(SUBSTITUTE(TRIM($K1055),"-","")," ",""),마스터시트!$A$2:$H$1946,7,FALSE),""))</f>
        <v/>
      </c>
    </row>
    <row r="1056" spans="13:18" x14ac:dyDescent="0.3">
      <c r="M1056" s="18" t="str">
        <f>IF($K1056="","",IFERROR(VLOOKUP(--SUBSTITUTE(SUBSTITUTE(TRIM($K1056),"-","")," ",""),마스터시트!$A$2:$H$1946,2,FALSE),"미등록"))</f>
        <v/>
      </c>
      <c r="N1056" s="53" t="str">
        <f>IF($K1056="","",IFERROR(VLOOKUP(--SUBSTITUTE(SUBSTITUTE(TRIM($K1056),"-","")," ",""),마스터시트!$A$2:$H$1946,3,FALSE),"미등록"))</f>
        <v/>
      </c>
      <c r="O1056" s="18" t="str">
        <f>IF($K1056="","",IFERROR(VLOOKUP(--SUBSTITUTE(SUBSTITUTE(TRIM($K1056),"-","")," ",""),마스터시트!$A$2:$H$1946,4,FALSE),""))</f>
        <v/>
      </c>
      <c r="P1056" s="18" t="str">
        <f>IF($K1056="","",IFERROR(VLOOKUP(--SUBSTITUTE(SUBSTITUTE(TRIM($K1056),"-","")," ",""),마스터시트!$A$2:$H$1946,5,FALSE),""))</f>
        <v/>
      </c>
      <c r="Q1056" s="18" t="str">
        <f>IF($K1056="","",IFERROR(VLOOKUP(--SUBSTITUTE(SUBSTITUTE(TRIM($K1056),"-","")," ",""),마스터시트!$A$2:$H$1946,6,FALSE),""))</f>
        <v/>
      </c>
      <c r="R1056" s="18" t="str">
        <f>IF($K1056="","",IFERROR(VLOOKUP(--SUBSTITUTE(SUBSTITUTE(TRIM($K1056),"-","")," ",""),마스터시트!$A$2:$H$1946,7,FALSE),""))</f>
        <v/>
      </c>
    </row>
    <row r="1057" spans="13:18" x14ac:dyDescent="0.3">
      <c r="M1057" s="18" t="str">
        <f>IF($K1057="","",IFERROR(VLOOKUP(--SUBSTITUTE(SUBSTITUTE(TRIM($K1057),"-","")," ",""),마스터시트!$A$2:$H$1946,2,FALSE),"미등록"))</f>
        <v/>
      </c>
      <c r="N1057" s="53" t="str">
        <f>IF($K1057="","",IFERROR(VLOOKUP(--SUBSTITUTE(SUBSTITUTE(TRIM($K1057),"-","")," ",""),마스터시트!$A$2:$H$1946,3,FALSE),"미등록"))</f>
        <v/>
      </c>
      <c r="O1057" s="18" t="str">
        <f>IF($K1057="","",IFERROR(VLOOKUP(--SUBSTITUTE(SUBSTITUTE(TRIM($K1057),"-","")," ",""),마스터시트!$A$2:$H$1946,4,FALSE),""))</f>
        <v/>
      </c>
      <c r="P1057" s="18" t="str">
        <f>IF($K1057="","",IFERROR(VLOOKUP(--SUBSTITUTE(SUBSTITUTE(TRIM($K1057),"-","")," ",""),마스터시트!$A$2:$H$1946,5,FALSE),""))</f>
        <v/>
      </c>
      <c r="Q1057" s="18" t="str">
        <f>IF($K1057="","",IFERROR(VLOOKUP(--SUBSTITUTE(SUBSTITUTE(TRIM($K1057),"-","")," ",""),마스터시트!$A$2:$H$1946,6,FALSE),""))</f>
        <v/>
      </c>
      <c r="R1057" s="18" t="str">
        <f>IF($K1057="","",IFERROR(VLOOKUP(--SUBSTITUTE(SUBSTITUTE(TRIM($K1057),"-","")," ",""),마스터시트!$A$2:$H$1946,7,FALSE),""))</f>
        <v/>
      </c>
    </row>
    <row r="1058" spans="13:18" x14ac:dyDescent="0.3">
      <c r="M1058" s="18" t="str">
        <f>IF($K1058="","",IFERROR(VLOOKUP(--SUBSTITUTE(SUBSTITUTE(TRIM($K1058),"-","")," ",""),마스터시트!$A$2:$H$1946,2,FALSE),"미등록"))</f>
        <v/>
      </c>
      <c r="N1058" s="53" t="str">
        <f>IF($K1058="","",IFERROR(VLOOKUP(--SUBSTITUTE(SUBSTITUTE(TRIM($K1058),"-","")," ",""),마스터시트!$A$2:$H$1946,3,FALSE),"미등록"))</f>
        <v/>
      </c>
      <c r="O1058" s="18" t="str">
        <f>IF($K1058="","",IFERROR(VLOOKUP(--SUBSTITUTE(SUBSTITUTE(TRIM($K1058),"-","")," ",""),마스터시트!$A$2:$H$1946,4,FALSE),""))</f>
        <v/>
      </c>
      <c r="P1058" s="18" t="str">
        <f>IF($K1058="","",IFERROR(VLOOKUP(--SUBSTITUTE(SUBSTITUTE(TRIM($K1058),"-","")," ",""),마스터시트!$A$2:$H$1946,5,FALSE),""))</f>
        <v/>
      </c>
      <c r="Q1058" s="18" t="str">
        <f>IF($K1058="","",IFERROR(VLOOKUP(--SUBSTITUTE(SUBSTITUTE(TRIM($K1058),"-","")," ",""),마스터시트!$A$2:$H$1946,6,FALSE),""))</f>
        <v/>
      </c>
      <c r="R1058" s="18" t="str">
        <f>IF($K1058="","",IFERROR(VLOOKUP(--SUBSTITUTE(SUBSTITUTE(TRIM($K1058),"-","")," ",""),마스터시트!$A$2:$H$1946,7,FALSE),""))</f>
        <v/>
      </c>
    </row>
    <row r="1059" spans="13:18" x14ac:dyDescent="0.3">
      <c r="M1059" s="18" t="str">
        <f>IF($K1059="","",IFERROR(VLOOKUP(--SUBSTITUTE(SUBSTITUTE(TRIM($K1059),"-","")," ",""),마스터시트!$A$2:$H$1946,2,FALSE),"미등록"))</f>
        <v/>
      </c>
      <c r="N1059" s="53" t="str">
        <f>IF($K1059="","",IFERROR(VLOOKUP(--SUBSTITUTE(SUBSTITUTE(TRIM($K1059),"-","")," ",""),마스터시트!$A$2:$H$1946,3,FALSE),"미등록"))</f>
        <v/>
      </c>
      <c r="O1059" s="18" t="str">
        <f>IF($K1059="","",IFERROR(VLOOKUP(--SUBSTITUTE(SUBSTITUTE(TRIM($K1059),"-","")," ",""),마스터시트!$A$2:$H$1946,4,FALSE),""))</f>
        <v/>
      </c>
      <c r="P1059" s="18" t="str">
        <f>IF($K1059="","",IFERROR(VLOOKUP(--SUBSTITUTE(SUBSTITUTE(TRIM($K1059),"-","")," ",""),마스터시트!$A$2:$H$1946,5,FALSE),""))</f>
        <v/>
      </c>
      <c r="Q1059" s="18" t="str">
        <f>IF($K1059="","",IFERROR(VLOOKUP(--SUBSTITUTE(SUBSTITUTE(TRIM($K1059),"-","")," ",""),마스터시트!$A$2:$H$1946,6,FALSE),""))</f>
        <v/>
      </c>
      <c r="R1059" s="18" t="str">
        <f>IF($K1059="","",IFERROR(VLOOKUP(--SUBSTITUTE(SUBSTITUTE(TRIM($K1059),"-","")," ",""),마스터시트!$A$2:$H$1946,7,FALSE),""))</f>
        <v/>
      </c>
    </row>
    <row r="1060" spans="13:18" x14ac:dyDescent="0.3">
      <c r="M1060" s="18" t="str">
        <f>IF($K1060="","",IFERROR(VLOOKUP(--SUBSTITUTE(SUBSTITUTE(TRIM($K1060),"-","")," ",""),마스터시트!$A$2:$H$1946,2,FALSE),"미등록"))</f>
        <v/>
      </c>
      <c r="N1060" s="53" t="str">
        <f>IF($K1060="","",IFERROR(VLOOKUP(--SUBSTITUTE(SUBSTITUTE(TRIM($K1060),"-","")," ",""),마스터시트!$A$2:$H$1946,3,FALSE),"미등록"))</f>
        <v/>
      </c>
      <c r="O1060" s="18" t="str">
        <f>IF($K1060="","",IFERROR(VLOOKUP(--SUBSTITUTE(SUBSTITUTE(TRIM($K1060),"-","")," ",""),마스터시트!$A$2:$H$1946,4,FALSE),""))</f>
        <v/>
      </c>
      <c r="P1060" s="18" t="str">
        <f>IF($K1060="","",IFERROR(VLOOKUP(--SUBSTITUTE(SUBSTITUTE(TRIM($K1060),"-","")," ",""),마스터시트!$A$2:$H$1946,5,FALSE),""))</f>
        <v/>
      </c>
      <c r="Q1060" s="18" t="str">
        <f>IF($K1060="","",IFERROR(VLOOKUP(--SUBSTITUTE(SUBSTITUTE(TRIM($K1060),"-","")," ",""),마스터시트!$A$2:$H$1946,6,FALSE),""))</f>
        <v/>
      </c>
      <c r="R1060" s="18" t="str">
        <f>IF($K1060="","",IFERROR(VLOOKUP(--SUBSTITUTE(SUBSTITUTE(TRIM($K1060),"-","")," ",""),마스터시트!$A$2:$H$1946,7,FALSE),""))</f>
        <v/>
      </c>
    </row>
    <row r="1061" spans="13:18" x14ac:dyDescent="0.3">
      <c r="M1061" s="18" t="str">
        <f>IF($K1061="","",IFERROR(VLOOKUP(--SUBSTITUTE(SUBSTITUTE(TRIM($K1061),"-","")," ",""),마스터시트!$A$2:$H$1946,2,FALSE),"미등록"))</f>
        <v/>
      </c>
      <c r="N1061" s="53" t="str">
        <f>IF($K1061="","",IFERROR(VLOOKUP(--SUBSTITUTE(SUBSTITUTE(TRIM($K1061),"-","")," ",""),마스터시트!$A$2:$H$1946,3,FALSE),"미등록"))</f>
        <v/>
      </c>
      <c r="O1061" s="18" t="str">
        <f>IF($K1061="","",IFERROR(VLOOKUP(--SUBSTITUTE(SUBSTITUTE(TRIM($K1061),"-","")," ",""),마스터시트!$A$2:$H$1946,4,FALSE),""))</f>
        <v/>
      </c>
      <c r="P1061" s="18" t="str">
        <f>IF($K1061="","",IFERROR(VLOOKUP(--SUBSTITUTE(SUBSTITUTE(TRIM($K1061),"-","")," ",""),마스터시트!$A$2:$H$1946,5,FALSE),""))</f>
        <v/>
      </c>
      <c r="Q1061" s="18" t="str">
        <f>IF($K1061="","",IFERROR(VLOOKUP(--SUBSTITUTE(SUBSTITUTE(TRIM($K1061),"-","")," ",""),마스터시트!$A$2:$H$1946,6,FALSE),""))</f>
        <v/>
      </c>
      <c r="R1061" s="18" t="str">
        <f>IF($K1061="","",IFERROR(VLOOKUP(--SUBSTITUTE(SUBSTITUTE(TRIM($K1061),"-","")," ",""),마스터시트!$A$2:$H$1946,7,FALSE),""))</f>
        <v/>
      </c>
    </row>
    <row r="1062" spans="13:18" x14ac:dyDescent="0.3">
      <c r="M1062" s="18" t="str">
        <f>IF($K1062="","",IFERROR(VLOOKUP(--SUBSTITUTE(SUBSTITUTE(TRIM($K1062),"-","")," ",""),마스터시트!$A$2:$H$1946,2,FALSE),"미등록"))</f>
        <v/>
      </c>
      <c r="N1062" s="53" t="str">
        <f>IF($K1062="","",IFERROR(VLOOKUP(--SUBSTITUTE(SUBSTITUTE(TRIM($K1062),"-","")," ",""),마스터시트!$A$2:$H$1946,3,FALSE),"미등록"))</f>
        <v/>
      </c>
      <c r="O1062" s="18" t="str">
        <f>IF($K1062="","",IFERROR(VLOOKUP(--SUBSTITUTE(SUBSTITUTE(TRIM($K1062),"-","")," ",""),마스터시트!$A$2:$H$1946,4,FALSE),""))</f>
        <v/>
      </c>
      <c r="P1062" s="18" t="str">
        <f>IF($K1062="","",IFERROR(VLOOKUP(--SUBSTITUTE(SUBSTITUTE(TRIM($K1062),"-","")," ",""),마스터시트!$A$2:$H$1946,5,FALSE),""))</f>
        <v/>
      </c>
      <c r="Q1062" s="18" t="str">
        <f>IF($K1062="","",IFERROR(VLOOKUP(--SUBSTITUTE(SUBSTITUTE(TRIM($K1062),"-","")," ",""),마스터시트!$A$2:$H$1946,6,FALSE),""))</f>
        <v/>
      </c>
      <c r="R1062" s="18" t="str">
        <f>IF($K1062="","",IFERROR(VLOOKUP(--SUBSTITUTE(SUBSTITUTE(TRIM($K1062),"-","")," ",""),마스터시트!$A$2:$H$1946,7,FALSE),""))</f>
        <v/>
      </c>
    </row>
    <row r="1063" spans="13:18" x14ac:dyDescent="0.3">
      <c r="M1063" s="18" t="str">
        <f>IF($K1063="","",IFERROR(VLOOKUP(--SUBSTITUTE(SUBSTITUTE(TRIM($K1063),"-","")," ",""),마스터시트!$A$2:$H$1946,2,FALSE),"미등록"))</f>
        <v/>
      </c>
      <c r="N1063" s="53" t="str">
        <f>IF($K1063="","",IFERROR(VLOOKUP(--SUBSTITUTE(SUBSTITUTE(TRIM($K1063),"-","")," ",""),마스터시트!$A$2:$H$1946,3,FALSE),"미등록"))</f>
        <v/>
      </c>
      <c r="O1063" s="18" t="str">
        <f>IF($K1063="","",IFERROR(VLOOKUP(--SUBSTITUTE(SUBSTITUTE(TRIM($K1063),"-","")," ",""),마스터시트!$A$2:$H$1946,4,FALSE),""))</f>
        <v/>
      </c>
      <c r="P1063" s="18" t="str">
        <f>IF($K1063="","",IFERROR(VLOOKUP(--SUBSTITUTE(SUBSTITUTE(TRIM($K1063),"-","")," ",""),마스터시트!$A$2:$H$1946,5,FALSE),""))</f>
        <v/>
      </c>
      <c r="Q1063" s="18" t="str">
        <f>IF($K1063="","",IFERROR(VLOOKUP(--SUBSTITUTE(SUBSTITUTE(TRIM($K1063),"-","")," ",""),마스터시트!$A$2:$H$1946,6,FALSE),""))</f>
        <v/>
      </c>
      <c r="R1063" s="18" t="str">
        <f>IF($K1063="","",IFERROR(VLOOKUP(--SUBSTITUTE(SUBSTITUTE(TRIM($K1063),"-","")," ",""),마스터시트!$A$2:$H$1946,7,FALSE),""))</f>
        <v/>
      </c>
    </row>
    <row r="1064" spans="13:18" x14ac:dyDescent="0.3">
      <c r="M1064" s="18" t="str">
        <f>IF($K1064="","",IFERROR(VLOOKUP(--SUBSTITUTE(SUBSTITUTE(TRIM($K1064),"-","")," ",""),마스터시트!$A$2:$H$1946,2,FALSE),"미등록"))</f>
        <v/>
      </c>
      <c r="N1064" s="53" t="str">
        <f>IF($K1064="","",IFERROR(VLOOKUP(--SUBSTITUTE(SUBSTITUTE(TRIM($K1064),"-","")," ",""),마스터시트!$A$2:$H$1946,3,FALSE),"미등록"))</f>
        <v/>
      </c>
      <c r="O1064" s="18" t="str">
        <f>IF($K1064="","",IFERROR(VLOOKUP(--SUBSTITUTE(SUBSTITUTE(TRIM($K1064),"-","")," ",""),마스터시트!$A$2:$H$1946,4,FALSE),""))</f>
        <v/>
      </c>
      <c r="P1064" s="18" t="str">
        <f>IF($K1064="","",IFERROR(VLOOKUP(--SUBSTITUTE(SUBSTITUTE(TRIM($K1064),"-","")," ",""),마스터시트!$A$2:$H$1946,5,FALSE),""))</f>
        <v/>
      </c>
      <c r="Q1064" s="18" t="str">
        <f>IF($K1064="","",IFERROR(VLOOKUP(--SUBSTITUTE(SUBSTITUTE(TRIM($K1064),"-","")," ",""),마스터시트!$A$2:$H$1946,6,FALSE),""))</f>
        <v/>
      </c>
      <c r="R1064" s="18" t="str">
        <f>IF($K1064="","",IFERROR(VLOOKUP(--SUBSTITUTE(SUBSTITUTE(TRIM($K1064),"-","")," ",""),마스터시트!$A$2:$H$1946,7,FALSE),""))</f>
        <v/>
      </c>
    </row>
    <row r="1065" spans="13:18" x14ac:dyDescent="0.3">
      <c r="M1065" s="18" t="str">
        <f>IF($K1065="","",IFERROR(VLOOKUP(--SUBSTITUTE(SUBSTITUTE(TRIM($K1065),"-","")," ",""),마스터시트!$A$2:$H$1946,2,FALSE),"미등록"))</f>
        <v/>
      </c>
      <c r="N1065" s="53" t="str">
        <f>IF($K1065="","",IFERROR(VLOOKUP(--SUBSTITUTE(SUBSTITUTE(TRIM($K1065),"-","")," ",""),마스터시트!$A$2:$H$1946,3,FALSE),"미등록"))</f>
        <v/>
      </c>
      <c r="O1065" s="18" t="str">
        <f>IF($K1065="","",IFERROR(VLOOKUP(--SUBSTITUTE(SUBSTITUTE(TRIM($K1065),"-","")," ",""),마스터시트!$A$2:$H$1946,4,FALSE),""))</f>
        <v/>
      </c>
      <c r="P1065" s="18" t="str">
        <f>IF($K1065="","",IFERROR(VLOOKUP(--SUBSTITUTE(SUBSTITUTE(TRIM($K1065),"-","")," ",""),마스터시트!$A$2:$H$1946,5,FALSE),""))</f>
        <v/>
      </c>
      <c r="Q1065" s="18" t="str">
        <f>IF($K1065="","",IFERROR(VLOOKUP(--SUBSTITUTE(SUBSTITUTE(TRIM($K1065),"-","")," ",""),마스터시트!$A$2:$H$1946,6,FALSE),""))</f>
        <v/>
      </c>
      <c r="R1065" s="18" t="str">
        <f>IF($K1065="","",IFERROR(VLOOKUP(--SUBSTITUTE(SUBSTITUTE(TRIM($K1065),"-","")," ",""),마스터시트!$A$2:$H$1946,7,FALSE),""))</f>
        <v/>
      </c>
    </row>
    <row r="1066" spans="13:18" x14ac:dyDescent="0.3">
      <c r="M1066" s="18" t="str">
        <f>IF($K1066="","",IFERROR(VLOOKUP(--SUBSTITUTE(SUBSTITUTE(TRIM($K1066),"-","")," ",""),마스터시트!$A$2:$H$1946,2,FALSE),"미등록"))</f>
        <v/>
      </c>
      <c r="N1066" s="53" t="str">
        <f>IF($K1066="","",IFERROR(VLOOKUP(--SUBSTITUTE(SUBSTITUTE(TRIM($K1066),"-","")," ",""),마스터시트!$A$2:$H$1946,3,FALSE),"미등록"))</f>
        <v/>
      </c>
      <c r="O1066" s="18" t="str">
        <f>IF($K1066="","",IFERROR(VLOOKUP(--SUBSTITUTE(SUBSTITUTE(TRIM($K1066),"-","")," ",""),마스터시트!$A$2:$H$1946,4,FALSE),""))</f>
        <v/>
      </c>
      <c r="P1066" s="18" t="str">
        <f>IF($K1066="","",IFERROR(VLOOKUP(--SUBSTITUTE(SUBSTITUTE(TRIM($K1066),"-","")," ",""),마스터시트!$A$2:$H$1946,5,FALSE),""))</f>
        <v/>
      </c>
      <c r="Q1066" s="18" t="str">
        <f>IF($K1066="","",IFERROR(VLOOKUP(--SUBSTITUTE(SUBSTITUTE(TRIM($K1066),"-","")," ",""),마스터시트!$A$2:$H$1946,6,FALSE),""))</f>
        <v/>
      </c>
      <c r="R1066" s="18" t="str">
        <f>IF($K1066="","",IFERROR(VLOOKUP(--SUBSTITUTE(SUBSTITUTE(TRIM($K1066),"-","")," ",""),마스터시트!$A$2:$H$1946,7,FALSE),""))</f>
        <v/>
      </c>
    </row>
    <row r="1067" spans="13:18" x14ac:dyDescent="0.3">
      <c r="M1067" s="18" t="str">
        <f>IF($K1067="","",IFERROR(VLOOKUP(--SUBSTITUTE(SUBSTITUTE(TRIM($K1067),"-","")," ",""),마스터시트!$A$2:$H$1946,2,FALSE),"미등록"))</f>
        <v/>
      </c>
      <c r="N1067" s="53" t="str">
        <f>IF($K1067="","",IFERROR(VLOOKUP(--SUBSTITUTE(SUBSTITUTE(TRIM($K1067),"-","")," ",""),마스터시트!$A$2:$H$1946,3,FALSE),"미등록"))</f>
        <v/>
      </c>
      <c r="O1067" s="18" t="str">
        <f>IF($K1067="","",IFERROR(VLOOKUP(--SUBSTITUTE(SUBSTITUTE(TRIM($K1067),"-","")," ",""),마스터시트!$A$2:$H$1946,4,FALSE),""))</f>
        <v/>
      </c>
      <c r="P1067" s="18" t="str">
        <f>IF($K1067="","",IFERROR(VLOOKUP(--SUBSTITUTE(SUBSTITUTE(TRIM($K1067),"-","")," ",""),마스터시트!$A$2:$H$1946,5,FALSE),""))</f>
        <v/>
      </c>
      <c r="Q1067" s="18" t="str">
        <f>IF($K1067="","",IFERROR(VLOOKUP(--SUBSTITUTE(SUBSTITUTE(TRIM($K1067),"-","")," ",""),마스터시트!$A$2:$H$1946,6,FALSE),""))</f>
        <v/>
      </c>
      <c r="R1067" s="18" t="str">
        <f>IF($K1067="","",IFERROR(VLOOKUP(--SUBSTITUTE(SUBSTITUTE(TRIM($K1067),"-","")," ",""),마스터시트!$A$2:$H$1946,7,FALSE),""))</f>
        <v/>
      </c>
    </row>
    <row r="1068" spans="13:18" x14ac:dyDescent="0.3">
      <c r="M1068" s="18" t="str">
        <f>IF($K1068="","",IFERROR(VLOOKUP(--SUBSTITUTE(SUBSTITUTE(TRIM($K1068),"-","")," ",""),마스터시트!$A$2:$H$1946,2,FALSE),"미등록"))</f>
        <v/>
      </c>
      <c r="N1068" s="53" t="str">
        <f>IF($K1068="","",IFERROR(VLOOKUP(--SUBSTITUTE(SUBSTITUTE(TRIM($K1068),"-","")," ",""),마스터시트!$A$2:$H$1946,3,FALSE),"미등록"))</f>
        <v/>
      </c>
      <c r="O1068" s="18" t="str">
        <f>IF($K1068="","",IFERROR(VLOOKUP(--SUBSTITUTE(SUBSTITUTE(TRIM($K1068),"-","")," ",""),마스터시트!$A$2:$H$1946,4,FALSE),""))</f>
        <v/>
      </c>
      <c r="P1068" s="18" t="str">
        <f>IF($K1068="","",IFERROR(VLOOKUP(--SUBSTITUTE(SUBSTITUTE(TRIM($K1068),"-","")," ",""),마스터시트!$A$2:$H$1946,5,FALSE),""))</f>
        <v/>
      </c>
      <c r="Q1068" s="18" t="str">
        <f>IF($K1068="","",IFERROR(VLOOKUP(--SUBSTITUTE(SUBSTITUTE(TRIM($K1068),"-","")," ",""),마스터시트!$A$2:$H$1946,6,FALSE),""))</f>
        <v/>
      </c>
      <c r="R1068" s="18" t="str">
        <f>IF($K1068="","",IFERROR(VLOOKUP(--SUBSTITUTE(SUBSTITUTE(TRIM($K1068),"-","")," ",""),마스터시트!$A$2:$H$1946,7,FALSE),""))</f>
        <v/>
      </c>
    </row>
    <row r="1069" spans="13:18" x14ac:dyDescent="0.3">
      <c r="M1069" s="18" t="str">
        <f>IF($K1069="","",IFERROR(VLOOKUP(--SUBSTITUTE(SUBSTITUTE(TRIM($K1069),"-","")," ",""),마스터시트!$A$2:$H$1946,2,FALSE),"미등록"))</f>
        <v/>
      </c>
      <c r="N1069" s="53" t="str">
        <f>IF($K1069="","",IFERROR(VLOOKUP(--SUBSTITUTE(SUBSTITUTE(TRIM($K1069),"-","")," ",""),마스터시트!$A$2:$H$1946,3,FALSE),"미등록"))</f>
        <v/>
      </c>
      <c r="O1069" s="18" t="str">
        <f>IF($K1069="","",IFERROR(VLOOKUP(--SUBSTITUTE(SUBSTITUTE(TRIM($K1069),"-","")," ",""),마스터시트!$A$2:$H$1946,4,FALSE),""))</f>
        <v/>
      </c>
      <c r="P1069" s="18" t="str">
        <f>IF($K1069="","",IFERROR(VLOOKUP(--SUBSTITUTE(SUBSTITUTE(TRIM($K1069),"-","")," ",""),마스터시트!$A$2:$H$1946,5,FALSE),""))</f>
        <v/>
      </c>
      <c r="Q1069" s="18" t="str">
        <f>IF($K1069="","",IFERROR(VLOOKUP(--SUBSTITUTE(SUBSTITUTE(TRIM($K1069),"-","")," ",""),마스터시트!$A$2:$H$1946,6,FALSE),""))</f>
        <v/>
      </c>
      <c r="R1069" s="18" t="str">
        <f>IF($K1069="","",IFERROR(VLOOKUP(--SUBSTITUTE(SUBSTITUTE(TRIM($K1069),"-","")," ",""),마스터시트!$A$2:$H$1946,7,FALSE),""))</f>
        <v/>
      </c>
    </row>
    <row r="1070" spans="13:18" x14ac:dyDescent="0.3">
      <c r="M1070" s="18" t="str">
        <f>IF($K1070="","",IFERROR(VLOOKUP(--SUBSTITUTE(SUBSTITUTE(TRIM($K1070),"-","")," ",""),마스터시트!$A$2:$H$1946,2,FALSE),"미등록"))</f>
        <v/>
      </c>
      <c r="N1070" s="53" t="str">
        <f>IF($K1070="","",IFERROR(VLOOKUP(--SUBSTITUTE(SUBSTITUTE(TRIM($K1070),"-","")," ",""),마스터시트!$A$2:$H$1946,3,FALSE),"미등록"))</f>
        <v/>
      </c>
      <c r="O1070" s="18" t="str">
        <f>IF($K1070="","",IFERROR(VLOOKUP(--SUBSTITUTE(SUBSTITUTE(TRIM($K1070),"-","")," ",""),마스터시트!$A$2:$H$1946,4,FALSE),""))</f>
        <v/>
      </c>
      <c r="P1070" s="18" t="str">
        <f>IF($K1070="","",IFERROR(VLOOKUP(--SUBSTITUTE(SUBSTITUTE(TRIM($K1070),"-","")," ",""),마스터시트!$A$2:$H$1946,5,FALSE),""))</f>
        <v/>
      </c>
      <c r="Q1070" s="18" t="str">
        <f>IF($K1070="","",IFERROR(VLOOKUP(--SUBSTITUTE(SUBSTITUTE(TRIM($K1070),"-","")," ",""),마스터시트!$A$2:$H$1946,6,FALSE),""))</f>
        <v/>
      </c>
      <c r="R1070" s="18" t="str">
        <f>IF($K1070="","",IFERROR(VLOOKUP(--SUBSTITUTE(SUBSTITUTE(TRIM($K1070),"-","")," ",""),마스터시트!$A$2:$H$1946,7,FALSE),""))</f>
        <v/>
      </c>
    </row>
    <row r="1071" spans="13:18" x14ac:dyDescent="0.3">
      <c r="M1071" s="18" t="str">
        <f>IF($K1071="","",IFERROR(VLOOKUP(--SUBSTITUTE(SUBSTITUTE(TRIM($K1071),"-","")," ",""),마스터시트!$A$2:$H$1946,2,FALSE),"미등록"))</f>
        <v/>
      </c>
      <c r="N1071" s="53" t="str">
        <f>IF($K1071="","",IFERROR(VLOOKUP(--SUBSTITUTE(SUBSTITUTE(TRIM($K1071),"-","")," ",""),마스터시트!$A$2:$H$1946,3,FALSE),"미등록"))</f>
        <v/>
      </c>
      <c r="O1071" s="18" t="str">
        <f>IF($K1071="","",IFERROR(VLOOKUP(--SUBSTITUTE(SUBSTITUTE(TRIM($K1071),"-","")," ",""),마스터시트!$A$2:$H$1946,4,FALSE),""))</f>
        <v/>
      </c>
      <c r="P1071" s="18" t="str">
        <f>IF($K1071="","",IFERROR(VLOOKUP(--SUBSTITUTE(SUBSTITUTE(TRIM($K1071),"-","")," ",""),마스터시트!$A$2:$H$1946,5,FALSE),""))</f>
        <v/>
      </c>
      <c r="Q1071" s="18" t="str">
        <f>IF($K1071="","",IFERROR(VLOOKUP(--SUBSTITUTE(SUBSTITUTE(TRIM($K1071),"-","")," ",""),마스터시트!$A$2:$H$1946,6,FALSE),""))</f>
        <v/>
      </c>
      <c r="R1071" s="18" t="str">
        <f>IF($K1071="","",IFERROR(VLOOKUP(--SUBSTITUTE(SUBSTITUTE(TRIM($K1071),"-","")," ",""),마스터시트!$A$2:$H$1946,7,FALSE),""))</f>
        <v/>
      </c>
    </row>
    <row r="1072" spans="13:18" x14ac:dyDescent="0.3">
      <c r="M1072" s="18" t="str">
        <f>IF($K1072="","",IFERROR(VLOOKUP(--SUBSTITUTE(SUBSTITUTE(TRIM($K1072),"-","")," ",""),마스터시트!$A$2:$H$1946,2,FALSE),"미등록"))</f>
        <v/>
      </c>
      <c r="N1072" s="53" t="str">
        <f>IF($K1072="","",IFERROR(VLOOKUP(--SUBSTITUTE(SUBSTITUTE(TRIM($K1072),"-","")," ",""),마스터시트!$A$2:$H$1946,3,FALSE),"미등록"))</f>
        <v/>
      </c>
      <c r="O1072" s="18" t="str">
        <f>IF($K1072="","",IFERROR(VLOOKUP(--SUBSTITUTE(SUBSTITUTE(TRIM($K1072),"-","")," ",""),마스터시트!$A$2:$H$1946,4,FALSE),""))</f>
        <v/>
      </c>
      <c r="P1072" s="18" t="str">
        <f>IF($K1072="","",IFERROR(VLOOKUP(--SUBSTITUTE(SUBSTITUTE(TRIM($K1072),"-","")," ",""),마스터시트!$A$2:$H$1946,5,FALSE),""))</f>
        <v/>
      </c>
      <c r="Q1072" s="18" t="str">
        <f>IF($K1072="","",IFERROR(VLOOKUP(--SUBSTITUTE(SUBSTITUTE(TRIM($K1072),"-","")," ",""),마스터시트!$A$2:$H$1946,6,FALSE),""))</f>
        <v/>
      </c>
      <c r="R1072" s="18" t="str">
        <f>IF($K1072="","",IFERROR(VLOOKUP(--SUBSTITUTE(SUBSTITUTE(TRIM($K1072),"-","")," ",""),마스터시트!$A$2:$H$1946,7,FALSE),""))</f>
        <v/>
      </c>
    </row>
    <row r="1073" spans="13:18" x14ac:dyDescent="0.3">
      <c r="M1073" s="18" t="str">
        <f>IF($K1073="","",IFERROR(VLOOKUP(--SUBSTITUTE(SUBSTITUTE(TRIM($K1073),"-","")," ",""),마스터시트!$A$2:$H$1946,2,FALSE),"미등록"))</f>
        <v/>
      </c>
      <c r="N1073" s="53" t="str">
        <f>IF($K1073="","",IFERROR(VLOOKUP(--SUBSTITUTE(SUBSTITUTE(TRIM($K1073),"-","")," ",""),마스터시트!$A$2:$H$1946,3,FALSE),"미등록"))</f>
        <v/>
      </c>
      <c r="O1073" s="18" t="str">
        <f>IF($K1073="","",IFERROR(VLOOKUP(--SUBSTITUTE(SUBSTITUTE(TRIM($K1073),"-","")," ",""),마스터시트!$A$2:$H$1946,4,FALSE),""))</f>
        <v/>
      </c>
      <c r="P1073" s="18" t="str">
        <f>IF($K1073="","",IFERROR(VLOOKUP(--SUBSTITUTE(SUBSTITUTE(TRIM($K1073),"-","")," ",""),마스터시트!$A$2:$H$1946,5,FALSE),""))</f>
        <v/>
      </c>
      <c r="Q1073" s="18" t="str">
        <f>IF($K1073="","",IFERROR(VLOOKUP(--SUBSTITUTE(SUBSTITUTE(TRIM($K1073),"-","")," ",""),마스터시트!$A$2:$H$1946,6,FALSE),""))</f>
        <v/>
      </c>
      <c r="R1073" s="18" t="str">
        <f>IF($K1073="","",IFERROR(VLOOKUP(--SUBSTITUTE(SUBSTITUTE(TRIM($K1073),"-","")," ",""),마스터시트!$A$2:$H$1946,7,FALSE),""))</f>
        <v/>
      </c>
    </row>
    <row r="1074" spans="13:18" x14ac:dyDescent="0.3">
      <c r="M1074" s="18" t="str">
        <f>IF($K1074="","",IFERROR(VLOOKUP(--SUBSTITUTE(SUBSTITUTE(TRIM($K1074),"-","")," ",""),마스터시트!$A$2:$H$1946,2,FALSE),"미등록"))</f>
        <v/>
      </c>
      <c r="N1074" s="53" t="str">
        <f>IF($K1074="","",IFERROR(VLOOKUP(--SUBSTITUTE(SUBSTITUTE(TRIM($K1074),"-","")," ",""),마스터시트!$A$2:$H$1946,3,FALSE),"미등록"))</f>
        <v/>
      </c>
      <c r="O1074" s="18" t="str">
        <f>IF($K1074="","",IFERROR(VLOOKUP(--SUBSTITUTE(SUBSTITUTE(TRIM($K1074),"-","")," ",""),마스터시트!$A$2:$H$1946,4,FALSE),""))</f>
        <v/>
      </c>
      <c r="P1074" s="18" t="str">
        <f>IF($K1074="","",IFERROR(VLOOKUP(--SUBSTITUTE(SUBSTITUTE(TRIM($K1074),"-","")," ",""),마스터시트!$A$2:$H$1946,5,FALSE),""))</f>
        <v/>
      </c>
      <c r="Q1074" s="18" t="str">
        <f>IF($K1074="","",IFERROR(VLOOKUP(--SUBSTITUTE(SUBSTITUTE(TRIM($K1074),"-","")," ",""),마스터시트!$A$2:$H$1946,6,FALSE),""))</f>
        <v/>
      </c>
      <c r="R1074" s="18" t="str">
        <f>IF($K1074="","",IFERROR(VLOOKUP(--SUBSTITUTE(SUBSTITUTE(TRIM($K1074),"-","")," ",""),마스터시트!$A$2:$H$1946,7,FALSE),""))</f>
        <v/>
      </c>
    </row>
    <row r="1075" spans="13:18" x14ac:dyDescent="0.3">
      <c r="M1075" s="18" t="str">
        <f>IF($K1075="","",IFERROR(VLOOKUP(--SUBSTITUTE(SUBSTITUTE(TRIM($K1075),"-","")," ",""),마스터시트!$A$2:$H$1946,2,FALSE),"미등록"))</f>
        <v/>
      </c>
      <c r="N1075" s="53" t="str">
        <f>IF($K1075="","",IFERROR(VLOOKUP(--SUBSTITUTE(SUBSTITUTE(TRIM($K1075),"-","")," ",""),마스터시트!$A$2:$H$1946,3,FALSE),"미등록"))</f>
        <v/>
      </c>
      <c r="O1075" s="18" t="str">
        <f>IF($K1075="","",IFERROR(VLOOKUP(--SUBSTITUTE(SUBSTITUTE(TRIM($K1075),"-","")," ",""),마스터시트!$A$2:$H$1946,4,FALSE),""))</f>
        <v/>
      </c>
      <c r="P1075" s="18" t="str">
        <f>IF($K1075="","",IFERROR(VLOOKUP(--SUBSTITUTE(SUBSTITUTE(TRIM($K1075),"-","")," ",""),마스터시트!$A$2:$H$1946,5,FALSE),""))</f>
        <v/>
      </c>
      <c r="Q1075" s="18" t="str">
        <f>IF($K1075="","",IFERROR(VLOOKUP(--SUBSTITUTE(SUBSTITUTE(TRIM($K1075),"-","")," ",""),마스터시트!$A$2:$H$1946,6,FALSE),""))</f>
        <v/>
      </c>
      <c r="R1075" s="18" t="str">
        <f>IF($K1075="","",IFERROR(VLOOKUP(--SUBSTITUTE(SUBSTITUTE(TRIM($K1075),"-","")," ",""),마스터시트!$A$2:$H$1946,7,FALSE),""))</f>
        <v/>
      </c>
    </row>
    <row r="1076" spans="13:18" x14ac:dyDescent="0.3">
      <c r="M1076" s="18" t="str">
        <f>IF($K1076="","",IFERROR(VLOOKUP(--SUBSTITUTE(SUBSTITUTE(TRIM($K1076),"-","")," ",""),마스터시트!$A$2:$H$1946,2,FALSE),"미등록"))</f>
        <v/>
      </c>
      <c r="N1076" s="53" t="str">
        <f>IF($K1076="","",IFERROR(VLOOKUP(--SUBSTITUTE(SUBSTITUTE(TRIM($K1076),"-","")," ",""),마스터시트!$A$2:$H$1946,3,FALSE),"미등록"))</f>
        <v/>
      </c>
      <c r="O1076" s="18" t="str">
        <f>IF($K1076="","",IFERROR(VLOOKUP(--SUBSTITUTE(SUBSTITUTE(TRIM($K1076),"-","")," ",""),마스터시트!$A$2:$H$1946,4,FALSE),""))</f>
        <v/>
      </c>
      <c r="P1076" s="18" t="str">
        <f>IF($K1076="","",IFERROR(VLOOKUP(--SUBSTITUTE(SUBSTITUTE(TRIM($K1076),"-","")," ",""),마스터시트!$A$2:$H$1946,5,FALSE),""))</f>
        <v/>
      </c>
      <c r="Q1076" s="18" t="str">
        <f>IF($K1076="","",IFERROR(VLOOKUP(--SUBSTITUTE(SUBSTITUTE(TRIM($K1076),"-","")," ",""),마스터시트!$A$2:$H$1946,6,FALSE),""))</f>
        <v/>
      </c>
      <c r="R1076" s="18" t="str">
        <f>IF($K1076="","",IFERROR(VLOOKUP(--SUBSTITUTE(SUBSTITUTE(TRIM($K1076),"-","")," ",""),마스터시트!$A$2:$H$1946,7,FALSE),""))</f>
        <v/>
      </c>
    </row>
    <row r="1077" spans="13:18" x14ac:dyDescent="0.3">
      <c r="M1077" s="18" t="str">
        <f>IF($K1077="","",IFERROR(VLOOKUP(--SUBSTITUTE(SUBSTITUTE(TRIM($K1077),"-","")," ",""),마스터시트!$A$2:$H$1946,2,FALSE),"미등록"))</f>
        <v/>
      </c>
      <c r="N1077" s="53" t="str">
        <f>IF($K1077="","",IFERROR(VLOOKUP(--SUBSTITUTE(SUBSTITUTE(TRIM($K1077),"-","")," ",""),마스터시트!$A$2:$H$1946,3,FALSE),"미등록"))</f>
        <v/>
      </c>
      <c r="O1077" s="18" t="str">
        <f>IF($K1077="","",IFERROR(VLOOKUP(--SUBSTITUTE(SUBSTITUTE(TRIM($K1077),"-","")," ",""),마스터시트!$A$2:$H$1946,4,FALSE),""))</f>
        <v/>
      </c>
      <c r="P1077" s="18" t="str">
        <f>IF($K1077="","",IFERROR(VLOOKUP(--SUBSTITUTE(SUBSTITUTE(TRIM($K1077),"-","")," ",""),마스터시트!$A$2:$H$1946,5,FALSE),""))</f>
        <v/>
      </c>
      <c r="Q1077" s="18" t="str">
        <f>IF($K1077="","",IFERROR(VLOOKUP(--SUBSTITUTE(SUBSTITUTE(TRIM($K1077),"-","")," ",""),마스터시트!$A$2:$H$1946,6,FALSE),""))</f>
        <v/>
      </c>
      <c r="R1077" s="18" t="str">
        <f>IF($K1077="","",IFERROR(VLOOKUP(--SUBSTITUTE(SUBSTITUTE(TRIM($K1077),"-","")," ",""),마스터시트!$A$2:$H$1946,7,FALSE),""))</f>
        <v/>
      </c>
    </row>
    <row r="1078" spans="13:18" x14ac:dyDescent="0.3">
      <c r="M1078" s="18" t="str">
        <f>IF($K1078="","",IFERROR(VLOOKUP(--SUBSTITUTE(SUBSTITUTE(TRIM($K1078),"-","")," ",""),마스터시트!$A$2:$H$1946,2,FALSE),"미등록"))</f>
        <v/>
      </c>
      <c r="N1078" s="53" t="str">
        <f>IF($K1078="","",IFERROR(VLOOKUP(--SUBSTITUTE(SUBSTITUTE(TRIM($K1078),"-","")," ",""),마스터시트!$A$2:$H$1946,3,FALSE),"미등록"))</f>
        <v/>
      </c>
      <c r="O1078" s="18" t="str">
        <f>IF($K1078="","",IFERROR(VLOOKUP(--SUBSTITUTE(SUBSTITUTE(TRIM($K1078),"-","")," ",""),마스터시트!$A$2:$H$1946,4,FALSE),""))</f>
        <v/>
      </c>
      <c r="P1078" s="18" t="str">
        <f>IF($K1078="","",IFERROR(VLOOKUP(--SUBSTITUTE(SUBSTITUTE(TRIM($K1078),"-","")," ",""),마스터시트!$A$2:$H$1946,5,FALSE),""))</f>
        <v/>
      </c>
      <c r="Q1078" s="18" t="str">
        <f>IF($K1078="","",IFERROR(VLOOKUP(--SUBSTITUTE(SUBSTITUTE(TRIM($K1078),"-","")," ",""),마스터시트!$A$2:$H$1946,6,FALSE),""))</f>
        <v/>
      </c>
      <c r="R1078" s="18" t="str">
        <f>IF($K1078="","",IFERROR(VLOOKUP(--SUBSTITUTE(SUBSTITUTE(TRIM($K1078),"-","")," ",""),마스터시트!$A$2:$H$1946,7,FALSE),""))</f>
        <v/>
      </c>
    </row>
    <row r="1079" spans="13:18" x14ac:dyDescent="0.3">
      <c r="M1079" s="18" t="str">
        <f>IF($K1079="","",IFERROR(VLOOKUP(--SUBSTITUTE(SUBSTITUTE(TRIM($K1079),"-","")," ",""),마스터시트!$A$2:$H$1946,2,FALSE),"미등록"))</f>
        <v/>
      </c>
      <c r="N1079" s="53" t="str">
        <f>IF($K1079="","",IFERROR(VLOOKUP(--SUBSTITUTE(SUBSTITUTE(TRIM($K1079),"-","")," ",""),마스터시트!$A$2:$H$1946,3,FALSE),"미등록"))</f>
        <v/>
      </c>
      <c r="O1079" s="18" t="str">
        <f>IF($K1079="","",IFERROR(VLOOKUP(--SUBSTITUTE(SUBSTITUTE(TRIM($K1079),"-","")," ",""),마스터시트!$A$2:$H$1946,4,FALSE),""))</f>
        <v/>
      </c>
      <c r="P1079" s="18" t="str">
        <f>IF($K1079="","",IFERROR(VLOOKUP(--SUBSTITUTE(SUBSTITUTE(TRIM($K1079),"-","")," ",""),마스터시트!$A$2:$H$1946,5,FALSE),""))</f>
        <v/>
      </c>
      <c r="Q1079" s="18" t="str">
        <f>IF($K1079="","",IFERROR(VLOOKUP(--SUBSTITUTE(SUBSTITUTE(TRIM($K1079),"-","")," ",""),마스터시트!$A$2:$H$1946,6,FALSE),""))</f>
        <v/>
      </c>
      <c r="R1079" s="18" t="str">
        <f>IF($K1079="","",IFERROR(VLOOKUP(--SUBSTITUTE(SUBSTITUTE(TRIM($K1079),"-","")," ",""),마스터시트!$A$2:$H$1946,7,FALSE),""))</f>
        <v/>
      </c>
    </row>
    <row r="1080" spans="13:18" x14ac:dyDescent="0.3">
      <c r="M1080" s="18" t="str">
        <f>IF($K1080="","",IFERROR(VLOOKUP(--SUBSTITUTE(SUBSTITUTE(TRIM($K1080),"-","")," ",""),마스터시트!$A$2:$H$1946,2,FALSE),"미등록"))</f>
        <v/>
      </c>
      <c r="N1080" s="53" t="str">
        <f>IF($K1080="","",IFERROR(VLOOKUP(--SUBSTITUTE(SUBSTITUTE(TRIM($K1080),"-","")," ",""),마스터시트!$A$2:$H$1946,3,FALSE),"미등록"))</f>
        <v/>
      </c>
      <c r="O1080" s="18" t="str">
        <f>IF($K1080="","",IFERROR(VLOOKUP(--SUBSTITUTE(SUBSTITUTE(TRIM($K1080),"-","")," ",""),마스터시트!$A$2:$H$1946,4,FALSE),""))</f>
        <v/>
      </c>
      <c r="P1080" s="18" t="str">
        <f>IF($K1080="","",IFERROR(VLOOKUP(--SUBSTITUTE(SUBSTITUTE(TRIM($K1080),"-","")," ",""),마스터시트!$A$2:$H$1946,5,FALSE),""))</f>
        <v/>
      </c>
      <c r="Q1080" s="18" t="str">
        <f>IF($K1080="","",IFERROR(VLOOKUP(--SUBSTITUTE(SUBSTITUTE(TRIM($K1080),"-","")," ",""),마스터시트!$A$2:$H$1946,6,FALSE),""))</f>
        <v/>
      </c>
      <c r="R1080" s="18" t="str">
        <f>IF($K1080="","",IFERROR(VLOOKUP(--SUBSTITUTE(SUBSTITUTE(TRIM($K1080),"-","")," ",""),마스터시트!$A$2:$H$1946,7,FALSE),""))</f>
        <v/>
      </c>
    </row>
    <row r="1081" spans="13:18" x14ac:dyDescent="0.3">
      <c r="M1081" s="18" t="str">
        <f>IF($K1081="","",IFERROR(VLOOKUP(--SUBSTITUTE(SUBSTITUTE(TRIM($K1081),"-","")," ",""),마스터시트!$A$2:$H$1946,2,FALSE),"미등록"))</f>
        <v/>
      </c>
      <c r="N1081" s="53" t="str">
        <f>IF($K1081="","",IFERROR(VLOOKUP(--SUBSTITUTE(SUBSTITUTE(TRIM($K1081),"-","")," ",""),마스터시트!$A$2:$H$1946,3,FALSE),"미등록"))</f>
        <v/>
      </c>
      <c r="O1081" s="18" t="str">
        <f>IF($K1081="","",IFERROR(VLOOKUP(--SUBSTITUTE(SUBSTITUTE(TRIM($K1081),"-","")," ",""),마스터시트!$A$2:$H$1946,4,FALSE),""))</f>
        <v/>
      </c>
      <c r="P1081" s="18" t="str">
        <f>IF($K1081="","",IFERROR(VLOOKUP(--SUBSTITUTE(SUBSTITUTE(TRIM($K1081),"-","")," ",""),마스터시트!$A$2:$H$1946,5,FALSE),""))</f>
        <v/>
      </c>
      <c r="Q1081" s="18" t="str">
        <f>IF($K1081="","",IFERROR(VLOOKUP(--SUBSTITUTE(SUBSTITUTE(TRIM($K1081),"-","")," ",""),마스터시트!$A$2:$H$1946,6,FALSE),""))</f>
        <v/>
      </c>
      <c r="R1081" s="18" t="str">
        <f>IF($K1081="","",IFERROR(VLOOKUP(--SUBSTITUTE(SUBSTITUTE(TRIM($K1081),"-","")," ",""),마스터시트!$A$2:$H$1946,7,FALSE),""))</f>
        <v/>
      </c>
    </row>
    <row r="1082" spans="13:18" x14ac:dyDescent="0.3">
      <c r="M1082" s="18" t="str">
        <f>IF($K1082="","",IFERROR(VLOOKUP(--SUBSTITUTE(SUBSTITUTE(TRIM($K1082),"-","")," ",""),마스터시트!$A$2:$H$1946,2,FALSE),"미등록"))</f>
        <v/>
      </c>
      <c r="N1082" s="53" t="str">
        <f>IF($K1082="","",IFERROR(VLOOKUP(--SUBSTITUTE(SUBSTITUTE(TRIM($K1082),"-","")," ",""),마스터시트!$A$2:$H$1946,3,FALSE),"미등록"))</f>
        <v/>
      </c>
      <c r="O1082" s="18" t="str">
        <f>IF($K1082="","",IFERROR(VLOOKUP(--SUBSTITUTE(SUBSTITUTE(TRIM($K1082),"-","")," ",""),마스터시트!$A$2:$H$1946,4,FALSE),""))</f>
        <v/>
      </c>
      <c r="P1082" s="18" t="str">
        <f>IF($K1082="","",IFERROR(VLOOKUP(--SUBSTITUTE(SUBSTITUTE(TRIM($K1082),"-","")," ",""),마스터시트!$A$2:$H$1946,5,FALSE),""))</f>
        <v/>
      </c>
      <c r="Q1082" s="18" t="str">
        <f>IF($K1082="","",IFERROR(VLOOKUP(--SUBSTITUTE(SUBSTITUTE(TRIM($K1082),"-","")," ",""),마스터시트!$A$2:$H$1946,6,FALSE),""))</f>
        <v/>
      </c>
      <c r="R1082" s="18" t="str">
        <f>IF($K1082="","",IFERROR(VLOOKUP(--SUBSTITUTE(SUBSTITUTE(TRIM($K1082),"-","")," ",""),마스터시트!$A$2:$H$1946,7,FALSE),""))</f>
        <v/>
      </c>
    </row>
    <row r="1083" spans="13:18" x14ac:dyDescent="0.3">
      <c r="M1083" s="18" t="str">
        <f>IF($K1083="","",IFERROR(VLOOKUP(--SUBSTITUTE(SUBSTITUTE(TRIM($K1083),"-","")," ",""),마스터시트!$A$2:$H$1946,2,FALSE),"미등록"))</f>
        <v/>
      </c>
      <c r="N1083" s="53" t="str">
        <f>IF($K1083="","",IFERROR(VLOOKUP(--SUBSTITUTE(SUBSTITUTE(TRIM($K1083),"-","")," ",""),마스터시트!$A$2:$H$1946,3,FALSE),"미등록"))</f>
        <v/>
      </c>
      <c r="O1083" s="18" t="str">
        <f>IF($K1083="","",IFERROR(VLOOKUP(--SUBSTITUTE(SUBSTITUTE(TRIM($K1083),"-","")," ",""),마스터시트!$A$2:$H$1946,4,FALSE),""))</f>
        <v/>
      </c>
      <c r="P1083" s="18" t="str">
        <f>IF($K1083="","",IFERROR(VLOOKUP(--SUBSTITUTE(SUBSTITUTE(TRIM($K1083),"-","")," ",""),마스터시트!$A$2:$H$1946,5,FALSE),""))</f>
        <v/>
      </c>
      <c r="Q1083" s="18" t="str">
        <f>IF($K1083="","",IFERROR(VLOOKUP(--SUBSTITUTE(SUBSTITUTE(TRIM($K1083),"-","")," ",""),마스터시트!$A$2:$H$1946,6,FALSE),""))</f>
        <v/>
      </c>
      <c r="R1083" s="18" t="str">
        <f>IF($K1083="","",IFERROR(VLOOKUP(--SUBSTITUTE(SUBSTITUTE(TRIM($K1083),"-","")," ",""),마스터시트!$A$2:$H$1946,7,FALSE),""))</f>
        <v/>
      </c>
    </row>
    <row r="1084" spans="13:18" x14ac:dyDescent="0.3">
      <c r="M1084" s="18" t="str">
        <f>IF($K1084="","",IFERROR(VLOOKUP(--SUBSTITUTE(SUBSTITUTE(TRIM($K1084),"-","")," ",""),마스터시트!$A$2:$H$1946,2,FALSE),"미등록"))</f>
        <v/>
      </c>
      <c r="N1084" s="53" t="str">
        <f>IF($K1084="","",IFERROR(VLOOKUP(--SUBSTITUTE(SUBSTITUTE(TRIM($K1084),"-","")," ",""),마스터시트!$A$2:$H$1946,3,FALSE),"미등록"))</f>
        <v/>
      </c>
      <c r="O1084" s="18" t="str">
        <f>IF($K1084="","",IFERROR(VLOOKUP(--SUBSTITUTE(SUBSTITUTE(TRIM($K1084),"-","")," ",""),마스터시트!$A$2:$H$1946,4,FALSE),""))</f>
        <v/>
      </c>
      <c r="P1084" s="18" t="str">
        <f>IF($K1084="","",IFERROR(VLOOKUP(--SUBSTITUTE(SUBSTITUTE(TRIM($K1084),"-","")," ",""),마스터시트!$A$2:$H$1946,5,FALSE),""))</f>
        <v/>
      </c>
      <c r="Q1084" s="18" t="str">
        <f>IF($K1084="","",IFERROR(VLOOKUP(--SUBSTITUTE(SUBSTITUTE(TRIM($K1084),"-","")," ",""),마스터시트!$A$2:$H$1946,6,FALSE),""))</f>
        <v/>
      </c>
      <c r="R1084" s="18" t="str">
        <f>IF($K1084="","",IFERROR(VLOOKUP(--SUBSTITUTE(SUBSTITUTE(TRIM($K1084),"-","")," ",""),마스터시트!$A$2:$H$1946,7,FALSE),""))</f>
        <v/>
      </c>
    </row>
    <row r="1085" spans="13:18" x14ac:dyDescent="0.3">
      <c r="M1085" s="18" t="str">
        <f>IF($K1085="","",IFERROR(VLOOKUP(--SUBSTITUTE(SUBSTITUTE(TRIM($K1085),"-","")," ",""),마스터시트!$A$2:$H$1946,2,FALSE),"미등록"))</f>
        <v/>
      </c>
      <c r="N1085" s="53" t="str">
        <f>IF($K1085="","",IFERROR(VLOOKUP(--SUBSTITUTE(SUBSTITUTE(TRIM($K1085),"-","")," ",""),마스터시트!$A$2:$H$1946,3,FALSE),"미등록"))</f>
        <v/>
      </c>
      <c r="O1085" s="18" t="str">
        <f>IF($K1085="","",IFERROR(VLOOKUP(--SUBSTITUTE(SUBSTITUTE(TRIM($K1085),"-","")," ",""),마스터시트!$A$2:$H$1946,4,FALSE),""))</f>
        <v/>
      </c>
      <c r="P1085" s="18" t="str">
        <f>IF($K1085="","",IFERROR(VLOOKUP(--SUBSTITUTE(SUBSTITUTE(TRIM($K1085),"-","")," ",""),마스터시트!$A$2:$H$1946,5,FALSE),""))</f>
        <v/>
      </c>
      <c r="Q1085" s="18" t="str">
        <f>IF($K1085="","",IFERROR(VLOOKUP(--SUBSTITUTE(SUBSTITUTE(TRIM($K1085),"-","")," ",""),마스터시트!$A$2:$H$1946,6,FALSE),""))</f>
        <v/>
      </c>
      <c r="R1085" s="18" t="str">
        <f>IF($K1085="","",IFERROR(VLOOKUP(--SUBSTITUTE(SUBSTITUTE(TRIM($K1085),"-","")," ",""),마스터시트!$A$2:$H$1946,7,FALSE),""))</f>
        <v/>
      </c>
    </row>
    <row r="1086" spans="13:18" x14ac:dyDescent="0.3">
      <c r="M1086" s="18" t="str">
        <f>IF($K1086="","",IFERROR(VLOOKUP(--SUBSTITUTE(SUBSTITUTE(TRIM($K1086),"-","")," ",""),마스터시트!$A$2:$H$1946,2,FALSE),"미등록"))</f>
        <v/>
      </c>
      <c r="N1086" s="53" t="str">
        <f>IF($K1086="","",IFERROR(VLOOKUP(--SUBSTITUTE(SUBSTITUTE(TRIM($K1086),"-","")," ",""),마스터시트!$A$2:$H$1946,3,FALSE),"미등록"))</f>
        <v/>
      </c>
      <c r="O1086" s="18" t="str">
        <f>IF($K1086="","",IFERROR(VLOOKUP(--SUBSTITUTE(SUBSTITUTE(TRIM($K1086),"-","")," ",""),마스터시트!$A$2:$H$1946,4,FALSE),""))</f>
        <v/>
      </c>
      <c r="P1086" s="18" t="str">
        <f>IF($K1086="","",IFERROR(VLOOKUP(--SUBSTITUTE(SUBSTITUTE(TRIM($K1086),"-","")," ",""),마스터시트!$A$2:$H$1946,5,FALSE),""))</f>
        <v/>
      </c>
      <c r="Q1086" s="18" t="str">
        <f>IF($K1086="","",IFERROR(VLOOKUP(--SUBSTITUTE(SUBSTITUTE(TRIM($K1086),"-","")," ",""),마스터시트!$A$2:$H$1946,6,FALSE),""))</f>
        <v/>
      </c>
      <c r="R1086" s="18" t="str">
        <f>IF($K1086="","",IFERROR(VLOOKUP(--SUBSTITUTE(SUBSTITUTE(TRIM($K1086),"-","")," ",""),마스터시트!$A$2:$H$1946,7,FALSE),""))</f>
        <v/>
      </c>
    </row>
    <row r="1087" spans="13:18" x14ac:dyDescent="0.3">
      <c r="M1087" s="18" t="str">
        <f>IF($K1087="","",IFERROR(VLOOKUP(--SUBSTITUTE(SUBSTITUTE(TRIM($K1087),"-","")," ",""),마스터시트!$A$2:$H$1946,2,FALSE),"미등록"))</f>
        <v/>
      </c>
      <c r="N1087" s="53" t="str">
        <f>IF($K1087="","",IFERROR(VLOOKUP(--SUBSTITUTE(SUBSTITUTE(TRIM($K1087),"-","")," ",""),마스터시트!$A$2:$H$1946,3,FALSE),"미등록"))</f>
        <v/>
      </c>
      <c r="O1087" s="18" t="str">
        <f>IF($K1087="","",IFERROR(VLOOKUP(--SUBSTITUTE(SUBSTITUTE(TRIM($K1087),"-","")," ",""),마스터시트!$A$2:$H$1946,4,FALSE),""))</f>
        <v/>
      </c>
      <c r="P1087" s="18" t="str">
        <f>IF($K1087="","",IFERROR(VLOOKUP(--SUBSTITUTE(SUBSTITUTE(TRIM($K1087),"-","")," ",""),마스터시트!$A$2:$H$1946,5,FALSE),""))</f>
        <v/>
      </c>
      <c r="Q1087" s="18" t="str">
        <f>IF($K1087="","",IFERROR(VLOOKUP(--SUBSTITUTE(SUBSTITUTE(TRIM($K1087),"-","")," ",""),마스터시트!$A$2:$H$1946,6,FALSE),""))</f>
        <v/>
      </c>
      <c r="R1087" s="18" t="str">
        <f>IF($K1087="","",IFERROR(VLOOKUP(--SUBSTITUTE(SUBSTITUTE(TRIM($K1087),"-","")," ",""),마스터시트!$A$2:$H$1946,7,FALSE),""))</f>
        <v/>
      </c>
    </row>
    <row r="1088" spans="13:18" x14ac:dyDescent="0.3">
      <c r="M1088" s="18" t="str">
        <f>IF($K1088="","",IFERROR(VLOOKUP(--SUBSTITUTE(SUBSTITUTE(TRIM($K1088),"-","")," ",""),마스터시트!$A$2:$H$1946,2,FALSE),"미등록"))</f>
        <v/>
      </c>
      <c r="N1088" s="53" t="str">
        <f>IF($K1088="","",IFERROR(VLOOKUP(--SUBSTITUTE(SUBSTITUTE(TRIM($K1088),"-","")," ",""),마스터시트!$A$2:$H$1946,3,FALSE),"미등록"))</f>
        <v/>
      </c>
      <c r="O1088" s="18" t="str">
        <f>IF($K1088="","",IFERROR(VLOOKUP(--SUBSTITUTE(SUBSTITUTE(TRIM($K1088),"-","")," ",""),마스터시트!$A$2:$H$1946,4,FALSE),""))</f>
        <v/>
      </c>
      <c r="P1088" s="18" t="str">
        <f>IF($K1088="","",IFERROR(VLOOKUP(--SUBSTITUTE(SUBSTITUTE(TRIM($K1088),"-","")," ",""),마스터시트!$A$2:$H$1946,5,FALSE),""))</f>
        <v/>
      </c>
      <c r="Q1088" s="18" t="str">
        <f>IF($K1088="","",IFERROR(VLOOKUP(--SUBSTITUTE(SUBSTITUTE(TRIM($K1088),"-","")," ",""),마스터시트!$A$2:$H$1946,6,FALSE),""))</f>
        <v/>
      </c>
      <c r="R1088" s="18" t="str">
        <f>IF($K1088="","",IFERROR(VLOOKUP(--SUBSTITUTE(SUBSTITUTE(TRIM($K1088),"-","")," ",""),마스터시트!$A$2:$H$1946,7,FALSE),""))</f>
        <v/>
      </c>
    </row>
    <row r="1089" spans="13:18" x14ac:dyDescent="0.3">
      <c r="M1089" s="18" t="str">
        <f>IF($K1089="","",IFERROR(VLOOKUP(--SUBSTITUTE(SUBSTITUTE(TRIM($K1089),"-","")," ",""),마스터시트!$A$2:$H$1946,2,FALSE),"미등록"))</f>
        <v/>
      </c>
      <c r="N1089" s="53" t="str">
        <f>IF($K1089="","",IFERROR(VLOOKUP(--SUBSTITUTE(SUBSTITUTE(TRIM($K1089),"-","")," ",""),마스터시트!$A$2:$H$1946,3,FALSE),"미등록"))</f>
        <v/>
      </c>
      <c r="O1089" s="18" t="str">
        <f>IF($K1089="","",IFERROR(VLOOKUP(--SUBSTITUTE(SUBSTITUTE(TRIM($K1089),"-","")," ",""),마스터시트!$A$2:$H$1946,4,FALSE),""))</f>
        <v/>
      </c>
      <c r="P1089" s="18" t="str">
        <f>IF($K1089="","",IFERROR(VLOOKUP(--SUBSTITUTE(SUBSTITUTE(TRIM($K1089),"-","")," ",""),마스터시트!$A$2:$H$1946,5,FALSE),""))</f>
        <v/>
      </c>
      <c r="Q1089" s="18" t="str">
        <f>IF($K1089="","",IFERROR(VLOOKUP(--SUBSTITUTE(SUBSTITUTE(TRIM($K1089),"-","")," ",""),마스터시트!$A$2:$H$1946,6,FALSE),""))</f>
        <v/>
      </c>
      <c r="R1089" s="18" t="str">
        <f>IF($K1089="","",IFERROR(VLOOKUP(--SUBSTITUTE(SUBSTITUTE(TRIM($K1089),"-","")," ",""),마스터시트!$A$2:$H$1946,7,FALSE),""))</f>
        <v/>
      </c>
    </row>
    <row r="1090" spans="13:18" x14ac:dyDescent="0.3">
      <c r="M1090" s="18" t="str">
        <f>IF($K1090="","",IFERROR(VLOOKUP(--SUBSTITUTE(SUBSTITUTE(TRIM($K1090),"-","")," ",""),마스터시트!$A$2:$H$1946,2,FALSE),"미등록"))</f>
        <v/>
      </c>
      <c r="N1090" s="53" t="str">
        <f>IF($K1090="","",IFERROR(VLOOKUP(--SUBSTITUTE(SUBSTITUTE(TRIM($K1090),"-","")," ",""),마스터시트!$A$2:$H$1946,3,FALSE),"미등록"))</f>
        <v/>
      </c>
      <c r="O1090" s="18" t="str">
        <f>IF($K1090="","",IFERROR(VLOOKUP(--SUBSTITUTE(SUBSTITUTE(TRIM($K1090),"-","")," ",""),마스터시트!$A$2:$H$1946,4,FALSE),""))</f>
        <v/>
      </c>
      <c r="P1090" s="18" t="str">
        <f>IF($K1090="","",IFERROR(VLOOKUP(--SUBSTITUTE(SUBSTITUTE(TRIM($K1090),"-","")," ",""),마스터시트!$A$2:$H$1946,5,FALSE),""))</f>
        <v/>
      </c>
      <c r="Q1090" s="18" t="str">
        <f>IF($K1090="","",IFERROR(VLOOKUP(--SUBSTITUTE(SUBSTITUTE(TRIM($K1090),"-","")," ",""),마스터시트!$A$2:$H$1946,6,FALSE),""))</f>
        <v/>
      </c>
      <c r="R1090" s="18" t="str">
        <f>IF($K1090="","",IFERROR(VLOOKUP(--SUBSTITUTE(SUBSTITUTE(TRIM($K1090),"-","")," ",""),마스터시트!$A$2:$H$1946,7,FALSE),""))</f>
        <v/>
      </c>
    </row>
    <row r="1091" spans="13:18" x14ac:dyDescent="0.3">
      <c r="M1091" s="18" t="str">
        <f>IF($K1091="","",IFERROR(VLOOKUP(--SUBSTITUTE(SUBSTITUTE(TRIM($K1091),"-","")," ",""),마스터시트!$A$2:$H$1946,2,FALSE),"미등록"))</f>
        <v/>
      </c>
      <c r="N1091" s="53" t="str">
        <f>IF($K1091="","",IFERROR(VLOOKUP(--SUBSTITUTE(SUBSTITUTE(TRIM($K1091),"-","")," ",""),마스터시트!$A$2:$H$1946,3,FALSE),"미등록"))</f>
        <v/>
      </c>
      <c r="O1091" s="18" t="str">
        <f>IF($K1091="","",IFERROR(VLOOKUP(--SUBSTITUTE(SUBSTITUTE(TRIM($K1091),"-","")," ",""),마스터시트!$A$2:$H$1946,4,FALSE),""))</f>
        <v/>
      </c>
      <c r="P1091" s="18" t="str">
        <f>IF($K1091="","",IFERROR(VLOOKUP(--SUBSTITUTE(SUBSTITUTE(TRIM($K1091),"-","")," ",""),마스터시트!$A$2:$H$1946,5,FALSE),""))</f>
        <v/>
      </c>
      <c r="Q1091" s="18" t="str">
        <f>IF($K1091="","",IFERROR(VLOOKUP(--SUBSTITUTE(SUBSTITUTE(TRIM($K1091),"-","")," ",""),마스터시트!$A$2:$H$1946,6,FALSE),""))</f>
        <v/>
      </c>
      <c r="R1091" s="18" t="str">
        <f>IF($K1091="","",IFERROR(VLOOKUP(--SUBSTITUTE(SUBSTITUTE(TRIM($K1091),"-","")," ",""),마스터시트!$A$2:$H$1946,7,FALSE),""))</f>
        <v/>
      </c>
    </row>
    <row r="1092" spans="13:18" x14ac:dyDescent="0.3">
      <c r="M1092" s="18" t="str">
        <f>IF($K1092="","",IFERROR(VLOOKUP(--SUBSTITUTE(SUBSTITUTE(TRIM($K1092),"-","")," ",""),마스터시트!$A$2:$H$1946,2,FALSE),"미등록"))</f>
        <v/>
      </c>
      <c r="N1092" s="53" t="str">
        <f>IF($K1092="","",IFERROR(VLOOKUP(--SUBSTITUTE(SUBSTITUTE(TRIM($K1092),"-","")," ",""),마스터시트!$A$2:$H$1946,3,FALSE),"미등록"))</f>
        <v/>
      </c>
      <c r="O1092" s="18" t="str">
        <f>IF($K1092="","",IFERROR(VLOOKUP(--SUBSTITUTE(SUBSTITUTE(TRIM($K1092),"-","")," ",""),마스터시트!$A$2:$H$1946,4,FALSE),""))</f>
        <v/>
      </c>
      <c r="P1092" s="18" t="str">
        <f>IF($K1092="","",IFERROR(VLOOKUP(--SUBSTITUTE(SUBSTITUTE(TRIM($K1092),"-","")," ",""),마스터시트!$A$2:$H$1946,5,FALSE),""))</f>
        <v/>
      </c>
      <c r="Q1092" s="18" t="str">
        <f>IF($K1092="","",IFERROR(VLOOKUP(--SUBSTITUTE(SUBSTITUTE(TRIM($K1092),"-","")," ",""),마스터시트!$A$2:$H$1946,6,FALSE),""))</f>
        <v/>
      </c>
      <c r="R1092" s="18" t="str">
        <f>IF($K1092="","",IFERROR(VLOOKUP(--SUBSTITUTE(SUBSTITUTE(TRIM($K1092),"-","")," ",""),마스터시트!$A$2:$H$1946,7,FALSE),""))</f>
        <v/>
      </c>
    </row>
    <row r="1093" spans="13:18" x14ac:dyDescent="0.3">
      <c r="M1093" s="18" t="str">
        <f>IF($K1093="","",IFERROR(VLOOKUP(--SUBSTITUTE(SUBSTITUTE(TRIM($K1093),"-","")," ",""),마스터시트!$A$2:$H$1946,2,FALSE),"미등록"))</f>
        <v/>
      </c>
      <c r="N1093" s="53" t="str">
        <f>IF($K1093="","",IFERROR(VLOOKUP(--SUBSTITUTE(SUBSTITUTE(TRIM($K1093),"-","")," ",""),마스터시트!$A$2:$H$1946,3,FALSE),"미등록"))</f>
        <v/>
      </c>
      <c r="O1093" s="18" t="str">
        <f>IF($K1093="","",IFERROR(VLOOKUP(--SUBSTITUTE(SUBSTITUTE(TRIM($K1093),"-","")," ",""),마스터시트!$A$2:$H$1946,4,FALSE),""))</f>
        <v/>
      </c>
      <c r="P1093" s="18" t="str">
        <f>IF($K1093="","",IFERROR(VLOOKUP(--SUBSTITUTE(SUBSTITUTE(TRIM($K1093),"-","")," ",""),마스터시트!$A$2:$H$1946,5,FALSE),""))</f>
        <v/>
      </c>
      <c r="Q1093" s="18" t="str">
        <f>IF($K1093="","",IFERROR(VLOOKUP(--SUBSTITUTE(SUBSTITUTE(TRIM($K1093),"-","")," ",""),마스터시트!$A$2:$H$1946,6,FALSE),""))</f>
        <v/>
      </c>
      <c r="R1093" s="18" t="str">
        <f>IF($K1093="","",IFERROR(VLOOKUP(--SUBSTITUTE(SUBSTITUTE(TRIM($K1093),"-","")," ",""),마스터시트!$A$2:$H$1946,7,FALSE),""))</f>
        <v/>
      </c>
    </row>
    <row r="1094" spans="13:18" x14ac:dyDescent="0.3">
      <c r="M1094" s="18" t="str">
        <f>IF($K1094="","",IFERROR(VLOOKUP(--SUBSTITUTE(SUBSTITUTE(TRIM($K1094),"-","")," ",""),마스터시트!$A$2:$H$1946,2,FALSE),"미등록"))</f>
        <v/>
      </c>
      <c r="N1094" s="53" t="str">
        <f>IF($K1094="","",IFERROR(VLOOKUP(--SUBSTITUTE(SUBSTITUTE(TRIM($K1094),"-","")," ",""),마스터시트!$A$2:$H$1946,3,FALSE),"미등록"))</f>
        <v/>
      </c>
      <c r="O1094" s="18" t="str">
        <f>IF($K1094="","",IFERROR(VLOOKUP(--SUBSTITUTE(SUBSTITUTE(TRIM($K1094),"-","")," ",""),마스터시트!$A$2:$H$1946,4,FALSE),""))</f>
        <v/>
      </c>
      <c r="P1094" s="18" t="str">
        <f>IF($K1094="","",IFERROR(VLOOKUP(--SUBSTITUTE(SUBSTITUTE(TRIM($K1094),"-","")," ",""),마스터시트!$A$2:$H$1946,5,FALSE),""))</f>
        <v/>
      </c>
      <c r="Q1094" s="18" t="str">
        <f>IF($K1094="","",IFERROR(VLOOKUP(--SUBSTITUTE(SUBSTITUTE(TRIM($K1094),"-","")," ",""),마스터시트!$A$2:$H$1946,6,FALSE),""))</f>
        <v/>
      </c>
      <c r="R1094" s="18" t="str">
        <f>IF($K1094="","",IFERROR(VLOOKUP(--SUBSTITUTE(SUBSTITUTE(TRIM($K1094),"-","")," ",""),마스터시트!$A$2:$H$1946,7,FALSE),""))</f>
        <v/>
      </c>
    </row>
    <row r="1095" spans="13:18" x14ac:dyDescent="0.3">
      <c r="M1095" s="18" t="str">
        <f>IF($K1095="","",IFERROR(VLOOKUP(--SUBSTITUTE(SUBSTITUTE(TRIM($K1095),"-","")," ",""),마스터시트!$A$2:$H$1946,2,FALSE),"미등록"))</f>
        <v/>
      </c>
      <c r="N1095" s="53" t="str">
        <f>IF($K1095="","",IFERROR(VLOOKUP(--SUBSTITUTE(SUBSTITUTE(TRIM($K1095),"-","")," ",""),마스터시트!$A$2:$H$1946,3,FALSE),"미등록"))</f>
        <v/>
      </c>
      <c r="O1095" s="18" t="str">
        <f>IF($K1095="","",IFERROR(VLOOKUP(--SUBSTITUTE(SUBSTITUTE(TRIM($K1095),"-","")," ",""),마스터시트!$A$2:$H$1946,4,FALSE),""))</f>
        <v/>
      </c>
      <c r="P1095" s="18" t="str">
        <f>IF($K1095="","",IFERROR(VLOOKUP(--SUBSTITUTE(SUBSTITUTE(TRIM($K1095),"-","")," ",""),마스터시트!$A$2:$H$1946,5,FALSE),""))</f>
        <v/>
      </c>
      <c r="Q1095" s="18" t="str">
        <f>IF($K1095="","",IFERROR(VLOOKUP(--SUBSTITUTE(SUBSTITUTE(TRIM($K1095),"-","")," ",""),마스터시트!$A$2:$H$1946,6,FALSE),""))</f>
        <v/>
      </c>
      <c r="R1095" s="18" t="str">
        <f>IF($K1095="","",IFERROR(VLOOKUP(--SUBSTITUTE(SUBSTITUTE(TRIM($K1095),"-","")," ",""),마스터시트!$A$2:$H$1946,7,FALSE),""))</f>
        <v/>
      </c>
    </row>
    <row r="1096" spans="13:18" x14ac:dyDescent="0.3">
      <c r="M1096" s="18" t="str">
        <f>IF($K1096="","",IFERROR(VLOOKUP(--SUBSTITUTE(SUBSTITUTE(TRIM($K1096),"-","")," ",""),마스터시트!$A$2:$H$1946,2,FALSE),"미등록"))</f>
        <v/>
      </c>
      <c r="N1096" s="53" t="str">
        <f>IF($K1096="","",IFERROR(VLOOKUP(--SUBSTITUTE(SUBSTITUTE(TRIM($K1096),"-","")," ",""),마스터시트!$A$2:$H$1946,3,FALSE),"미등록"))</f>
        <v/>
      </c>
      <c r="O1096" s="18" t="str">
        <f>IF($K1096="","",IFERROR(VLOOKUP(--SUBSTITUTE(SUBSTITUTE(TRIM($K1096),"-","")," ",""),마스터시트!$A$2:$H$1946,4,FALSE),""))</f>
        <v/>
      </c>
      <c r="P1096" s="18" t="str">
        <f>IF($K1096="","",IFERROR(VLOOKUP(--SUBSTITUTE(SUBSTITUTE(TRIM($K1096),"-","")," ",""),마스터시트!$A$2:$H$1946,5,FALSE),""))</f>
        <v/>
      </c>
      <c r="Q1096" s="18" t="str">
        <f>IF($K1096="","",IFERROR(VLOOKUP(--SUBSTITUTE(SUBSTITUTE(TRIM($K1096),"-","")," ",""),마스터시트!$A$2:$H$1946,6,FALSE),""))</f>
        <v/>
      </c>
      <c r="R1096" s="18" t="str">
        <f>IF($K1096="","",IFERROR(VLOOKUP(--SUBSTITUTE(SUBSTITUTE(TRIM($K1096),"-","")," ",""),마스터시트!$A$2:$H$1946,7,FALSE),""))</f>
        <v/>
      </c>
    </row>
    <row r="1097" spans="13:18" x14ac:dyDescent="0.3">
      <c r="M1097" s="18" t="str">
        <f>IF($K1097="","",IFERROR(VLOOKUP(--SUBSTITUTE(SUBSTITUTE(TRIM($K1097),"-","")," ",""),마스터시트!$A$2:$H$1946,2,FALSE),"미등록"))</f>
        <v/>
      </c>
      <c r="N1097" s="53" t="str">
        <f>IF($K1097="","",IFERROR(VLOOKUP(--SUBSTITUTE(SUBSTITUTE(TRIM($K1097),"-","")," ",""),마스터시트!$A$2:$H$1946,3,FALSE),"미등록"))</f>
        <v/>
      </c>
      <c r="O1097" s="18" t="str">
        <f>IF($K1097="","",IFERROR(VLOOKUP(--SUBSTITUTE(SUBSTITUTE(TRIM($K1097),"-","")," ",""),마스터시트!$A$2:$H$1946,4,FALSE),""))</f>
        <v/>
      </c>
      <c r="P1097" s="18" t="str">
        <f>IF($K1097="","",IFERROR(VLOOKUP(--SUBSTITUTE(SUBSTITUTE(TRIM($K1097),"-","")," ",""),마스터시트!$A$2:$H$1946,5,FALSE),""))</f>
        <v/>
      </c>
      <c r="Q1097" s="18" t="str">
        <f>IF($K1097="","",IFERROR(VLOOKUP(--SUBSTITUTE(SUBSTITUTE(TRIM($K1097),"-","")," ",""),마스터시트!$A$2:$H$1946,6,FALSE),""))</f>
        <v/>
      </c>
      <c r="R1097" s="18" t="str">
        <f>IF($K1097="","",IFERROR(VLOOKUP(--SUBSTITUTE(SUBSTITUTE(TRIM($K1097),"-","")," ",""),마스터시트!$A$2:$H$1946,7,FALSE),""))</f>
        <v/>
      </c>
    </row>
    <row r="1098" spans="13:18" x14ac:dyDescent="0.3">
      <c r="M1098" s="18" t="str">
        <f>IF($K1098="","",IFERROR(VLOOKUP(--SUBSTITUTE(SUBSTITUTE(TRIM($K1098),"-","")," ",""),마스터시트!$A$2:$H$1946,2,FALSE),"미등록"))</f>
        <v/>
      </c>
      <c r="N1098" s="53" t="str">
        <f>IF($K1098="","",IFERROR(VLOOKUP(--SUBSTITUTE(SUBSTITUTE(TRIM($K1098),"-","")," ",""),마스터시트!$A$2:$H$1946,3,FALSE),"미등록"))</f>
        <v/>
      </c>
      <c r="O1098" s="18" t="str">
        <f>IF($K1098="","",IFERROR(VLOOKUP(--SUBSTITUTE(SUBSTITUTE(TRIM($K1098),"-","")," ",""),마스터시트!$A$2:$H$1946,4,FALSE),""))</f>
        <v/>
      </c>
      <c r="P1098" s="18" t="str">
        <f>IF($K1098="","",IFERROR(VLOOKUP(--SUBSTITUTE(SUBSTITUTE(TRIM($K1098),"-","")," ",""),마스터시트!$A$2:$H$1946,5,FALSE),""))</f>
        <v/>
      </c>
      <c r="Q1098" s="18" t="str">
        <f>IF($K1098="","",IFERROR(VLOOKUP(--SUBSTITUTE(SUBSTITUTE(TRIM($K1098),"-","")," ",""),마스터시트!$A$2:$H$1946,6,FALSE),""))</f>
        <v/>
      </c>
      <c r="R1098" s="18" t="str">
        <f>IF($K1098="","",IFERROR(VLOOKUP(--SUBSTITUTE(SUBSTITUTE(TRIM($K1098),"-","")," ",""),마스터시트!$A$2:$H$1946,7,FALSE),""))</f>
        <v/>
      </c>
    </row>
    <row r="1099" spans="13:18" x14ac:dyDescent="0.3">
      <c r="M1099" s="18" t="str">
        <f>IF($K1099="","",IFERROR(VLOOKUP(--SUBSTITUTE(SUBSTITUTE(TRIM($K1099),"-","")," ",""),마스터시트!$A$2:$H$1946,2,FALSE),"미등록"))</f>
        <v/>
      </c>
      <c r="N1099" s="53" t="str">
        <f>IF($K1099="","",IFERROR(VLOOKUP(--SUBSTITUTE(SUBSTITUTE(TRIM($K1099),"-","")," ",""),마스터시트!$A$2:$H$1946,3,FALSE),"미등록"))</f>
        <v/>
      </c>
      <c r="O1099" s="18" t="str">
        <f>IF($K1099="","",IFERROR(VLOOKUP(--SUBSTITUTE(SUBSTITUTE(TRIM($K1099),"-","")," ",""),마스터시트!$A$2:$H$1946,4,FALSE),""))</f>
        <v/>
      </c>
      <c r="P1099" s="18" t="str">
        <f>IF($K1099="","",IFERROR(VLOOKUP(--SUBSTITUTE(SUBSTITUTE(TRIM($K1099),"-","")," ",""),마스터시트!$A$2:$H$1946,5,FALSE),""))</f>
        <v/>
      </c>
      <c r="Q1099" s="18" t="str">
        <f>IF($K1099="","",IFERROR(VLOOKUP(--SUBSTITUTE(SUBSTITUTE(TRIM($K1099),"-","")," ",""),마스터시트!$A$2:$H$1946,6,FALSE),""))</f>
        <v/>
      </c>
      <c r="R1099" s="18" t="str">
        <f>IF($K1099="","",IFERROR(VLOOKUP(--SUBSTITUTE(SUBSTITUTE(TRIM($K1099),"-","")," ",""),마스터시트!$A$2:$H$1946,7,FALSE),""))</f>
        <v/>
      </c>
    </row>
    <row r="1100" spans="13:18" x14ac:dyDescent="0.3">
      <c r="M1100" s="18" t="str">
        <f>IF($K1100="","",IFERROR(VLOOKUP(--SUBSTITUTE(SUBSTITUTE(TRIM($K1100),"-","")," ",""),마스터시트!$A$2:$H$1946,2,FALSE),"미등록"))</f>
        <v/>
      </c>
      <c r="N1100" s="53" t="str">
        <f>IF($K1100="","",IFERROR(VLOOKUP(--SUBSTITUTE(SUBSTITUTE(TRIM($K1100),"-","")," ",""),마스터시트!$A$2:$H$1946,3,FALSE),"미등록"))</f>
        <v/>
      </c>
      <c r="O1100" s="18" t="str">
        <f>IF($K1100="","",IFERROR(VLOOKUP(--SUBSTITUTE(SUBSTITUTE(TRIM($K1100),"-","")," ",""),마스터시트!$A$2:$H$1946,4,FALSE),""))</f>
        <v/>
      </c>
      <c r="P1100" s="18" t="str">
        <f>IF($K1100="","",IFERROR(VLOOKUP(--SUBSTITUTE(SUBSTITUTE(TRIM($K1100),"-","")," ",""),마스터시트!$A$2:$H$1946,5,FALSE),""))</f>
        <v/>
      </c>
      <c r="Q1100" s="18" t="str">
        <f>IF($K1100="","",IFERROR(VLOOKUP(--SUBSTITUTE(SUBSTITUTE(TRIM($K1100),"-","")," ",""),마스터시트!$A$2:$H$1946,6,FALSE),""))</f>
        <v/>
      </c>
      <c r="R1100" s="18" t="str">
        <f>IF($K1100="","",IFERROR(VLOOKUP(--SUBSTITUTE(SUBSTITUTE(TRIM($K1100),"-","")," ",""),마스터시트!$A$2:$H$1946,7,FALSE),""))</f>
        <v/>
      </c>
    </row>
    <row r="1101" spans="13:18" x14ac:dyDescent="0.3">
      <c r="M1101" s="18" t="str">
        <f>IF($K1101="","",IFERROR(VLOOKUP(--SUBSTITUTE(SUBSTITUTE(TRIM($K1101),"-","")," ",""),마스터시트!$A$2:$H$1946,2,FALSE),"미등록"))</f>
        <v/>
      </c>
      <c r="N1101" s="53" t="str">
        <f>IF($K1101="","",IFERROR(VLOOKUP(--SUBSTITUTE(SUBSTITUTE(TRIM($K1101),"-","")," ",""),마스터시트!$A$2:$H$1946,3,FALSE),"미등록"))</f>
        <v/>
      </c>
      <c r="O1101" s="18" t="str">
        <f>IF($K1101="","",IFERROR(VLOOKUP(--SUBSTITUTE(SUBSTITUTE(TRIM($K1101),"-","")," ",""),마스터시트!$A$2:$H$1946,4,FALSE),""))</f>
        <v/>
      </c>
      <c r="P1101" s="18" t="str">
        <f>IF($K1101="","",IFERROR(VLOOKUP(--SUBSTITUTE(SUBSTITUTE(TRIM($K1101),"-","")," ",""),마스터시트!$A$2:$H$1946,5,FALSE),""))</f>
        <v/>
      </c>
      <c r="Q1101" s="18" t="str">
        <f>IF($K1101="","",IFERROR(VLOOKUP(--SUBSTITUTE(SUBSTITUTE(TRIM($K1101),"-","")," ",""),마스터시트!$A$2:$H$1946,6,FALSE),""))</f>
        <v/>
      </c>
      <c r="R1101" s="18" t="str">
        <f>IF($K1101="","",IFERROR(VLOOKUP(--SUBSTITUTE(SUBSTITUTE(TRIM($K1101),"-","")," ",""),마스터시트!$A$2:$H$1946,7,FALSE),""))</f>
        <v/>
      </c>
    </row>
    <row r="1102" spans="13:18" x14ac:dyDescent="0.3">
      <c r="M1102" s="18" t="str">
        <f>IF($K1102="","",IFERROR(VLOOKUP(--SUBSTITUTE(SUBSTITUTE(TRIM($K1102),"-","")," ",""),마스터시트!$A$2:$H$1946,2,FALSE),"미등록"))</f>
        <v/>
      </c>
      <c r="N1102" s="53" t="str">
        <f>IF($K1102="","",IFERROR(VLOOKUP(--SUBSTITUTE(SUBSTITUTE(TRIM($K1102),"-","")," ",""),마스터시트!$A$2:$H$1946,3,FALSE),"미등록"))</f>
        <v/>
      </c>
      <c r="O1102" s="18" t="str">
        <f>IF($K1102="","",IFERROR(VLOOKUP(--SUBSTITUTE(SUBSTITUTE(TRIM($K1102),"-","")," ",""),마스터시트!$A$2:$H$1946,4,FALSE),""))</f>
        <v/>
      </c>
      <c r="P1102" s="18" t="str">
        <f>IF($K1102="","",IFERROR(VLOOKUP(--SUBSTITUTE(SUBSTITUTE(TRIM($K1102),"-","")," ",""),마스터시트!$A$2:$H$1946,5,FALSE),""))</f>
        <v/>
      </c>
      <c r="Q1102" s="18" t="str">
        <f>IF($K1102="","",IFERROR(VLOOKUP(--SUBSTITUTE(SUBSTITUTE(TRIM($K1102),"-","")," ",""),마스터시트!$A$2:$H$1946,6,FALSE),""))</f>
        <v/>
      </c>
      <c r="R1102" s="18" t="str">
        <f>IF($K1102="","",IFERROR(VLOOKUP(--SUBSTITUTE(SUBSTITUTE(TRIM($K1102),"-","")," ",""),마스터시트!$A$2:$H$1946,7,FALSE),""))</f>
        <v/>
      </c>
    </row>
    <row r="1103" spans="13:18" x14ac:dyDescent="0.3">
      <c r="M1103" s="18" t="str">
        <f>IF($K1103="","",IFERROR(VLOOKUP(--SUBSTITUTE(SUBSTITUTE(TRIM($K1103),"-","")," ",""),마스터시트!$A$2:$H$1946,2,FALSE),"미등록"))</f>
        <v/>
      </c>
      <c r="N1103" s="53" t="str">
        <f>IF($K1103="","",IFERROR(VLOOKUP(--SUBSTITUTE(SUBSTITUTE(TRIM($K1103),"-","")," ",""),마스터시트!$A$2:$H$1946,3,FALSE),"미등록"))</f>
        <v/>
      </c>
      <c r="O1103" s="18" t="str">
        <f>IF($K1103="","",IFERROR(VLOOKUP(--SUBSTITUTE(SUBSTITUTE(TRIM($K1103),"-","")," ",""),마스터시트!$A$2:$H$1946,4,FALSE),""))</f>
        <v/>
      </c>
      <c r="P1103" s="18" t="str">
        <f>IF($K1103="","",IFERROR(VLOOKUP(--SUBSTITUTE(SUBSTITUTE(TRIM($K1103),"-","")," ",""),마스터시트!$A$2:$H$1946,5,FALSE),""))</f>
        <v/>
      </c>
      <c r="Q1103" s="18" t="str">
        <f>IF($K1103="","",IFERROR(VLOOKUP(--SUBSTITUTE(SUBSTITUTE(TRIM($K1103),"-","")," ",""),마스터시트!$A$2:$H$1946,6,FALSE),""))</f>
        <v/>
      </c>
      <c r="R1103" s="18" t="str">
        <f>IF($K1103="","",IFERROR(VLOOKUP(--SUBSTITUTE(SUBSTITUTE(TRIM($K1103),"-","")," ",""),마스터시트!$A$2:$H$1946,7,FALSE),""))</f>
        <v/>
      </c>
    </row>
    <row r="1104" spans="13:18" x14ac:dyDescent="0.3">
      <c r="M1104" s="18" t="str">
        <f>IF($K1104="","",IFERROR(VLOOKUP(--SUBSTITUTE(SUBSTITUTE(TRIM($K1104),"-","")," ",""),마스터시트!$A$2:$H$1946,2,FALSE),"미등록"))</f>
        <v/>
      </c>
      <c r="N1104" s="53" t="str">
        <f>IF($K1104="","",IFERROR(VLOOKUP(--SUBSTITUTE(SUBSTITUTE(TRIM($K1104),"-","")," ",""),마스터시트!$A$2:$H$1946,3,FALSE),"미등록"))</f>
        <v/>
      </c>
      <c r="O1104" s="18" t="str">
        <f>IF($K1104="","",IFERROR(VLOOKUP(--SUBSTITUTE(SUBSTITUTE(TRIM($K1104),"-","")," ",""),마스터시트!$A$2:$H$1946,4,FALSE),""))</f>
        <v/>
      </c>
      <c r="P1104" s="18" t="str">
        <f>IF($K1104="","",IFERROR(VLOOKUP(--SUBSTITUTE(SUBSTITUTE(TRIM($K1104),"-","")," ",""),마스터시트!$A$2:$H$1946,5,FALSE),""))</f>
        <v/>
      </c>
      <c r="Q1104" s="18" t="str">
        <f>IF($K1104="","",IFERROR(VLOOKUP(--SUBSTITUTE(SUBSTITUTE(TRIM($K1104),"-","")," ",""),마스터시트!$A$2:$H$1946,6,FALSE),""))</f>
        <v/>
      </c>
      <c r="R1104" s="18" t="str">
        <f>IF($K1104="","",IFERROR(VLOOKUP(--SUBSTITUTE(SUBSTITUTE(TRIM($K1104),"-","")," ",""),마스터시트!$A$2:$H$1946,7,FALSE),""))</f>
        <v/>
      </c>
    </row>
    <row r="1105" spans="13:18" x14ac:dyDescent="0.3">
      <c r="M1105" s="18" t="str">
        <f>IF($K1105="","",IFERROR(VLOOKUP(--SUBSTITUTE(SUBSTITUTE(TRIM($K1105),"-","")," ",""),마스터시트!$A$2:$H$1946,2,FALSE),"미등록"))</f>
        <v/>
      </c>
      <c r="N1105" s="53" t="str">
        <f>IF($K1105="","",IFERROR(VLOOKUP(--SUBSTITUTE(SUBSTITUTE(TRIM($K1105),"-","")," ",""),마스터시트!$A$2:$H$1946,3,FALSE),"미등록"))</f>
        <v/>
      </c>
      <c r="O1105" s="18" t="str">
        <f>IF($K1105="","",IFERROR(VLOOKUP(--SUBSTITUTE(SUBSTITUTE(TRIM($K1105),"-","")," ",""),마스터시트!$A$2:$H$1946,4,FALSE),""))</f>
        <v/>
      </c>
      <c r="P1105" s="18" t="str">
        <f>IF($K1105="","",IFERROR(VLOOKUP(--SUBSTITUTE(SUBSTITUTE(TRIM($K1105),"-","")," ",""),마스터시트!$A$2:$H$1946,5,FALSE),""))</f>
        <v/>
      </c>
      <c r="Q1105" s="18" t="str">
        <f>IF($K1105="","",IFERROR(VLOOKUP(--SUBSTITUTE(SUBSTITUTE(TRIM($K1105),"-","")," ",""),마스터시트!$A$2:$H$1946,6,FALSE),""))</f>
        <v/>
      </c>
      <c r="R1105" s="18" t="str">
        <f>IF($K1105="","",IFERROR(VLOOKUP(--SUBSTITUTE(SUBSTITUTE(TRIM($K1105),"-","")," ",""),마스터시트!$A$2:$H$1946,7,FALSE),""))</f>
        <v/>
      </c>
    </row>
    <row r="1106" spans="13:18" x14ac:dyDescent="0.3">
      <c r="M1106" s="18" t="str">
        <f>IF($K1106="","",IFERROR(VLOOKUP(--SUBSTITUTE(SUBSTITUTE(TRIM($K1106),"-","")," ",""),마스터시트!$A$2:$H$1946,2,FALSE),"미등록"))</f>
        <v/>
      </c>
      <c r="N1106" s="53" t="str">
        <f>IF($K1106="","",IFERROR(VLOOKUP(--SUBSTITUTE(SUBSTITUTE(TRIM($K1106),"-","")," ",""),마스터시트!$A$2:$H$1946,3,FALSE),"미등록"))</f>
        <v/>
      </c>
      <c r="O1106" s="18" t="str">
        <f>IF($K1106="","",IFERROR(VLOOKUP(--SUBSTITUTE(SUBSTITUTE(TRIM($K1106),"-","")," ",""),마스터시트!$A$2:$H$1946,4,FALSE),""))</f>
        <v/>
      </c>
      <c r="P1106" s="18" t="str">
        <f>IF($K1106="","",IFERROR(VLOOKUP(--SUBSTITUTE(SUBSTITUTE(TRIM($K1106),"-","")," ",""),마스터시트!$A$2:$H$1946,5,FALSE),""))</f>
        <v/>
      </c>
      <c r="Q1106" s="18" t="str">
        <f>IF($K1106="","",IFERROR(VLOOKUP(--SUBSTITUTE(SUBSTITUTE(TRIM($K1106),"-","")," ",""),마스터시트!$A$2:$H$1946,6,FALSE),""))</f>
        <v/>
      </c>
      <c r="R1106" s="18" t="str">
        <f>IF($K1106="","",IFERROR(VLOOKUP(--SUBSTITUTE(SUBSTITUTE(TRIM($K1106),"-","")," ",""),마스터시트!$A$2:$H$1946,7,FALSE),""))</f>
        <v/>
      </c>
    </row>
    <row r="1107" spans="13:18" x14ac:dyDescent="0.3">
      <c r="M1107" s="18" t="str">
        <f>IF($K1107="","",IFERROR(VLOOKUP(--SUBSTITUTE(SUBSTITUTE(TRIM($K1107),"-","")," ",""),마스터시트!$A$2:$H$1946,2,FALSE),"미등록"))</f>
        <v/>
      </c>
      <c r="N1107" s="53" t="str">
        <f>IF($K1107="","",IFERROR(VLOOKUP(--SUBSTITUTE(SUBSTITUTE(TRIM($K1107),"-","")," ",""),마스터시트!$A$2:$H$1946,3,FALSE),"미등록"))</f>
        <v/>
      </c>
      <c r="O1107" s="18" t="str">
        <f>IF($K1107="","",IFERROR(VLOOKUP(--SUBSTITUTE(SUBSTITUTE(TRIM($K1107),"-","")," ",""),마스터시트!$A$2:$H$1946,4,FALSE),""))</f>
        <v/>
      </c>
      <c r="P1107" s="18" t="str">
        <f>IF($K1107="","",IFERROR(VLOOKUP(--SUBSTITUTE(SUBSTITUTE(TRIM($K1107),"-","")," ",""),마스터시트!$A$2:$H$1946,5,FALSE),""))</f>
        <v/>
      </c>
      <c r="Q1107" s="18" t="str">
        <f>IF($K1107="","",IFERROR(VLOOKUP(--SUBSTITUTE(SUBSTITUTE(TRIM($K1107),"-","")," ",""),마스터시트!$A$2:$H$1946,6,FALSE),""))</f>
        <v/>
      </c>
      <c r="R1107" s="18" t="str">
        <f>IF($K1107="","",IFERROR(VLOOKUP(--SUBSTITUTE(SUBSTITUTE(TRIM($K1107),"-","")," ",""),마스터시트!$A$2:$H$1946,7,FALSE),""))</f>
        <v/>
      </c>
    </row>
    <row r="1108" spans="13:18" x14ac:dyDescent="0.3">
      <c r="M1108" s="18" t="str">
        <f>IF($K1108="","",IFERROR(VLOOKUP(--SUBSTITUTE(SUBSTITUTE(TRIM($K1108),"-","")," ",""),마스터시트!$A$2:$H$1946,2,FALSE),"미등록"))</f>
        <v/>
      </c>
      <c r="N1108" s="53" t="str">
        <f>IF($K1108="","",IFERROR(VLOOKUP(--SUBSTITUTE(SUBSTITUTE(TRIM($K1108),"-","")," ",""),마스터시트!$A$2:$H$1946,3,FALSE),"미등록"))</f>
        <v/>
      </c>
      <c r="O1108" s="18" t="str">
        <f>IF($K1108="","",IFERROR(VLOOKUP(--SUBSTITUTE(SUBSTITUTE(TRIM($K1108),"-","")," ",""),마스터시트!$A$2:$H$1946,4,FALSE),""))</f>
        <v/>
      </c>
      <c r="P1108" s="18" t="str">
        <f>IF($K1108="","",IFERROR(VLOOKUP(--SUBSTITUTE(SUBSTITUTE(TRIM($K1108),"-","")," ",""),마스터시트!$A$2:$H$1946,5,FALSE),""))</f>
        <v/>
      </c>
      <c r="Q1108" s="18" t="str">
        <f>IF($K1108="","",IFERROR(VLOOKUP(--SUBSTITUTE(SUBSTITUTE(TRIM($K1108),"-","")," ",""),마스터시트!$A$2:$H$1946,6,FALSE),""))</f>
        <v/>
      </c>
      <c r="R1108" s="18" t="str">
        <f>IF($K1108="","",IFERROR(VLOOKUP(--SUBSTITUTE(SUBSTITUTE(TRIM($K1108),"-","")," ",""),마스터시트!$A$2:$H$1946,7,FALSE),""))</f>
        <v/>
      </c>
    </row>
    <row r="1109" spans="13:18" x14ac:dyDescent="0.3">
      <c r="M1109" s="18" t="str">
        <f>IF($K1109="","",IFERROR(VLOOKUP(--SUBSTITUTE(SUBSTITUTE(TRIM($K1109),"-","")," ",""),마스터시트!$A$2:$H$1946,2,FALSE),"미등록"))</f>
        <v/>
      </c>
      <c r="N1109" s="53" t="str">
        <f>IF($K1109="","",IFERROR(VLOOKUP(--SUBSTITUTE(SUBSTITUTE(TRIM($K1109),"-","")," ",""),마스터시트!$A$2:$H$1946,3,FALSE),"미등록"))</f>
        <v/>
      </c>
      <c r="O1109" s="18" t="str">
        <f>IF($K1109="","",IFERROR(VLOOKUP(--SUBSTITUTE(SUBSTITUTE(TRIM($K1109),"-","")," ",""),마스터시트!$A$2:$H$1946,4,FALSE),""))</f>
        <v/>
      </c>
      <c r="P1109" s="18" t="str">
        <f>IF($K1109="","",IFERROR(VLOOKUP(--SUBSTITUTE(SUBSTITUTE(TRIM($K1109),"-","")," ",""),마스터시트!$A$2:$H$1946,5,FALSE),""))</f>
        <v/>
      </c>
      <c r="Q1109" s="18" t="str">
        <f>IF($K1109="","",IFERROR(VLOOKUP(--SUBSTITUTE(SUBSTITUTE(TRIM($K1109),"-","")," ",""),마스터시트!$A$2:$H$1946,6,FALSE),""))</f>
        <v/>
      </c>
      <c r="R1109" s="18" t="str">
        <f>IF($K1109="","",IFERROR(VLOOKUP(--SUBSTITUTE(SUBSTITUTE(TRIM($K1109),"-","")," ",""),마스터시트!$A$2:$H$1946,7,FALSE),""))</f>
        <v/>
      </c>
    </row>
    <row r="1110" spans="13:18" x14ac:dyDescent="0.3">
      <c r="M1110" s="18" t="str">
        <f>IF($K1110="","",IFERROR(VLOOKUP(--SUBSTITUTE(SUBSTITUTE(TRIM($K1110),"-","")," ",""),마스터시트!$A$2:$H$1946,2,FALSE),"미등록"))</f>
        <v/>
      </c>
      <c r="N1110" s="53" t="str">
        <f>IF($K1110="","",IFERROR(VLOOKUP(--SUBSTITUTE(SUBSTITUTE(TRIM($K1110),"-","")," ",""),마스터시트!$A$2:$H$1946,3,FALSE),"미등록"))</f>
        <v/>
      </c>
      <c r="O1110" s="18" t="str">
        <f>IF($K1110="","",IFERROR(VLOOKUP(--SUBSTITUTE(SUBSTITUTE(TRIM($K1110),"-","")," ",""),마스터시트!$A$2:$H$1946,4,FALSE),""))</f>
        <v/>
      </c>
      <c r="P1110" s="18" t="str">
        <f>IF($K1110="","",IFERROR(VLOOKUP(--SUBSTITUTE(SUBSTITUTE(TRIM($K1110),"-","")," ",""),마스터시트!$A$2:$H$1946,5,FALSE),""))</f>
        <v/>
      </c>
      <c r="Q1110" s="18" t="str">
        <f>IF($K1110="","",IFERROR(VLOOKUP(--SUBSTITUTE(SUBSTITUTE(TRIM($K1110),"-","")," ",""),마스터시트!$A$2:$H$1946,6,FALSE),""))</f>
        <v/>
      </c>
      <c r="R1110" s="18" t="str">
        <f>IF($K1110="","",IFERROR(VLOOKUP(--SUBSTITUTE(SUBSTITUTE(TRIM($K1110),"-","")," ",""),마스터시트!$A$2:$H$1946,7,FALSE),""))</f>
        <v/>
      </c>
    </row>
    <row r="1111" spans="13:18" x14ac:dyDescent="0.3">
      <c r="M1111" s="18" t="str">
        <f>IF($K1111="","",IFERROR(VLOOKUP(--SUBSTITUTE(SUBSTITUTE(TRIM($K1111),"-","")," ",""),마스터시트!$A$2:$H$1946,2,FALSE),"미등록"))</f>
        <v/>
      </c>
      <c r="N1111" s="53" t="str">
        <f>IF($K1111="","",IFERROR(VLOOKUP(--SUBSTITUTE(SUBSTITUTE(TRIM($K1111),"-","")," ",""),마스터시트!$A$2:$H$1946,3,FALSE),"미등록"))</f>
        <v/>
      </c>
      <c r="O1111" s="18" t="str">
        <f>IF($K1111="","",IFERROR(VLOOKUP(--SUBSTITUTE(SUBSTITUTE(TRIM($K1111),"-","")," ",""),마스터시트!$A$2:$H$1946,4,FALSE),""))</f>
        <v/>
      </c>
      <c r="P1111" s="18" t="str">
        <f>IF($K1111="","",IFERROR(VLOOKUP(--SUBSTITUTE(SUBSTITUTE(TRIM($K1111),"-","")," ",""),마스터시트!$A$2:$H$1946,5,FALSE),""))</f>
        <v/>
      </c>
      <c r="Q1111" s="18" t="str">
        <f>IF($K1111="","",IFERROR(VLOOKUP(--SUBSTITUTE(SUBSTITUTE(TRIM($K1111),"-","")," ",""),마스터시트!$A$2:$H$1946,6,FALSE),""))</f>
        <v/>
      </c>
      <c r="R1111" s="18" t="str">
        <f>IF($K1111="","",IFERROR(VLOOKUP(--SUBSTITUTE(SUBSTITUTE(TRIM($K1111),"-","")," ",""),마스터시트!$A$2:$H$1946,7,FALSE),""))</f>
        <v/>
      </c>
    </row>
    <row r="1112" spans="13:18" x14ac:dyDescent="0.3">
      <c r="M1112" s="18" t="str">
        <f>IF($K1112="","",IFERROR(VLOOKUP(--SUBSTITUTE(SUBSTITUTE(TRIM($K1112),"-","")," ",""),마스터시트!$A$2:$H$1946,2,FALSE),"미등록"))</f>
        <v/>
      </c>
      <c r="N1112" s="53" t="str">
        <f>IF($K1112="","",IFERROR(VLOOKUP(--SUBSTITUTE(SUBSTITUTE(TRIM($K1112),"-","")," ",""),마스터시트!$A$2:$H$1946,3,FALSE),"미등록"))</f>
        <v/>
      </c>
      <c r="O1112" s="18" t="str">
        <f>IF($K1112="","",IFERROR(VLOOKUP(--SUBSTITUTE(SUBSTITUTE(TRIM($K1112),"-","")," ",""),마스터시트!$A$2:$H$1946,4,FALSE),""))</f>
        <v/>
      </c>
      <c r="P1112" s="18" t="str">
        <f>IF($K1112="","",IFERROR(VLOOKUP(--SUBSTITUTE(SUBSTITUTE(TRIM($K1112),"-","")," ",""),마스터시트!$A$2:$H$1946,5,FALSE),""))</f>
        <v/>
      </c>
      <c r="Q1112" s="18" t="str">
        <f>IF($K1112="","",IFERROR(VLOOKUP(--SUBSTITUTE(SUBSTITUTE(TRIM($K1112),"-","")," ",""),마스터시트!$A$2:$H$1946,6,FALSE),""))</f>
        <v/>
      </c>
      <c r="R1112" s="18" t="str">
        <f>IF($K1112="","",IFERROR(VLOOKUP(--SUBSTITUTE(SUBSTITUTE(TRIM($K1112),"-","")," ",""),마스터시트!$A$2:$H$1946,7,FALSE),""))</f>
        <v/>
      </c>
    </row>
    <row r="1113" spans="13:18" x14ac:dyDescent="0.3">
      <c r="M1113" s="18" t="str">
        <f>IF($K1113="","",IFERROR(VLOOKUP(--SUBSTITUTE(SUBSTITUTE(TRIM($K1113),"-","")," ",""),마스터시트!$A$2:$H$1946,2,FALSE),"미등록"))</f>
        <v/>
      </c>
      <c r="N1113" s="53" t="str">
        <f>IF($K1113="","",IFERROR(VLOOKUP(--SUBSTITUTE(SUBSTITUTE(TRIM($K1113),"-","")," ",""),마스터시트!$A$2:$H$1946,3,FALSE),"미등록"))</f>
        <v/>
      </c>
      <c r="O1113" s="18" t="str">
        <f>IF($K1113="","",IFERROR(VLOOKUP(--SUBSTITUTE(SUBSTITUTE(TRIM($K1113),"-","")," ",""),마스터시트!$A$2:$H$1946,4,FALSE),""))</f>
        <v/>
      </c>
      <c r="P1113" s="18" t="str">
        <f>IF($K1113="","",IFERROR(VLOOKUP(--SUBSTITUTE(SUBSTITUTE(TRIM($K1113),"-","")," ",""),마스터시트!$A$2:$H$1946,5,FALSE),""))</f>
        <v/>
      </c>
      <c r="Q1113" s="18" t="str">
        <f>IF($K1113="","",IFERROR(VLOOKUP(--SUBSTITUTE(SUBSTITUTE(TRIM($K1113),"-","")," ",""),마스터시트!$A$2:$H$1946,6,FALSE),""))</f>
        <v/>
      </c>
      <c r="R1113" s="18" t="str">
        <f>IF($K1113="","",IFERROR(VLOOKUP(--SUBSTITUTE(SUBSTITUTE(TRIM($K1113),"-","")," ",""),마스터시트!$A$2:$H$1946,7,FALSE),""))</f>
        <v/>
      </c>
    </row>
    <row r="1114" spans="13:18" x14ac:dyDescent="0.3">
      <c r="M1114" s="18" t="str">
        <f>IF($K1114="","",IFERROR(VLOOKUP(--SUBSTITUTE(SUBSTITUTE(TRIM($K1114),"-","")," ",""),마스터시트!$A$2:$H$1946,2,FALSE),"미등록"))</f>
        <v/>
      </c>
      <c r="N1114" s="53" t="str">
        <f>IF($K1114="","",IFERROR(VLOOKUP(--SUBSTITUTE(SUBSTITUTE(TRIM($K1114),"-","")," ",""),마스터시트!$A$2:$H$1946,3,FALSE),"미등록"))</f>
        <v/>
      </c>
      <c r="O1114" s="18" t="str">
        <f>IF($K1114="","",IFERROR(VLOOKUP(--SUBSTITUTE(SUBSTITUTE(TRIM($K1114),"-","")," ",""),마스터시트!$A$2:$H$1946,4,FALSE),""))</f>
        <v/>
      </c>
      <c r="P1114" s="18" t="str">
        <f>IF($K1114="","",IFERROR(VLOOKUP(--SUBSTITUTE(SUBSTITUTE(TRIM($K1114),"-","")," ",""),마스터시트!$A$2:$H$1946,5,FALSE),""))</f>
        <v/>
      </c>
      <c r="Q1114" s="18" t="str">
        <f>IF($K1114="","",IFERROR(VLOOKUP(--SUBSTITUTE(SUBSTITUTE(TRIM($K1114),"-","")," ",""),마스터시트!$A$2:$H$1946,6,FALSE),""))</f>
        <v/>
      </c>
      <c r="R1114" s="18" t="str">
        <f>IF($K1114="","",IFERROR(VLOOKUP(--SUBSTITUTE(SUBSTITUTE(TRIM($K1114),"-","")," ",""),마스터시트!$A$2:$H$1946,7,FALSE),""))</f>
        <v/>
      </c>
    </row>
    <row r="1115" spans="13:18" x14ac:dyDescent="0.3">
      <c r="M1115" s="18" t="str">
        <f>IF($K1115="","",IFERROR(VLOOKUP(--SUBSTITUTE(SUBSTITUTE(TRIM($K1115),"-","")," ",""),마스터시트!$A$2:$H$1946,2,FALSE),"미등록"))</f>
        <v/>
      </c>
      <c r="N1115" s="53" t="str">
        <f>IF($K1115="","",IFERROR(VLOOKUP(--SUBSTITUTE(SUBSTITUTE(TRIM($K1115),"-","")," ",""),마스터시트!$A$2:$H$1946,3,FALSE),"미등록"))</f>
        <v/>
      </c>
      <c r="O1115" s="18" t="str">
        <f>IF($K1115="","",IFERROR(VLOOKUP(--SUBSTITUTE(SUBSTITUTE(TRIM($K1115),"-","")," ",""),마스터시트!$A$2:$H$1946,4,FALSE),""))</f>
        <v/>
      </c>
      <c r="P1115" s="18" t="str">
        <f>IF($K1115="","",IFERROR(VLOOKUP(--SUBSTITUTE(SUBSTITUTE(TRIM($K1115),"-","")," ",""),마스터시트!$A$2:$H$1946,5,FALSE),""))</f>
        <v/>
      </c>
      <c r="Q1115" s="18" t="str">
        <f>IF($K1115="","",IFERROR(VLOOKUP(--SUBSTITUTE(SUBSTITUTE(TRIM($K1115),"-","")," ",""),마스터시트!$A$2:$H$1946,6,FALSE),""))</f>
        <v/>
      </c>
      <c r="R1115" s="18" t="str">
        <f>IF($K1115="","",IFERROR(VLOOKUP(--SUBSTITUTE(SUBSTITUTE(TRIM($K1115),"-","")," ",""),마스터시트!$A$2:$H$1946,7,FALSE),""))</f>
        <v/>
      </c>
    </row>
    <row r="1116" spans="13:18" x14ac:dyDescent="0.3">
      <c r="M1116" s="18" t="str">
        <f>IF($K1116="","",IFERROR(VLOOKUP(--SUBSTITUTE(SUBSTITUTE(TRIM($K1116),"-","")," ",""),마스터시트!$A$2:$H$1946,2,FALSE),"미등록"))</f>
        <v/>
      </c>
      <c r="N1116" s="53" t="str">
        <f>IF($K1116="","",IFERROR(VLOOKUP(--SUBSTITUTE(SUBSTITUTE(TRIM($K1116),"-","")," ",""),마스터시트!$A$2:$H$1946,3,FALSE),"미등록"))</f>
        <v/>
      </c>
      <c r="O1116" s="18" t="str">
        <f>IF($K1116="","",IFERROR(VLOOKUP(--SUBSTITUTE(SUBSTITUTE(TRIM($K1116),"-","")," ",""),마스터시트!$A$2:$H$1946,4,FALSE),""))</f>
        <v/>
      </c>
      <c r="P1116" s="18" t="str">
        <f>IF($K1116="","",IFERROR(VLOOKUP(--SUBSTITUTE(SUBSTITUTE(TRIM($K1116),"-","")," ",""),마스터시트!$A$2:$H$1946,5,FALSE),""))</f>
        <v/>
      </c>
      <c r="Q1116" s="18" t="str">
        <f>IF($K1116="","",IFERROR(VLOOKUP(--SUBSTITUTE(SUBSTITUTE(TRIM($K1116),"-","")," ",""),마스터시트!$A$2:$H$1946,6,FALSE),""))</f>
        <v/>
      </c>
      <c r="R1116" s="18" t="str">
        <f>IF($K1116="","",IFERROR(VLOOKUP(--SUBSTITUTE(SUBSTITUTE(TRIM($K1116),"-","")," ",""),마스터시트!$A$2:$H$1946,7,FALSE),""))</f>
        <v/>
      </c>
    </row>
    <row r="1117" spans="13:18" x14ac:dyDescent="0.3">
      <c r="M1117" s="18" t="str">
        <f>IF($K1117="","",IFERROR(VLOOKUP(--SUBSTITUTE(SUBSTITUTE(TRIM($K1117),"-","")," ",""),마스터시트!$A$2:$H$1946,2,FALSE),"미등록"))</f>
        <v/>
      </c>
      <c r="N1117" s="53" t="str">
        <f>IF($K1117="","",IFERROR(VLOOKUP(--SUBSTITUTE(SUBSTITUTE(TRIM($K1117),"-","")," ",""),마스터시트!$A$2:$H$1946,3,FALSE),"미등록"))</f>
        <v/>
      </c>
      <c r="O1117" s="18" t="str">
        <f>IF($K1117="","",IFERROR(VLOOKUP(--SUBSTITUTE(SUBSTITUTE(TRIM($K1117),"-","")," ",""),마스터시트!$A$2:$H$1946,4,FALSE),""))</f>
        <v/>
      </c>
      <c r="P1117" s="18" t="str">
        <f>IF($K1117="","",IFERROR(VLOOKUP(--SUBSTITUTE(SUBSTITUTE(TRIM($K1117),"-","")," ",""),마스터시트!$A$2:$H$1946,5,FALSE),""))</f>
        <v/>
      </c>
      <c r="Q1117" s="18" t="str">
        <f>IF($K1117="","",IFERROR(VLOOKUP(--SUBSTITUTE(SUBSTITUTE(TRIM($K1117),"-","")," ",""),마스터시트!$A$2:$H$1946,6,FALSE),""))</f>
        <v/>
      </c>
      <c r="R1117" s="18" t="str">
        <f>IF($K1117="","",IFERROR(VLOOKUP(--SUBSTITUTE(SUBSTITUTE(TRIM($K1117),"-","")," ",""),마스터시트!$A$2:$H$1946,7,FALSE),""))</f>
        <v/>
      </c>
    </row>
    <row r="1118" spans="13:18" x14ac:dyDescent="0.3">
      <c r="M1118" s="18" t="str">
        <f>IF($K1118="","",IFERROR(VLOOKUP(--SUBSTITUTE(SUBSTITUTE(TRIM($K1118),"-","")," ",""),마스터시트!$A$2:$H$1946,2,FALSE),"미등록"))</f>
        <v/>
      </c>
      <c r="N1118" s="53" t="str">
        <f>IF($K1118="","",IFERROR(VLOOKUP(--SUBSTITUTE(SUBSTITUTE(TRIM($K1118),"-","")," ",""),마스터시트!$A$2:$H$1946,3,FALSE),"미등록"))</f>
        <v/>
      </c>
      <c r="O1118" s="18" t="str">
        <f>IF($K1118="","",IFERROR(VLOOKUP(--SUBSTITUTE(SUBSTITUTE(TRIM($K1118),"-","")," ",""),마스터시트!$A$2:$H$1946,4,FALSE),""))</f>
        <v/>
      </c>
      <c r="P1118" s="18" t="str">
        <f>IF($K1118="","",IFERROR(VLOOKUP(--SUBSTITUTE(SUBSTITUTE(TRIM($K1118),"-","")," ",""),마스터시트!$A$2:$H$1946,5,FALSE),""))</f>
        <v/>
      </c>
      <c r="Q1118" s="18" t="str">
        <f>IF($K1118="","",IFERROR(VLOOKUP(--SUBSTITUTE(SUBSTITUTE(TRIM($K1118),"-","")," ",""),마스터시트!$A$2:$H$1946,6,FALSE),""))</f>
        <v/>
      </c>
      <c r="R1118" s="18" t="str">
        <f>IF($K1118="","",IFERROR(VLOOKUP(--SUBSTITUTE(SUBSTITUTE(TRIM($K1118),"-","")," ",""),마스터시트!$A$2:$H$1946,7,FALSE),""))</f>
        <v/>
      </c>
    </row>
    <row r="1119" spans="13:18" x14ac:dyDescent="0.3">
      <c r="M1119" s="18" t="str">
        <f>IF($K1119="","",IFERROR(VLOOKUP(--SUBSTITUTE(SUBSTITUTE(TRIM($K1119),"-","")," ",""),마스터시트!$A$2:$H$1946,2,FALSE),"미등록"))</f>
        <v/>
      </c>
      <c r="N1119" s="53" t="str">
        <f>IF($K1119="","",IFERROR(VLOOKUP(--SUBSTITUTE(SUBSTITUTE(TRIM($K1119),"-","")," ",""),마스터시트!$A$2:$H$1946,3,FALSE),"미등록"))</f>
        <v/>
      </c>
      <c r="O1119" s="18" t="str">
        <f>IF($K1119="","",IFERROR(VLOOKUP(--SUBSTITUTE(SUBSTITUTE(TRIM($K1119),"-","")," ",""),마스터시트!$A$2:$H$1946,4,FALSE),""))</f>
        <v/>
      </c>
      <c r="P1119" s="18" t="str">
        <f>IF($K1119="","",IFERROR(VLOOKUP(--SUBSTITUTE(SUBSTITUTE(TRIM($K1119),"-","")," ",""),마스터시트!$A$2:$H$1946,5,FALSE),""))</f>
        <v/>
      </c>
      <c r="Q1119" s="18" t="str">
        <f>IF($K1119="","",IFERROR(VLOOKUP(--SUBSTITUTE(SUBSTITUTE(TRIM($K1119),"-","")," ",""),마스터시트!$A$2:$H$1946,6,FALSE),""))</f>
        <v/>
      </c>
      <c r="R1119" s="18" t="str">
        <f>IF($K1119="","",IFERROR(VLOOKUP(--SUBSTITUTE(SUBSTITUTE(TRIM($K1119),"-","")," ",""),마스터시트!$A$2:$H$1946,7,FALSE),""))</f>
        <v/>
      </c>
    </row>
    <row r="1120" spans="13:18" x14ac:dyDescent="0.3">
      <c r="M1120" s="18" t="str">
        <f>IF($K1120="","",IFERROR(VLOOKUP(--SUBSTITUTE(SUBSTITUTE(TRIM($K1120),"-","")," ",""),마스터시트!$A$2:$H$1946,2,FALSE),"미등록"))</f>
        <v/>
      </c>
      <c r="N1120" s="53" t="str">
        <f>IF($K1120="","",IFERROR(VLOOKUP(--SUBSTITUTE(SUBSTITUTE(TRIM($K1120),"-","")," ",""),마스터시트!$A$2:$H$1946,3,FALSE),"미등록"))</f>
        <v/>
      </c>
      <c r="O1120" s="18" t="str">
        <f>IF($K1120="","",IFERROR(VLOOKUP(--SUBSTITUTE(SUBSTITUTE(TRIM($K1120),"-","")," ",""),마스터시트!$A$2:$H$1946,4,FALSE),""))</f>
        <v/>
      </c>
      <c r="P1120" s="18" t="str">
        <f>IF($K1120="","",IFERROR(VLOOKUP(--SUBSTITUTE(SUBSTITUTE(TRIM($K1120),"-","")," ",""),마스터시트!$A$2:$H$1946,5,FALSE),""))</f>
        <v/>
      </c>
      <c r="Q1120" s="18" t="str">
        <f>IF($K1120="","",IFERROR(VLOOKUP(--SUBSTITUTE(SUBSTITUTE(TRIM($K1120),"-","")," ",""),마스터시트!$A$2:$H$1946,6,FALSE),""))</f>
        <v/>
      </c>
      <c r="R1120" s="18" t="str">
        <f>IF($K1120="","",IFERROR(VLOOKUP(--SUBSTITUTE(SUBSTITUTE(TRIM($K1120),"-","")," ",""),마스터시트!$A$2:$H$1946,7,FALSE),""))</f>
        <v/>
      </c>
    </row>
    <row r="1121" spans="13:18" x14ac:dyDescent="0.3">
      <c r="M1121" s="18" t="str">
        <f>IF($K1121="","",IFERROR(VLOOKUP(--SUBSTITUTE(SUBSTITUTE(TRIM($K1121),"-","")," ",""),마스터시트!$A$2:$H$1946,2,FALSE),"미등록"))</f>
        <v/>
      </c>
      <c r="N1121" s="53" t="str">
        <f>IF($K1121="","",IFERROR(VLOOKUP(--SUBSTITUTE(SUBSTITUTE(TRIM($K1121),"-","")," ",""),마스터시트!$A$2:$H$1946,3,FALSE),"미등록"))</f>
        <v/>
      </c>
      <c r="O1121" s="18" t="str">
        <f>IF($K1121="","",IFERROR(VLOOKUP(--SUBSTITUTE(SUBSTITUTE(TRIM($K1121),"-","")," ",""),마스터시트!$A$2:$H$1946,4,FALSE),""))</f>
        <v/>
      </c>
      <c r="P1121" s="18" t="str">
        <f>IF($K1121="","",IFERROR(VLOOKUP(--SUBSTITUTE(SUBSTITUTE(TRIM($K1121),"-","")," ",""),마스터시트!$A$2:$H$1946,5,FALSE),""))</f>
        <v/>
      </c>
      <c r="Q1121" s="18" t="str">
        <f>IF($K1121="","",IFERROR(VLOOKUP(--SUBSTITUTE(SUBSTITUTE(TRIM($K1121),"-","")," ",""),마스터시트!$A$2:$H$1946,6,FALSE),""))</f>
        <v/>
      </c>
      <c r="R1121" s="18" t="str">
        <f>IF($K1121="","",IFERROR(VLOOKUP(--SUBSTITUTE(SUBSTITUTE(TRIM($K1121),"-","")," ",""),마스터시트!$A$2:$H$1946,7,FALSE),""))</f>
        <v/>
      </c>
    </row>
    <row r="1122" spans="13:18" x14ac:dyDescent="0.3">
      <c r="M1122" s="18" t="str">
        <f>IF($K1122="","",IFERROR(VLOOKUP(--SUBSTITUTE(SUBSTITUTE(TRIM($K1122),"-","")," ",""),마스터시트!$A$2:$H$1946,2,FALSE),"미등록"))</f>
        <v/>
      </c>
      <c r="N1122" s="53" t="str">
        <f>IF($K1122="","",IFERROR(VLOOKUP(--SUBSTITUTE(SUBSTITUTE(TRIM($K1122),"-","")," ",""),마스터시트!$A$2:$H$1946,3,FALSE),"미등록"))</f>
        <v/>
      </c>
      <c r="O1122" s="18" t="str">
        <f>IF($K1122="","",IFERROR(VLOOKUP(--SUBSTITUTE(SUBSTITUTE(TRIM($K1122),"-","")," ",""),마스터시트!$A$2:$H$1946,4,FALSE),""))</f>
        <v/>
      </c>
      <c r="P1122" s="18" t="str">
        <f>IF($K1122="","",IFERROR(VLOOKUP(--SUBSTITUTE(SUBSTITUTE(TRIM($K1122),"-","")," ",""),마스터시트!$A$2:$H$1946,5,FALSE),""))</f>
        <v/>
      </c>
      <c r="Q1122" s="18" t="str">
        <f>IF($K1122="","",IFERROR(VLOOKUP(--SUBSTITUTE(SUBSTITUTE(TRIM($K1122),"-","")," ",""),마스터시트!$A$2:$H$1946,6,FALSE),""))</f>
        <v/>
      </c>
      <c r="R1122" s="18" t="str">
        <f>IF($K1122="","",IFERROR(VLOOKUP(--SUBSTITUTE(SUBSTITUTE(TRIM($K1122),"-","")," ",""),마스터시트!$A$2:$H$1946,7,FALSE),""))</f>
        <v/>
      </c>
    </row>
    <row r="1123" spans="13:18" x14ac:dyDescent="0.3">
      <c r="M1123" s="18" t="str">
        <f>IF($K1123="","",IFERROR(VLOOKUP(--SUBSTITUTE(SUBSTITUTE(TRIM($K1123),"-","")," ",""),마스터시트!$A$2:$H$1946,2,FALSE),"미등록"))</f>
        <v/>
      </c>
      <c r="N1123" s="53" t="str">
        <f>IF($K1123="","",IFERROR(VLOOKUP(--SUBSTITUTE(SUBSTITUTE(TRIM($K1123),"-","")," ",""),마스터시트!$A$2:$H$1946,3,FALSE),"미등록"))</f>
        <v/>
      </c>
      <c r="O1123" s="18" t="str">
        <f>IF($K1123="","",IFERROR(VLOOKUP(--SUBSTITUTE(SUBSTITUTE(TRIM($K1123),"-","")," ",""),마스터시트!$A$2:$H$1946,4,FALSE),""))</f>
        <v/>
      </c>
      <c r="P1123" s="18" t="str">
        <f>IF($K1123="","",IFERROR(VLOOKUP(--SUBSTITUTE(SUBSTITUTE(TRIM($K1123),"-","")," ",""),마스터시트!$A$2:$H$1946,5,FALSE),""))</f>
        <v/>
      </c>
      <c r="Q1123" s="18" t="str">
        <f>IF($K1123="","",IFERROR(VLOOKUP(--SUBSTITUTE(SUBSTITUTE(TRIM($K1123),"-","")," ",""),마스터시트!$A$2:$H$1946,6,FALSE),""))</f>
        <v/>
      </c>
      <c r="R1123" s="18" t="str">
        <f>IF($K1123="","",IFERROR(VLOOKUP(--SUBSTITUTE(SUBSTITUTE(TRIM($K1123),"-","")," ",""),마스터시트!$A$2:$H$1946,7,FALSE),""))</f>
        <v/>
      </c>
    </row>
    <row r="1124" spans="13:18" x14ac:dyDescent="0.3">
      <c r="M1124" s="18" t="str">
        <f>IF($K1124="","",IFERROR(VLOOKUP(--SUBSTITUTE(SUBSTITUTE(TRIM($K1124),"-","")," ",""),마스터시트!$A$2:$H$1946,2,FALSE),"미등록"))</f>
        <v/>
      </c>
      <c r="N1124" s="53" t="str">
        <f>IF($K1124="","",IFERROR(VLOOKUP(--SUBSTITUTE(SUBSTITUTE(TRIM($K1124),"-","")," ",""),마스터시트!$A$2:$H$1946,3,FALSE),"미등록"))</f>
        <v/>
      </c>
      <c r="O1124" s="18" t="str">
        <f>IF($K1124="","",IFERROR(VLOOKUP(--SUBSTITUTE(SUBSTITUTE(TRIM($K1124),"-","")," ",""),마스터시트!$A$2:$H$1946,4,FALSE),""))</f>
        <v/>
      </c>
      <c r="P1124" s="18" t="str">
        <f>IF($K1124="","",IFERROR(VLOOKUP(--SUBSTITUTE(SUBSTITUTE(TRIM($K1124),"-","")," ",""),마스터시트!$A$2:$H$1946,5,FALSE),""))</f>
        <v/>
      </c>
      <c r="Q1124" s="18" t="str">
        <f>IF($K1124="","",IFERROR(VLOOKUP(--SUBSTITUTE(SUBSTITUTE(TRIM($K1124),"-","")," ",""),마스터시트!$A$2:$H$1946,6,FALSE),""))</f>
        <v/>
      </c>
      <c r="R1124" s="18" t="str">
        <f>IF($K1124="","",IFERROR(VLOOKUP(--SUBSTITUTE(SUBSTITUTE(TRIM($K1124),"-","")," ",""),마스터시트!$A$2:$H$1946,7,FALSE),""))</f>
        <v/>
      </c>
    </row>
    <row r="1125" spans="13:18" x14ac:dyDescent="0.3">
      <c r="M1125" s="18" t="str">
        <f>IF($K1125="","",IFERROR(VLOOKUP(--SUBSTITUTE(SUBSTITUTE(TRIM($K1125),"-","")," ",""),마스터시트!$A$2:$H$1946,2,FALSE),"미등록"))</f>
        <v/>
      </c>
      <c r="N1125" s="53" t="str">
        <f>IF($K1125="","",IFERROR(VLOOKUP(--SUBSTITUTE(SUBSTITUTE(TRIM($K1125),"-","")," ",""),마스터시트!$A$2:$H$1946,3,FALSE),"미등록"))</f>
        <v/>
      </c>
      <c r="O1125" s="18" t="str">
        <f>IF($K1125="","",IFERROR(VLOOKUP(--SUBSTITUTE(SUBSTITUTE(TRIM($K1125),"-","")," ",""),마스터시트!$A$2:$H$1946,4,FALSE),""))</f>
        <v/>
      </c>
      <c r="P1125" s="18" t="str">
        <f>IF($K1125="","",IFERROR(VLOOKUP(--SUBSTITUTE(SUBSTITUTE(TRIM($K1125),"-","")," ",""),마스터시트!$A$2:$H$1946,5,FALSE),""))</f>
        <v/>
      </c>
      <c r="Q1125" s="18" t="str">
        <f>IF($K1125="","",IFERROR(VLOOKUP(--SUBSTITUTE(SUBSTITUTE(TRIM($K1125),"-","")," ",""),마스터시트!$A$2:$H$1946,6,FALSE),""))</f>
        <v/>
      </c>
      <c r="R1125" s="18" t="str">
        <f>IF($K1125="","",IFERROR(VLOOKUP(--SUBSTITUTE(SUBSTITUTE(TRIM($K1125),"-","")," ",""),마스터시트!$A$2:$H$1946,7,FALSE),""))</f>
        <v/>
      </c>
    </row>
    <row r="1126" spans="13:18" x14ac:dyDescent="0.3">
      <c r="M1126" s="18" t="str">
        <f>IF($K1126="","",IFERROR(VLOOKUP(--SUBSTITUTE(SUBSTITUTE(TRIM($K1126),"-","")," ",""),마스터시트!$A$2:$H$1946,2,FALSE),"미등록"))</f>
        <v/>
      </c>
      <c r="N1126" s="53" t="str">
        <f>IF($K1126="","",IFERROR(VLOOKUP(--SUBSTITUTE(SUBSTITUTE(TRIM($K1126),"-","")," ",""),마스터시트!$A$2:$H$1946,3,FALSE),"미등록"))</f>
        <v/>
      </c>
      <c r="O1126" s="18" t="str">
        <f>IF($K1126="","",IFERROR(VLOOKUP(--SUBSTITUTE(SUBSTITUTE(TRIM($K1126),"-","")," ",""),마스터시트!$A$2:$H$1946,4,FALSE),""))</f>
        <v/>
      </c>
      <c r="P1126" s="18" t="str">
        <f>IF($K1126="","",IFERROR(VLOOKUP(--SUBSTITUTE(SUBSTITUTE(TRIM($K1126),"-","")," ",""),마스터시트!$A$2:$H$1946,5,FALSE),""))</f>
        <v/>
      </c>
      <c r="Q1126" s="18" t="str">
        <f>IF($K1126="","",IFERROR(VLOOKUP(--SUBSTITUTE(SUBSTITUTE(TRIM($K1126),"-","")," ",""),마스터시트!$A$2:$H$1946,6,FALSE),""))</f>
        <v/>
      </c>
      <c r="R1126" s="18" t="str">
        <f>IF($K1126="","",IFERROR(VLOOKUP(--SUBSTITUTE(SUBSTITUTE(TRIM($K1126),"-","")," ",""),마스터시트!$A$2:$H$1946,7,FALSE),""))</f>
        <v/>
      </c>
    </row>
    <row r="1127" spans="13:18" x14ac:dyDescent="0.3">
      <c r="M1127" s="18" t="str">
        <f>IF($K1127="","",IFERROR(VLOOKUP(--SUBSTITUTE(SUBSTITUTE(TRIM($K1127),"-","")," ",""),마스터시트!$A$2:$H$1946,2,FALSE),"미등록"))</f>
        <v/>
      </c>
      <c r="N1127" s="53" t="str">
        <f>IF($K1127="","",IFERROR(VLOOKUP(--SUBSTITUTE(SUBSTITUTE(TRIM($K1127),"-","")," ",""),마스터시트!$A$2:$H$1946,3,FALSE),"미등록"))</f>
        <v/>
      </c>
      <c r="O1127" s="18" t="str">
        <f>IF($K1127="","",IFERROR(VLOOKUP(--SUBSTITUTE(SUBSTITUTE(TRIM($K1127),"-","")," ",""),마스터시트!$A$2:$H$1946,4,FALSE),""))</f>
        <v/>
      </c>
      <c r="P1127" s="18" t="str">
        <f>IF($K1127="","",IFERROR(VLOOKUP(--SUBSTITUTE(SUBSTITUTE(TRIM($K1127),"-","")," ",""),마스터시트!$A$2:$H$1946,5,FALSE),""))</f>
        <v/>
      </c>
      <c r="Q1127" s="18" t="str">
        <f>IF($K1127="","",IFERROR(VLOOKUP(--SUBSTITUTE(SUBSTITUTE(TRIM($K1127),"-","")," ",""),마스터시트!$A$2:$H$1946,6,FALSE),""))</f>
        <v/>
      </c>
      <c r="R1127" s="18" t="str">
        <f>IF($K1127="","",IFERROR(VLOOKUP(--SUBSTITUTE(SUBSTITUTE(TRIM($K1127),"-","")," ",""),마스터시트!$A$2:$H$1946,7,FALSE),""))</f>
        <v/>
      </c>
    </row>
    <row r="1128" spans="13:18" x14ac:dyDescent="0.3">
      <c r="M1128" s="18" t="str">
        <f>IF($K1128="","",IFERROR(VLOOKUP(--SUBSTITUTE(SUBSTITUTE(TRIM($K1128),"-","")," ",""),마스터시트!$A$2:$H$1946,2,FALSE),"미등록"))</f>
        <v/>
      </c>
      <c r="N1128" s="53" t="str">
        <f>IF($K1128="","",IFERROR(VLOOKUP(--SUBSTITUTE(SUBSTITUTE(TRIM($K1128),"-","")," ",""),마스터시트!$A$2:$H$1946,3,FALSE),"미등록"))</f>
        <v/>
      </c>
      <c r="O1128" s="18" t="str">
        <f>IF($K1128="","",IFERROR(VLOOKUP(--SUBSTITUTE(SUBSTITUTE(TRIM($K1128),"-","")," ",""),마스터시트!$A$2:$H$1946,4,FALSE),""))</f>
        <v/>
      </c>
      <c r="P1128" s="18" t="str">
        <f>IF($K1128="","",IFERROR(VLOOKUP(--SUBSTITUTE(SUBSTITUTE(TRIM($K1128),"-","")," ",""),마스터시트!$A$2:$H$1946,5,FALSE),""))</f>
        <v/>
      </c>
      <c r="Q1128" s="18" t="str">
        <f>IF($K1128="","",IFERROR(VLOOKUP(--SUBSTITUTE(SUBSTITUTE(TRIM($K1128),"-","")," ",""),마스터시트!$A$2:$H$1946,6,FALSE),""))</f>
        <v/>
      </c>
      <c r="R1128" s="18" t="str">
        <f>IF($K1128="","",IFERROR(VLOOKUP(--SUBSTITUTE(SUBSTITUTE(TRIM($K1128),"-","")," ",""),마스터시트!$A$2:$H$1946,7,FALSE),""))</f>
        <v/>
      </c>
    </row>
    <row r="1129" spans="13:18" x14ac:dyDescent="0.3">
      <c r="M1129" s="18" t="str">
        <f>IF($K1129="","",IFERROR(VLOOKUP(--SUBSTITUTE(SUBSTITUTE(TRIM($K1129),"-","")," ",""),마스터시트!$A$2:$H$1946,2,FALSE),"미등록"))</f>
        <v/>
      </c>
      <c r="N1129" s="53" t="str">
        <f>IF($K1129="","",IFERROR(VLOOKUP(--SUBSTITUTE(SUBSTITUTE(TRIM($K1129),"-","")," ",""),마스터시트!$A$2:$H$1946,3,FALSE),"미등록"))</f>
        <v/>
      </c>
      <c r="O1129" s="18" t="str">
        <f>IF($K1129="","",IFERROR(VLOOKUP(--SUBSTITUTE(SUBSTITUTE(TRIM($K1129),"-","")," ",""),마스터시트!$A$2:$H$1946,4,FALSE),""))</f>
        <v/>
      </c>
      <c r="P1129" s="18" t="str">
        <f>IF($K1129="","",IFERROR(VLOOKUP(--SUBSTITUTE(SUBSTITUTE(TRIM($K1129),"-","")," ",""),마스터시트!$A$2:$H$1946,5,FALSE),""))</f>
        <v/>
      </c>
      <c r="Q1129" s="18" t="str">
        <f>IF($K1129="","",IFERROR(VLOOKUP(--SUBSTITUTE(SUBSTITUTE(TRIM($K1129),"-","")," ",""),마스터시트!$A$2:$H$1946,6,FALSE),""))</f>
        <v/>
      </c>
      <c r="R1129" s="18" t="str">
        <f>IF($K1129="","",IFERROR(VLOOKUP(--SUBSTITUTE(SUBSTITUTE(TRIM($K1129),"-","")," ",""),마스터시트!$A$2:$H$1946,7,FALSE),""))</f>
        <v/>
      </c>
    </row>
    <row r="1130" spans="13:18" x14ac:dyDescent="0.3">
      <c r="M1130" s="18" t="str">
        <f>IF($K1130="","",IFERROR(VLOOKUP(--SUBSTITUTE(SUBSTITUTE(TRIM($K1130),"-","")," ",""),마스터시트!$A$2:$H$1946,2,FALSE),"미등록"))</f>
        <v/>
      </c>
      <c r="N1130" s="53" t="str">
        <f>IF($K1130="","",IFERROR(VLOOKUP(--SUBSTITUTE(SUBSTITUTE(TRIM($K1130),"-","")," ",""),마스터시트!$A$2:$H$1946,3,FALSE),"미등록"))</f>
        <v/>
      </c>
      <c r="O1130" s="18" t="str">
        <f>IF($K1130="","",IFERROR(VLOOKUP(--SUBSTITUTE(SUBSTITUTE(TRIM($K1130),"-","")," ",""),마스터시트!$A$2:$H$1946,4,FALSE),""))</f>
        <v/>
      </c>
      <c r="P1130" s="18" t="str">
        <f>IF($K1130="","",IFERROR(VLOOKUP(--SUBSTITUTE(SUBSTITUTE(TRIM($K1130),"-","")," ",""),마스터시트!$A$2:$H$1946,5,FALSE),""))</f>
        <v/>
      </c>
      <c r="Q1130" s="18" t="str">
        <f>IF($K1130="","",IFERROR(VLOOKUP(--SUBSTITUTE(SUBSTITUTE(TRIM($K1130),"-","")," ",""),마스터시트!$A$2:$H$1946,6,FALSE),""))</f>
        <v/>
      </c>
      <c r="R1130" s="18" t="str">
        <f>IF($K1130="","",IFERROR(VLOOKUP(--SUBSTITUTE(SUBSTITUTE(TRIM($K1130),"-","")," ",""),마스터시트!$A$2:$H$1946,7,FALSE),""))</f>
        <v/>
      </c>
    </row>
    <row r="1131" spans="13:18" x14ac:dyDescent="0.3">
      <c r="M1131" s="18" t="str">
        <f>IF($K1131="","",IFERROR(VLOOKUP(--SUBSTITUTE(SUBSTITUTE(TRIM($K1131),"-","")," ",""),마스터시트!$A$2:$H$1946,2,FALSE),"미등록"))</f>
        <v/>
      </c>
      <c r="N1131" s="53" t="str">
        <f>IF($K1131="","",IFERROR(VLOOKUP(--SUBSTITUTE(SUBSTITUTE(TRIM($K1131),"-","")," ",""),마스터시트!$A$2:$H$1946,3,FALSE),"미등록"))</f>
        <v/>
      </c>
      <c r="O1131" s="18" t="str">
        <f>IF($K1131="","",IFERROR(VLOOKUP(--SUBSTITUTE(SUBSTITUTE(TRIM($K1131),"-","")," ",""),마스터시트!$A$2:$H$1946,4,FALSE),""))</f>
        <v/>
      </c>
      <c r="P1131" s="18" t="str">
        <f>IF($K1131="","",IFERROR(VLOOKUP(--SUBSTITUTE(SUBSTITUTE(TRIM($K1131),"-","")," ",""),마스터시트!$A$2:$H$1946,5,FALSE),""))</f>
        <v/>
      </c>
      <c r="Q1131" s="18" t="str">
        <f>IF($K1131="","",IFERROR(VLOOKUP(--SUBSTITUTE(SUBSTITUTE(TRIM($K1131),"-","")," ",""),마스터시트!$A$2:$H$1946,6,FALSE),""))</f>
        <v/>
      </c>
      <c r="R1131" s="18" t="str">
        <f>IF($K1131="","",IFERROR(VLOOKUP(--SUBSTITUTE(SUBSTITUTE(TRIM($K1131),"-","")," ",""),마스터시트!$A$2:$H$1946,7,FALSE),""))</f>
        <v/>
      </c>
    </row>
    <row r="1132" spans="13:18" x14ac:dyDescent="0.3">
      <c r="M1132" s="18" t="str">
        <f>IF($K1132="","",IFERROR(VLOOKUP(--SUBSTITUTE(SUBSTITUTE(TRIM($K1132),"-","")," ",""),마스터시트!$A$2:$H$1946,2,FALSE),"미등록"))</f>
        <v/>
      </c>
      <c r="N1132" s="53" t="str">
        <f>IF($K1132="","",IFERROR(VLOOKUP(--SUBSTITUTE(SUBSTITUTE(TRIM($K1132),"-","")," ",""),마스터시트!$A$2:$H$1946,3,FALSE),"미등록"))</f>
        <v/>
      </c>
      <c r="O1132" s="18" t="str">
        <f>IF($K1132="","",IFERROR(VLOOKUP(--SUBSTITUTE(SUBSTITUTE(TRIM($K1132),"-","")," ",""),마스터시트!$A$2:$H$1946,4,FALSE),""))</f>
        <v/>
      </c>
      <c r="P1132" s="18" t="str">
        <f>IF($K1132="","",IFERROR(VLOOKUP(--SUBSTITUTE(SUBSTITUTE(TRIM($K1132),"-","")," ",""),마스터시트!$A$2:$H$1946,5,FALSE),""))</f>
        <v/>
      </c>
      <c r="Q1132" s="18" t="str">
        <f>IF($K1132="","",IFERROR(VLOOKUP(--SUBSTITUTE(SUBSTITUTE(TRIM($K1132),"-","")," ",""),마스터시트!$A$2:$H$1946,6,FALSE),""))</f>
        <v/>
      </c>
      <c r="R1132" s="18" t="str">
        <f>IF($K1132="","",IFERROR(VLOOKUP(--SUBSTITUTE(SUBSTITUTE(TRIM($K1132),"-","")," ",""),마스터시트!$A$2:$H$1946,7,FALSE),""))</f>
        <v/>
      </c>
    </row>
    <row r="1133" spans="13:18" x14ac:dyDescent="0.3">
      <c r="M1133" s="18" t="str">
        <f>IF($K1133="","",IFERROR(VLOOKUP(--SUBSTITUTE(SUBSTITUTE(TRIM($K1133),"-","")," ",""),마스터시트!$A$2:$H$1946,2,FALSE),"미등록"))</f>
        <v/>
      </c>
      <c r="N1133" s="53" t="str">
        <f>IF($K1133="","",IFERROR(VLOOKUP(--SUBSTITUTE(SUBSTITUTE(TRIM($K1133),"-","")," ",""),마스터시트!$A$2:$H$1946,3,FALSE),"미등록"))</f>
        <v/>
      </c>
      <c r="O1133" s="18" t="str">
        <f>IF($K1133="","",IFERROR(VLOOKUP(--SUBSTITUTE(SUBSTITUTE(TRIM($K1133),"-","")," ",""),마스터시트!$A$2:$H$1946,4,FALSE),""))</f>
        <v/>
      </c>
      <c r="P1133" s="18" t="str">
        <f>IF($K1133="","",IFERROR(VLOOKUP(--SUBSTITUTE(SUBSTITUTE(TRIM($K1133),"-","")," ",""),마스터시트!$A$2:$H$1946,5,FALSE),""))</f>
        <v/>
      </c>
      <c r="Q1133" s="18" t="str">
        <f>IF($K1133="","",IFERROR(VLOOKUP(--SUBSTITUTE(SUBSTITUTE(TRIM($K1133),"-","")," ",""),마스터시트!$A$2:$H$1946,6,FALSE),""))</f>
        <v/>
      </c>
      <c r="R1133" s="18" t="str">
        <f>IF($K1133="","",IFERROR(VLOOKUP(--SUBSTITUTE(SUBSTITUTE(TRIM($K1133),"-","")," ",""),마스터시트!$A$2:$H$1946,7,FALSE),""))</f>
        <v/>
      </c>
    </row>
    <row r="1134" spans="13:18" x14ac:dyDescent="0.3">
      <c r="M1134" s="18" t="str">
        <f>IF($K1134="","",IFERROR(VLOOKUP(--SUBSTITUTE(SUBSTITUTE(TRIM($K1134),"-","")," ",""),마스터시트!$A$2:$H$1946,2,FALSE),"미등록"))</f>
        <v/>
      </c>
      <c r="N1134" s="53" t="str">
        <f>IF($K1134="","",IFERROR(VLOOKUP(--SUBSTITUTE(SUBSTITUTE(TRIM($K1134),"-","")," ",""),마스터시트!$A$2:$H$1946,3,FALSE),"미등록"))</f>
        <v/>
      </c>
      <c r="O1134" s="18" t="str">
        <f>IF($K1134="","",IFERROR(VLOOKUP(--SUBSTITUTE(SUBSTITUTE(TRIM($K1134),"-","")," ",""),마스터시트!$A$2:$H$1946,4,FALSE),""))</f>
        <v/>
      </c>
      <c r="P1134" s="18" t="str">
        <f>IF($K1134="","",IFERROR(VLOOKUP(--SUBSTITUTE(SUBSTITUTE(TRIM($K1134),"-","")," ",""),마스터시트!$A$2:$H$1946,5,FALSE),""))</f>
        <v/>
      </c>
      <c r="Q1134" s="18" t="str">
        <f>IF($K1134="","",IFERROR(VLOOKUP(--SUBSTITUTE(SUBSTITUTE(TRIM($K1134),"-","")," ",""),마스터시트!$A$2:$H$1946,6,FALSE),""))</f>
        <v/>
      </c>
      <c r="R1134" s="18" t="str">
        <f>IF($K1134="","",IFERROR(VLOOKUP(--SUBSTITUTE(SUBSTITUTE(TRIM($K1134),"-","")," ",""),마스터시트!$A$2:$H$1946,7,FALSE),""))</f>
        <v/>
      </c>
    </row>
    <row r="1135" spans="13:18" x14ac:dyDescent="0.3">
      <c r="M1135" s="18" t="str">
        <f>IF($K1135="","",IFERROR(VLOOKUP(--SUBSTITUTE(SUBSTITUTE(TRIM($K1135),"-","")," ",""),마스터시트!$A$2:$H$1946,2,FALSE),"미등록"))</f>
        <v/>
      </c>
      <c r="N1135" s="53" t="str">
        <f>IF($K1135="","",IFERROR(VLOOKUP(--SUBSTITUTE(SUBSTITUTE(TRIM($K1135),"-","")," ",""),마스터시트!$A$2:$H$1946,3,FALSE),"미등록"))</f>
        <v/>
      </c>
      <c r="O1135" s="18" t="str">
        <f>IF($K1135="","",IFERROR(VLOOKUP(--SUBSTITUTE(SUBSTITUTE(TRIM($K1135),"-","")," ",""),마스터시트!$A$2:$H$1946,4,FALSE),""))</f>
        <v/>
      </c>
      <c r="P1135" s="18" t="str">
        <f>IF($K1135="","",IFERROR(VLOOKUP(--SUBSTITUTE(SUBSTITUTE(TRIM($K1135),"-","")," ",""),마스터시트!$A$2:$H$1946,5,FALSE),""))</f>
        <v/>
      </c>
      <c r="Q1135" s="18" t="str">
        <f>IF($K1135="","",IFERROR(VLOOKUP(--SUBSTITUTE(SUBSTITUTE(TRIM($K1135),"-","")," ",""),마스터시트!$A$2:$H$1946,6,FALSE),""))</f>
        <v/>
      </c>
      <c r="R1135" s="18" t="str">
        <f>IF($K1135="","",IFERROR(VLOOKUP(--SUBSTITUTE(SUBSTITUTE(TRIM($K1135),"-","")," ",""),마스터시트!$A$2:$H$1946,7,FALSE),""))</f>
        <v/>
      </c>
    </row>
    <row r="1136" spans="13:18" x14ac:dyDescent="0.3">
      <c r="M1136" s="18" t="str">
        <f>IF($K1136="","",IFERROR(VLOOKUP(--SUBSTITUTE(SUBSTITUTE(TRIM($K1136),"-","")," ",""),마스터시트!$A$2:$H$1946,2,FALSE),"미등록"))</f>
        <v/>
      </c>
      <c r="N1136" s="53" t="str">
        <f>IF($K1136="","",IFERROR(VLOOKUP(--SUBSTITUTE(SUBSTITUTE(TRIM($K1136),"-","")," ",""),마스터시트!$A$2:$H$1946,3,FALSE),"미등록"))</f>
        <v/>
      </c>
      <c r="O1136" s="18" t="str">
        <f>IF($K1136="","",IFERROR(VLOOKUP(--SUBSTITUTE(SUBSTITUTE(TRIM($K1136),"-","")," ",""),마스터시트!$A$2:$H$1946,4,FALSE),""))</f>
        <v/>
      </c>
      <c r="P1136" s="18" t="str">
        <f>IF($K1136="","",IFERROR(VLOOKUP(--SUBSTITUTE(SUBSTITUTE(TRIM($K1136),"-","")," ",""),마스터시트!$A$2:$H$1946,5,FALSE),""))</f>
        <v/>
      </c>
      <c r="Q1136" s="18" t="str">
        <f>IF($K1136="","",IFERROR(VLOOKUP(--SUBSTITUTE(SUBSTITUTE(TRIM($K1136),"-","")," ",""),마스터시트!$A$2:$H$1946,6,FALSE),""))</f>
        <v/>
      </c>
      <c r="R1136" s="18" t="str">
        <f>IF($K1136="","",IFERROR(VLOOKUP(--SUBSTITUTE(SUBSTITUTE(TRIM($K1136),"-","")," ",""),마스터시트!$A$2:$H$1946,7,FALSE),""))</f>
        <v/>
      </c>
    </row>
    <row r="1137" spans="13:18" x14ac:dyDescent="0.3">
      <c r="M1137" s="18" t="str">
        <f>IF($K1137="","",IFERROR(VLOOKUP(--SUBSTITUTE(SUBSTITUTE(TRIM($K1137),"-","")," ",""),마스터시트!$A$2:$H$1946,2,FALSE),"미등록"))</f>
        <v/>
      </c>
      <c r="N1137" s="53" t="str">
        <f>IF($K1137="","",IFERROR(VLOOKUP(--SUBSTITUTE(SUBSTITUTE(TRIM($K1137),"-","")," ",""),마스터시트!$A$2:$H$1946,3,FALSE),"미등록"))</f>
        <v/>
      </c>
      <c r="O1137" s="18" t="str">
        <f>IF($K1137="","",IFERROR(VLOOKUP(--SUBSTITUTE(SUBSTITUTE(TRIM($K1137),"-","")," ",""),마스터시트!$A$2:$H$1946,4,FALSE),""))</f>
        <v/>
      </c>
      <c r="P1137" s="18" t="str">
        <f>IF($K1137="","",IFERROR(VLOOKUP(--SUBSTITUTE(SUBSTITUTE(TRIM($K1137),"-","")," ",""),마스터시트!$A$2:$H$1946,5,FALSE),""))</f>
        <v/>
      </c>
      <c r="Q1137" s="18" t="str">
        <f>IF($K1137="","",IFERROR(VLOOKUP(--SUBSTITUTE(SUBSTITUTE(TRIM($K1137),"-","")," ",""),마스터시트!$A$2:$H$1946,6,FALSE),""))</f>
        <v/>
      </c>
      <c r="R1137" s="18" t="str">
        <f>IF($K1137="","",IFERROR(VLOOKUP(--SUBSTITUTE(SUBSTITUTE(TRIM($K1137),"-","")," ",""),마스터시트!$A$2:$H$1946,7,FALSE),""))</f>
        <v/>
      </c>
    </row>
    <row r="1138" spans="13:18" x14ac:dyDescent="0.3">
      <c r="M1138" s="18" t="str">
        <f>IF($K1138="","",IFERROR(VLOOKUP(--SUBSTITUTE(SUBSTITUTE(TRIM($K1138),"-","")," ",""),마스터시트!$A$2:$H$1946,2,FALSE),"미등록"))</f>
        <v/>
      </c>
      <c r="N1138" s="53" t="str">
        <f>IF($K1138="","",IFERROR(VLOOKUP(--SUBSTITUTE(SUBSTITUTE(TRIM($K1138),"-","")," ",""),마스터시트!$A$2:$H$1946,3,FALSE),"미등록"))</f>
        <v/>
      </c>
      <c r="O1138" s="18" t="str">
        <f>IF($K1138="","",IFERROR(VLOOKUP(--SUBSTITUTE(SUBSTITUTE(TRIM($K1138),"-","")," ",""),마스터시트!$A$2:$H$1946,4,FALSE),""))</f>
        <v/>
      </c>
      <c r="P1138" s="18" t="str">
        <f>IF($K1138="","",IFERROR(VLOOKUP(--SUBSTITUTE(SUBSTITUTE(TRIM($K1138),"-","")," ",""),마스터시트!$A$2:$H$1946,5,FALSE),""))</f>
        <v/>
      </c>
      <c r="Q1138" s="18" t="str">
        <f>IF($K1138="","",IFERROR(VLOOKUP(--SUBSTITUTE(SUBSTITUTE(TRIM($K1138),"-","")," ",""),마스터시트!$A$2:$H$1946,6,FALSE),""))</f>
        <v/>
      </c>
      <c r="R1138" s="18" t="str">
        <f>IF($K1138="","",IFERROR(VLOOKUP(--SUBSTITUTE(SUBSTITUTE(TRIM($K1138),"-","")," ",""),마스터시트!$A$2:$H$1946,7,FALSE),""))</f>
        <v/>
      </c>
    </row>
    <row r="1139" spans="13:18" x14ac:dyDescent="0.3">
      <c r="M1139" s="18" t="str">
        <f>IF($K1139="","",IFERROR(VLOOKUP(--SUBSTITUTE(SUBSTITUTE(TRIM($K1139),"-","")," ",""),마스터시트!$A$2:$H$1946,2,FALSE),"미등록"))</f>
        <v/>
      </c>
      <c r="N1139" s="53" t="str">
        <f>IF($K1139="","",IFERROR(VLOOKUP(--SUBSTITUTE(SUBSTITUTE(TRIM($K1139),"-","")," ",""),마스터시트!$A$2:$H$1946,3,FALSE),"미등록"))</f>
        <v/>
      </c>
      <c r="O1139" s="18" t="str">
        <f>IF($K1139="","",IFERROR(VLOOKUP(--SUBSTITUTE(SUBSTITUTE(TRIM($K1139),"-","")," ",""),마스터시트!$A$2:$H$1946,4,FALSE),""))</f>
        <v/>
      </c>
      <c r="P1139" s="18" t="str">
        <f>IF($K1139="","",IFERROR(VLOOKUP(--SUBSTITUTE(SUBSTITUTE(TRIM($K1139),"-","")," ",""),마스터시트!$A$2:$H$1946,5,FALSE),""))</f>
        <v/>
      </c>
      <c r="Q1139" s="18" t="str">
        <f>IF($K1139="","",IFERROR(VLOOKUP(--SUBSTITUTE(SUBSTITUTE(TRIM($K1139),"-","")," ",""),마스터시트!$A$2:$H$1946,6,FALSE),""))</f>
        <v/>
      </c>
      <c r="R1139" s="18" t="str">
        <f>IF($K1139="","",IFERROR(VLOOKUP(--SUBSTITUTE(SUBSTITUTE(TRIM($K1139),"-","")," ",""),마스터시트!$A$2:$H$1946,7,FALSE),""))</f>
        <v/>
      </c>
    </row>
    <row r="1140" spans="13:18" x14ac:dyDescent="0.3">
      <c r="M1140" s="18" t="str">
        <f>IF($K1140="","",IFERROR(VLOOKUP(--SUBSTITUTE(SUBSTITUTE(TRIM($K1140),"-","")," ",""),마스터시트!$A$2:$H$1946,2,FALSE),"미등록"))</f>
        <v/>
      </c>
      <c r="N1140" s="53" t="str">
        <f>IF($K1140="","",IFERROR(VLOOKUP(--SUBSTITUTE(SUBSTITUTE(TRIM($K1140),"-","")," ",""),마스터시트!$A$2:$H$1946,3,FALSE),"미등록"))</f>
        <v/>
      </c>
      <c r="O1140" s="18" t="str">
        <f>IF($K1140="","",IFERROR(VLOOKUP(--SUBSTITUTE(SUBSTITUTE(TRIM($K1140),"-","")," ",""),마스터시트!$A$2:$H$1946,4,FALSE),""))</f>
        <v/>
      </c>
      <c r="P1140" s="18" t="str">
        <f>IF($K1140="","",IFERROR(VLOOKUP(--SUBSTITUTE(SUBSTITUTE(TRIM($K1140),"-","")," ",""),마스터시트!$A$2:$H$1946,5,FALSE),""))</f>
        <v/>
      </c>
      <c r="Q1140" s="18" t="str">
        <f>IF($K1140="","",IFERROR(VLOOKUP(--SUBSTITUTE(SUBSTITUTE(TRIM($K1140),"-","")," ",""),마스터시트!$A$2:$H$1946,6,FALSE),""))</f>
        <v/>
      </c>
      <c r="R1140" s="18" t="str">
        <f>IF($K1140="","",IFERROR(VLOOKUP(--SUBSTITUTE(SUBSTITUTE(TRIM($K1140),"-","")," ",""),마스터시트!$A$2:$H$1946,7,FALSE),""))</f>
        <v/>
      </c>
    </row>
    <row r="1141" spans="13:18" x14ac:dyDescent="0.3">
      <c r="M1141" s="18" t="str">
        <f>IF($K1141="","",IFERROR(VLOOKUP(--SUBSTITUTE(SUBSTITUTE(TRIM($K1141),"-","")," ",""),마스터시트!$A$2:$H$1946,2,FALSE),"미등록"))</f>
        <v/>
      </c>
      <c r="N1141" s="53" t="str">
        <f>IF($K1141="","",IFERROR(VLOOKUP(--SUBSTITUTE(SUBSTITUTE(TRIM($K1141),"-","")," ",""),마스터시트!$A$2:$H$1946,3,FALSE),"미등록"))</f>
        <v/>
      </c>
      <c r="O1141" s="18" t="str">
        <f>IF($K1141="","",IFERROR(VLOOKUP(--SUBSTITUTE(SUBSTITUTE(TRIM($K1141),"-","")," ",""),마스터시트!$A$2:$H$1946,4,FALSE),""))</f>
        <v/>
      </c>
      <c r="P1141" s="18" t="str">
        <f>IF($K1141="","",IFERROR(VLOOKUP(--SUBSTITUTE(SUBSTITUTE(TRIM($K1141),"-","")," ",""),마스터시트!$A$2:$H$1946,5,FALSE),""))</f>
        <v/>
      </c>
      <c r="Q1141" s="18" t="str">
        <f>IF($K1141="","",IFERROR(VLOOKUP(--SUBSTITUTE(SUBSTITUTE(TRIM($K1141),"-","")," ",""),마스터시트!$A$2:$H$1946,6,FALSE),""))</f>
        <v/>
      </c>
      <c r="R1141" s="18" t="str">
        <f>IF($K1141="","",IFERROR(VLOOKUP(--SUBSTITUTE(SUBSTITUTE(TRIM($K1141),"-","")," ",""),마스터시트!$A$2:$H$1946,7,FALSE),""))</f>
        <v/>
      </c>
    </row>
    <row r="1142" spans="13:18" x14ac:dyDescent="0.3">
      <c r="M1142" s="18" t="str">
        <f>IF($K1142="","",IFERROR(VLOOKUP(--SUBSTITUTE(SUBSTITUTE(TRIM($K1142),"-","")," ",""),마스터시트!$A$2:$H$1946,2,FALSE),"미등록"))</f>
        <v/>
      </c>
      <c r="N1142" s="53" t="str">
        <f>IF($K1142="","",IFERROR(VLOOKUP(--SUBSTITUTE(SUBSTITUTE(TRIM($K1142),"-","")," ",""),마스터시트!$A$2:$H$1946,3,FALSE),"미등록"))</f>
        <v/>
      </c>
      <c r="O1142" s="18" t="str">
        <f>IF($K1142="","",IFERROR(VLOOKUP(--SUBSTITUTE(SUBSTITUTE(TRIM($K1142),"-","")," ",""),마스터시트!$A$2:$H$1946,4,FALSE),""))</f>
        <v/>
      </c>
      <c r="P1142" s="18" t="str">
        <f>IF($K1142="","",IFERROR(VLOOKUP(--SUBSTITUTE(SUBSTITUTE(TRIM($K1142),"-","")," ",""),마스터시트!$A$2:$H$1946,5,FALSE),""))</f>
        <v/>
      </c>
      <c r="Q1142" s="18" t="str">
        <f>IF($K1142="","",IFERROR(VLOOKUP(--SUBSTITUTE(SUBSTITUTE(TRIM($K1142),"-","")," ",""),마스터시트!$A$2:$H$1946,6,FALSE),""))</f>
        <v/>
      </c>
      <c r="R1142" s="18" t="str">
        <f>IF($K1142="","",IFERROR(VLOOKUP(--SUBSTITUTE(SUBSTITUTE(TRIM($K1142),"-","")," ",""),마스터시트!$A$2:$H$1946,7,FALSE),""))</f>
        <v/>
      </c>
    </row>
    <row r="1143" spans="13:18" x14ac:dyDescent="0.3">
      <c r="M1143" s="18" t="str">
        <f>IF($K1143="","",IFERROR(VLOOKUP(--SUBSTITUTE(SUBSTITUTE(TRIM($K1143),"-","")," ",""),마스터시트!$A$2:$H$1946,2,FALSE),"미등록"))</f>
        <v/>
      </c>
      <c r="N1143" s="53" t="str">
        <f>IF($K1143="","",IFERROR(VLOOKUP(--SUBSTITUTE(SUBSTITUTE(TRIM($K1143),"-","")," ",""),마스터시트!$A$2:$H$1946,3,FALSE),"미등록"))</f>
        <v/>
      </c>
      <c r="O1143" s="18" t="str">
        <f>IF($K1143="","",IFERROR(VLOOKUP(--SUBSTITUTE(SUBSTITUTE(TRIM($K1143),"-","")," ",""),마스터시트!$A$2:$H$1946,4,FALSE),""))</f>
        <v/>
      </c>
      <c r="P1143" s="18" t="str">
        <f>IF($K1143="","",IFERROR(VLOOKUP(--SUBSTITUTE(SUBSTITUTE(TRIM($K1143),"-","")," ",""),마스터시트!$A$2:$H$1946,5,FALSE),""))</f>
        <v/>
      </c>
      <c r="Q1143" s="18" t="str">
        <f>IF($K1143="","",IFERROR(VLOOKUP(--SUBSTITUTE(SUBSTITUTE(TRIM($K1143),"-","")," ",""),마스터시트!$A$2:$H$1946,6,FALSE),""))</f>
        <v/>
      </c>
      <c r="R1143" s="18" t="str">
        <f>IF($K1143="","",IFERROR(VLOOKUP(--SUBSTITUTE(SUBSTITUTE(TRIM($K1143),"-","")," ",""),마스터시트!$A$2:$H$1946,7,FALSE),""))</f>
        <v/>
      </c>
    </row>
    <row r="1144" spans="13:18" x14ac:dyDescent="0.3">
      <c r="M1144" s="18" t="str">
        <f>IF($K1144="","",IFERROR(VLOOKUP(--SUBSTITUTE(SUBSTITUTE(TRIM($K1144),"-","")," ",""),마스터시트!$A$2:$H$1946,2,FALSE),"미등록"))</f>
        <v/>
      </c>
      <c r="N1144" s="53" t="str">
        <f>IF($K1144="","",IFERROR(VLOOKUP(--SUBSTITUTE(SUBSTITUTE(TRIM($K1144),"-","")," ",""),마스터시트!$A$2:$H$1946,3,FALSE),"미등록"))</f>
        <v/>
      </c>
      <c r="O1144" s="18" t="str">
        <f>IF($K1144="","",IFERROR(VLOOKUP(--SUBSTITUTE(SUBSTITUTE(TRIM($K1144),"-","")," ",""),마스터시트!$A$2:$H$1946,4,FALSE),""))</f>
        <v/>
      </c>
      <c r="P1144" s="18" t="str">
        <f>IF($K1144="","",IFERROR(VLOOKUP(--SUBSTITUTE(SUBSTITUTE(TRIM($K1144),"-","")," ",""),마스터시트!$A$2:$H$1946,5,FALSE),""))</f>
        <v/>
      </c>
      <c r="Q1144" s="18" t="str">
        <f>IF($K1144="","",IFERROR(VLOOKUP(--SUBSTITUTE(SUBSTITUTE(TRIM($K1144),"-","")," ",""),마스터시트!$A$2:$H$1946,6,FALSE),""))</f>
        <v/>
      </c>
      <c r="R1144" s="18" t="str">
        <f>IF($K1144="","",IFERROR(VLOOKUP(--SUBSTITUTE(SUBSTITUTE(TRIM($K1144),"-","")," ",""),마스터시트!$A$2:$H$1946,7,FALSE),""))</f>
        <v/>
      </c>
    </row>
    <row r="1145" spans="13:18" x14ac:dyDescent="0.3">
      <c r="M1145" s="18" t="str">
        <f>IF($K1145="","",IFERROR(VLOOKUP(--SUBSTITUTE(SUBSTITUTE(TRIM($K1145),"-","")," ",""),마스터시트!$A$2:$H$1946,2,FALSE),"미등록"))</f>
        <v/>
      </c>
      <c r="N1145" s="53" t="str">
        <f>IF($K1145="","",IFERROR(VLOOKUP(--SUBSTITUTE(SUBSTITUTE(TRIM($K1145),"-","")," ",""),마스터시트!$A$2:$H$1946,3,FALSE),"미등록"))</f>
        <v/>
      </c>
      <c r="O1145" s="18" t="str">
        <f>IF($K1145="","",IFERROR(VLOOKUP(--SUBSTITUTE(SUBSTITUTE(TRIM($K1145),"-","")," ",""),마스터시트!$A$2:$H$1946,4,FALSE),""))</f>
        <v/>
      </c>
      <c r="P1145" s="18" t="str">
        <f>IF($K1145="","",IFERROR(VLOOKUP(--SUBSTITUTE(SUBSTITUTE(TRIM($K1145),"-","")," ",""),마스터시트!$A$2:$H$1946,5,FALSE),""))</f>
        <v/>
      </c>
      <c r="Q1145" s="18" t="str">
        <f>IF($K1145="","",IFERROR(VLOOKUP(--SUBSTITUTE(SUBSTITUTE(TRIM($K1145),"-","")," ",""),마스터시트!$A$2:$H$1946,6,FALSE),""))</f>
        <v/>
      </c>
      <c r="R1145" s="18" t="str">
        <f>IF($K1145="","",IFERROR(VLOOKUP(--SUBSTITUTE(SUBSTITUTE(TRIM($K1145),"-","")," ",""),마스터시트!$A$2:$H$1946,7,FALSE),""))</f>
        <v/>
      </c>
    </row>
    <row r="1146" spans="13:18" x14ac:dyDescent="0.3">
      <c r="M1146" s="18" t="str">
        <f>IF($K1146="","",IFERROR(VLOOKUP(--SUBSTITUTE(SUBSTITUTE(TRIM($K1146),"-","")," ",""),마스터시트!$A$2:$H$1946,2,FALSE),"미등록"))</f>
        <v/>
      </c>
      <c r="N1146" s="53" t="str">
        <f>IF($K1146="","",IFERROR(VLOOKUP(--SUBSTITUTE(SUBSTITUTE(TRIM($K1146),"-","")," ",""),마스터시트!$A$2:$H$1946,3,FALSE),"미등록"))</f>
        <v/>
      </c>
      <c r="O1146" s="18" t="str">
        <f>IF($K1146="","",IFERROR(VLOOKUP(--SUBSTITUTE(SUBSTITUTE(TRIM($K1146),"-","")," ",""),마스터시트!$A$2:$H$1946,4,FALSE),""))</f>
        <v/>
      </c>
      <c r="P1146" s="18" t="str">
        <f>IF($K1146="","",IFERROR(VLOOKUP(--SUBSTITUTE(SUBSTITUTE(TRIM($K1146),"-","")," ",""),마스터시트!$A$2:$H$1946,5,FALSE),""))</f>
        <v/>
      </c>
      <c r="Q1146" s="18" t="str">
        <f>IF($K1146="","",IFERROR(VLOOKUP(--SUBSTITUTE(SUBSTITUTE(TRIM($K1146),"-","")," ",""),마스터시트!$A$2:$H$1946,6,FALSE),""))</f>
        <v/>
      </c>
      <c r="R1146" s="18" t="str">
        <f>IF($K1146="","",IFERROR(VLOOKUP(--SUBSTITUTE(SUBSTITUTE(TRIM($K1146),"-","")," ",""),마스터시트!$A$2:$H$1946,7,FALSE),""))</f>
        <v/>
      </c>
    </row>
    <row r="1147" spans="13:18" x14ac:dyDescent="0.3">
      <c r="M1147" s="18" t="str">
        <f>IF($K1147="","",IFERROR(VLOOKUP(--SUBSTITUTE(SUBSTITUTE(TRIM($K1147),"-","")," ",""),마스터시트!$A$2:$H$1946,2,FALSE),"미등록"))</f>
        <v/>
      </c>
      <c r="N1147" s="53" t="str">
        <f>IF($K1147="","",IFERROR(VLOOKUP(--SUBSTITUTE(SUBSTITUTE(TRIM($K1147),"-","")," ",""),마스터시트!$A$2:$H$1946,3,FALSE),"미등록"))</f>
        <v/>
      </c>
      <c r="O1147" s="18" t="str">
        <f>IF($K1147="","",IFERROR(VLOOKUP(--SUBSTITUTE(SUBSTITUTE(TRIM($K1147),"-","")," ",""),마스터시트!$A$2:$H$1946,4,FALSE),""))</f>
        <v/>
      </c>
      <c r="P1147" s="18" t="str">
        <f>IF($K1147="","",IFERROR(VLOOKUP(--SUBSTITUTE(SUBSTITUTE(TRIM($K1147),"-","")," ",""),마스터시트!$A$2:$H$1946,5,FALSE),""))</f>
        <v/>
      </c>
      <c r="Q1147" s="18" t="str">
        <f>IF($K1147="","",IFERROR(VLOOKUP(--SUBSTITUTE(SUBSTITUTE(TRIM($K1147),"-","")," ",""),마스터시트!$A$2:$H$1946,6,FALSE),""))</f>
        <v/>
      </c>
      <c r="R1147" s="18" t="str">
        <f>IF($K1147="","",IFERROR(VLOOKUP(--SUBSTITUTE(SUBSTITUTE(TRIM($K1147),"-","")," ",""),마스터시트!$A$2:$H$1946,7,FALSE),""))</f>
        <v/>
      </c>
    </row>
    <row r="1148" spans="13:18" x14ac:dyDescent="0.3">
      <c r="M1148" s="18" t="str">
        <f>IF($K1148="","",IFERROR(VLOOKUP(--SUBSTITUTE(SUBSTITUTE(TRIM($K1148),"-","")," ",""),마스터시트!$A$2:$H$1946,2,FALSE),"미등록"))</f>
        <v/>
      </c>
      <c r="N1148" s="53" t="str">
        <f>IF($K1148="","",IFERROR(VLOOKUP(--SUBSTITUTE(SUBSTITUTE(TRIM($K1148),"-","")," ",""),마스터시트!$A$2:$H$1946,3,FALSE),"미등록"))</f>
        <v/>
      </c>
      <c r="O1148" s="18" t="str">
        <f>IF($K1148="","",IFERROR(VLOOKUP(--SUBSTITUTE(SUBSTITUTE(TRIM($K1148),"-","")," ",""),마스터시트!$A$2:$H$1946,4,FALSE),""))</f>
        <v/>
      </c>
      <c r="P1148" s="18" t="str">
        <f>IF($K1148="","",IFERROR(VLOOKUP(--SUBSTITUTE(SUBSTITUTE(TRIM($K1148),"-","")," ",""),마스터시트!$A$2:$H$1946,5,FALSE),""))</f>
        <v/>
      </c>
      <c r="Q1148" s="18" t="str">
        <f>IF($K1148="","",IFERROR(VLOOKUP(--SUBSTITUTE(SUBSTITUTE(TRIM($K1148),"-","")," ",""),마스터시트!$A$2:$H$1946,6,FALSE),""))</f>
        <v/>
      </c>
      <c r="R1148" s="18" t="str">
        <f>IF($K1148="","",IFERROR(VLOOKUP(--SUBSTITUTE(SUBSTITUTE(TRIM($K1148),"-","")," ",""),마스터시트!$A$2:$H$1946,7,FALSE),""))</f>
        <v/>
      </c>
    </row>
    <row r="1149" spans="13:18" x14ac:dyDescent="0.3">
      <c r="M1149" s="18" t="str">
        <f>IF($K1149="","",IFERROR(VLOOKUP(--SUBSTITUTE(SUBSTITUTE(TRIM($K1149),"-","")," ",""),마스터시트!$A$2:$H$1946,2,FALSE),"미등록"))</f>
        <v/>
      </c>
      <c r="N1149" s="53" t="str">
        <f>IF($K1149="","",IFERROR(VLOOKUP(--SUBSTITUTE(SUBSTITUTE(TRIM($K1149),"-","")," ",""),마스터시트!$A$2:$H$1946,3,FALSE),"미등록"))</f>
        <v/>
      </c>
      <c r="O1149" s="18" t="str">
        <f>IF($K1149="","",IFERROR(VLOOKUP(--SUBSTITUTE(SUBSTITUTE(TRIM($K1149),"-","")," ",""),마스터시트!$A$2:$H$1946,4,FALSE),""))</f>
        <v/>
      </c>
      <c r="P1149" s="18" t="str">
        <f>IF($K1149="","",IFERROR(VLOOKUP(--SUBSTITUTE(SUBSTITUTE(TRIM($K1149),"-","")," ",""),마스터시트!$A$2:$H$1946,5,FALSE),""))</f>
        <v/>
      </c>
      <c r="Q1149" s="18" t="str">
        <f>IF($K1149="","",IFERROR(VLOOKUP(--SUBSTITUTE(SUBSTITUTE(TRIM($K1149),"-","")," ",""),마스터시트!$A$2:$H$1946,6,FALSE),""))</f>
        <v/>
      </c>
      <c r="R1149" s="18" t="str">
        <f>IF($K1149="","",IFERROR(VLOOKUP(--SUBSTITUTE(SUBSTITUTE(TRIM($K1149),"-","")," ",""),마스터시트!$A$2:$H$1946,7,FALSE),""))</f>
        <v/>
      </c>
    </row>
    <row r="1150" spans="13:18" x14ac:dyDescent="0.3">
      <c r="M1150" s="18" t="str">
        <f>IF($K1150="","",IFERROR(VLOOKUP(--SUBSTITUTE(SUBSTITUTE(TRIM($K1150),"-","")," ",""),마스터시트!$A$2:$H$1946,2,FALSE),"미등록"))</f>
        <v/>
      </c>
      <c r="N1150" s="53" t="str">
        <f>IF($K1150="","",IFERROR(VLOOKUP(--SUBSTITUTE(SUBSTITUTE(TRIM($K1150),"-","")," ",""),마스터시트!$A$2:$H$1946,3,FALSE),"미등록"))</f>
        <v/>
      </c>
      <c r="O1150" s="18" t="str">
        <f>IF($K1150="","",IFERROR(VLOOKUP(--SUBSTITUTE(SUBSTITUTE(TRIM($K1150),"-","")," ",""),마스터시트!$A$2:$H$1946,4,FALSE),""))</f>
        <v/>
      </c>
      <c r="P1150" s="18" t="str">
        <f>IF($K1150="","",IFERROR(VLOOKUP(--SUBSTITUTE(SUBSTITUTE(TRIM($K1150),"-","")," ",""),마스터시트!$A$2:$H$1946,5,FALSE),""))</f>
        <v/>
      </c>
      <c r="Q1150" s="18" t="str">
        <f>IF($K1150="","",IFERROR(VLOOKUP(--SUBSTITUTE(SUBSTITUTE(TRIM($K1150),"-","")," ",""),마스터시트!$A$2:$H$1946,6,FALSE),""))</f>
        <v/>
      </c>
      <c r="R1150" s="18" t="str">
        <f>IF($K1150="","",IFERROR(VLOOKUP(--SUBSTITUTE(SUBSTITUTE(TRIM($K1150),"-","")," ",""),마스터시트!$A$2:$H$1946,7,FALSE),""))</f>
        <v/>
      </c>
    </row>
    <row r="1151" spans="13:18" x14ac:dyDescent="0.3">
      <c r="M1151" s="18" t="str">
        <f>IF($K1151="","",IFERROR(VLOOKUP(--SUBSTITUTE(SUBSTITUTE(TRIM($K1151),"-","")," ",""),마스터시트!$A$2:$H$1946,2,FALSE),"미등록"))</f>
        <v/>
      </c>
      <c r="N1151" s="53" t="str">
        <f>IF($K1151="","",IFERROR(VLOOKUP(--SUBSTITUTE(SUBSTITUTE(TRIM($K1151),"-","")," ",""),마스터시트!$A$2:$H$1946,3,FALSE),"미등록"))</f>
        <v/>
      </c>
      <c r="O1151" s="18" t="str">
        <f>IF($K1151="","",IFERROR(VLOOKUP(--SUBSTITUTE(SUBSTITUTE(TRIM($K1151),"-","")," ",""),마스터시트!$A$2:$H$1946,4,FALSE),""))</f>
        <v/>
      </c>
      <c r="P1151" s="18" t="str">
        <f>IF($K1151="","",IFERROR(VLOOKUP(--SUBSTITUTE(SUBSTITUTE(TRIM($K1151),"-","")," ",""),마스터시트!$A$2:$H$1946,5,FALSE),""))</f>
        <v/>
      </c>
      <c r="Q1151" s="18" t="str">
        <f>IF($K1151="","",IFERROR(VLOOKUP(--SUBSTITUTE(SUBSTITUTE(TRIM($K1151),"-","")," ",""),마스터시트!$A$2:$H$1946,6,FALSE),""))</f>
        <v/>
      </c>
      <c r="R1151" s="18" t="str">
        <f>IF($K1151="","",IFERROR(VLOOKUP(--SUBSTITUTE(SUBSTITUTE(TRIM($K1151),"-","")," ",""),마스터시트!$A$2:$H$1946,7,FALSE),""))</f>
        <v/>
      </c>
    </row>
    <row r="1152" spans="13:18" x14ac:dyDescent="0.3">
      <c r="M1152" s="18" t="str">
        <f>IF($K1152="","",IFERROR(VLOOKUP(--SUBSTITUTE(SUBSTITUTE(TRIM($K1152),"-","")," ",""),마스터시트!$A$2:$H$1946,2,FALSE),"미등록"))</f>
        <v/>
      </c>
      <c r="N1152" s="53" t="str">
        <f>IF($K1152="","",IFERROR(VLOOKUP(--SUBSTITUTE(SUBSTITUTE(TRIM($K1152),"-","")," ",""),마스터시트!$A$2:$H$1946,3,FALSE),"미등록"))</f>
        <v/>
      </c>
      <c r="O1152" s="18" t="str">
        <f>IF($K1152="","",IFERROR(VLOOKUP(--SUBSTITUTE(SUBSTITUTE(TRIM($K1152),"-","")," ",""),마스터시트!$A$2:$H$1946,4,FALSE),""))</f>
        <v/>
      </c>
      <c r="P1152" s="18" t="str">
        <f>IF($K1152="","",IFERROR(VLOOKUP(--SUBSTITUTE(SUBSTITUTE(TRIM($K1152),"-","")," ",""),마스터시트!$A$2:$H$1946,5,FALSE),""))</f>
        <v/>
      </c>
      <c r="Q1152" s="18" t="str">
        <f>IF($K1152="","",IFERROR(VLOOKUP(--SUBSTITUTE(SUBSTITUTE(TRIM($K1152),"-","")," ",""),마스터시트!$A$2:$H$1946,6,FALSE),""))</f>
        <v/>
      </c>
      <c r="R1152" s="18" t="str">
        <f>IF($K1152="","",IFERROR(VLOOKUP(--SUBSTITUTE(SUBSTITUTE(TRIM($K1152),"-","")," ",""),마스터시트!$A$2:$H$1946,7,FALSE),""))</f>
        <v/>
      </c>
    </row>
    <row r="1153" spans="13:18" x14ac:dyDescent="0.3">
      <c r="M1153" s="18" t="str">
        <f>IF($K1153="","",IFERROR(VLOOKUP(--SUBSTITUTE(SUBSTITUTE(TRIM($K1153),"-","")," ",""),마스터시트!$A$2:$H$1946,2,FALSE),"미등록"))</f>
        <v/>
      </c>
      <c r="N1153" s="53" t="str">
        <f>IF($K1153="","",IFERROR(VLOOKUP(--SUBSTITUTE(SUBSTITUTE(TRIM($K1153),"-","")," ",""),마스터시트!$A$2:$H$1946,3,FALSE),"미등록"))</f>
        <v/>
      </c>
      <c r="O1153" s="18" t="str">
        <f>IF($K1153="","",IFERROR(VLOOKUP(--SUBSTITUTE(SUBSTITUTE(TRIM($K1153),"-","")," ",""),마스터시트!$A$2:$H$1946,4,FALSE),""))</f>
        <v/>
      </c>
      <c r="P1153" s="18" t="str">
        <f>IF($K1153="","",IFERROR(VLOOKUP(--SUBSTITUTE(SUBSTITUTE(TRIM($K1153),"-","")," ",""),마스터시트!$A$2:$H$1946,5,FALSE),""))</f>
        <v/>
      </c>
      <c r="Q1153" s="18" t="str">
        <f>IF($K1153="","",IFERROR(VLOOKUP(--SUBSTITUTE(SUBSTITUTE(TRIM($K1153),"-","")," ",""),마스터시트!$A$2:$H$1946,6,FALSE),""))</f>
        <v/>
      </c>
      <c r="R1153" s="18" t="str">
        <f>IF($K1153="","",IFERROR(VLOOKUP(--SUBSTITUTE(SUBSTITUTE(TRIM($K1153),"-","")," ",""),마스터시트!$A$2:$H$1946,7,FALSE),""))</f>
        <v/>
      </c>
    </row>
    <row r="1154" spans="13:18" x14ac:dyDescent="0.3">
      <c r="M1154" s="18" t="str">
        <f>IF($K1154="","",IFERROR(VLOOKUP(--SUBSTITUTE(SUBSTITUTE(TRIM($K1154),"-","")," ",""),마스터시트!$A$2:$H$1946,2,FALSE),"미등록"))</f>
        <v/>
      </c>
      <c r="N1154" s="53" t="str">
        <f>IF($K1154="","",IFERROR(VLOOKUP(--SUBSTITUTE(SUBSTITUTE(TRIM($K1154),"-","")," ",""),마스터시트!$A$2:$H$1946,3,FALSE),"미등록"))</f>
        <v/>
      </c>
      <c r="O1154" s="18" t="str">
        <f>IF($K1154="","",IFERROR(VLOOKUP(--SUBSTITUTE(SUBSTITUTE(TRIM($K1154),"-","")," ",""),마스터시트!$A$2:$H$1946,4,FALSE),""))</f>
        <v/>
      </c>
      <c r="P1154" s="18" t="str">
        <f>IF($K1154="","",IFERROR(VLOOKUP(--SUBSTITUTE(SUBSTITUTE(TRIM($K1154),"-","")," ",""),마스터시트!$A$2:$H$1946,5,FALSE),""))</f>
        <v/>
      </c>
      <c r="Q1154" s="18" t="str">
        <f>IF($K1154="","",IFERROR(VLOOKUP(--SUBSTITUTE(SUBSTITUTE(TRIM($K1154),"-","")," ",""),마스터시트!$A$2:$H$1946,6,FALSE),""))</f>
        <v/>
      </c>
      <c r="R1154" s="18" t="str">
        <f>IF($K1154="","",IFERROR(VLOOKUP(--SUBSTITUTE(SUBSTITUTE(TRIM($K1154),"-","")," ",""),마스터시트!$A$2:$H$1946,7,FALSE),""))</f>
        <v/>
      </c>
    </row>
    <row r="1155" spans="13:18" x14ac:dyDescent="0.3">
      <c r="M1155" s="18" t="str">
        <f>IF($K1155="","",IFERROR(VLOOKUP(--SUBSTITUTE(SUBSTITUTE(TRIM($K1155),"-","")," ",""),마스터시트!$A$2:$H$1946,2,FALSE),"미등록"))</f>
        <v/>
      </c>
      <c r="N1155" s="53" t="str">
        <f>IF($K1155="","",IFERROR(VLOOKUP(--SUBSTITUTE(SUBSTITUTE(TRIM($K1155),"-","")," ",""),마스터시트!$A$2:$H$1946,3,FALSE),"미등록"))</f>
        <v/>
      </c>
      <c r="O1155" s="18" t="str">
        <f>IF($K1155="","",IFERROR(VLOOKUP(--SUBSTITUTE(SUBSTITUTE(TRIM($K1155),"-","")," ",""),마스터시트!$A$2:$H$1946,4,FALSE),""))</f>
        <v/>
      </c>
      <c r="P1155" s="18" t="str">
        <f>IF($K1155="","",IFERROR(VLOOKUP(--SUBSTITUTE(SUBSTITUTE(TRIM($K1155),"-","")," ",""),마스터시트!$A$2:$H$1946,5,FALSE),""))</f>
        <v/>
      </c>
      <c r="Q1155" s="18" t="str">
        <f>IF($K1155="","",IFERROR(VLOOKUP(--SUBSTITUTE(SUBSTITUTE(TRIM($K1155),"-","")," ",""),마스터시트!$A$2:$H$1946,6,FALSE),""))</f>
        <v/>
      </c>
      <c r="R1155" s="18" t="str">
        <f>IF($K1155="","",IFERROR(VLOOKUP(--SUBSTITUTE(SUBSTITUTE(TRIM($K1155),"-","")," ",""),마스터시트!$A$2:$H$1946,7,FALSE),""))</f>
        <v/>
      </c>
    </row>
    <row r="1156" spans="13:18" x14ac:dyDescent="0.3">
      <c r="M1156" s="18" t="str">
        <f>IF($K1156="","",IFERROR(VLOOKUP(--SUBSTITUTE(SUBSTITUTE(TRIM($K1156),"-","")," ",""),마스터시트!$A$2:$H$1946,2,FALSE),"미등록"))</f>
        <v/>
      </c>
      <c r="N1156" s="53" t="str">
        <f>IF($K1156="","",IFERROR(VLOOKUP(--SUBSTITUTE(SUBSTITUTE(TRIM($K1156),"-","")," ",""),마스터시트!$A$2:$H$1946,3,FALSE),"미등록"))</f>
        <v/>
      </c>
      <c r="O1156" s="18" t="str">
        <f>IF($K1156="","",IFERROR(VLOOKUP(--SUBSTITUTE(SUBSTITUTE(TRIM($K1156),"-","")," ",""),마스터시트!$A$2:$H$1946,4,FALSE),""))</f>
        <v/>
      </c>
      <c r="P1156" s="18" t="str">
        <f>IF($K1156="","",IFERROR(VLOOKUP(--SUBSTITUTE(SUBSTITUTE(TRIM($K1156),"-","")," ",""),마스터시트!$A$2:$H$1946,5,FALSE),""))</f>
        <v/>
      </c>
      <c r="Q1156" s="18" t="str">
        <f>IF($K1156="","",IFERROR(VLOOKUP(--SUBSTITUTE(SUBSTITUTE(TRIM($K1156),"-","")," ",""),마스터시트!$A$2:$H$1946,6,FALSE),""))</f>
        <v/>
      </c>
      <c r="R1156" s="18" t="str">
        <f>IF($K1156="","",IFERROR(VLOOKUP(--SUBSTITUTE(SUBSTITUTE(TRIM($K1156),"-","")," ",""),마스터시트!$A$2:$H$1946,7,FALSE),""))</f>
        <v/>
      </c>
    </row>
    <row r="1157" spans="13:18" x14ac:dyDescent="0.3">
      <c r="M1157" s="18" t="str">
        <f>IF($K1157="","",IFERROR(VLOOKUP(--SUBSTITUTE(SUBSTITUTE(TRIM($K1157),"-","")," ",""),마스터시트!$A$2:$H$1946,2,FALSE),"미등록"))</f>
        <v/>
      </c>
      <c r="N1157" s="53" t="str">
        <f>IF($K1157="","",IFERROR(VLOOKUP(--SUBSTITUTE(SUBSTITUTE(TRIM($K1157),"-","")," ",""),마스터시트!$A$2:$H$1946,3,FALSE),"미등록"))</f>
        <v/>
      </c>
      <c r="O1157" s="18" t="str">
        <f>IF($K1157="","",IFERROR(VLOOKUP(--SUBSTITUTE(SUBSTITUTE(TRIM($K1157),"-","")," ",""),마스터시트!$A$2:$H$1946,4,FALSE),""))</f>
        <v/>
      </c>
      <c r="P1157" s="18" t="str">
        <f>IF($K1157="","",IFERROR(VLOOKUP(--SUBSTITUTE(SUBSTITUTE(TRIM($K1157),"-","")," ",""),마스터시트!$A$2:$H$1946,5,FALSE),""))</f>
        <v/>
      </c>
      <c r="Q1157" s="18" t="str">
        <f>IF($K1157="","",IFERROR(VLOOKUP(--SUBSTITUTE(SUBSTITUTE(TRIM($K1157),"-","")," ",""),마스터시트!$A$2:$H$1946,6,FALSE),""))</f>
        <v/>
      </c>
      <c r="R1157" s="18" t="str">
        <f>IF($K1157="","",IFERROR(VLOOKUP(--SUBSTITUTE(SUBSTITUTE(TRIM($K1157),"-","")," ",""),마스터시트!$A$2:$H$1946,7,FALSE),""))</f>
        <v/>
      </c>
    </row>
    <row r="1158" spans="13:18" x14ac:dyDescent="0.3">
      <c r="M1158" s="18" t="str">
        <f>IF($K1158="","",IFERROR(VLOOKUP(--SUBSTITUTE(SUBSTITUTE(TRIM($K1158),"-","")," ",""),마스터시트!$A$2:$H$1946,2,FALSE),"미등록"))</f>
        <v/>
      </c>
      <c r="N1158" s="53" t="str">
        <f>IF($K1158="","",IFERROR(VLOOKUP(--SUBSTITUTE(SUBSTITUTE(TRIM($K1158),"-","")," ",""),마스터시트!$A$2:$H$1946,3,FALSE),"미등록"))</f>
        <v/>
      </c>
      <c r="O1158" s="18" t="str">
        <f>IF($K1158="","",IFERROR(VLOOKUP(--SUBSTITUTE(SUBSTITUTE(TRIM($K1158),"-","")," ",""),마스터시트!$A$2:$H$1946,4,FALSE),""))</f>
        <v/>
      </c>
      <c r="P1158" s="18" t="str">
        <f>IF($K1158="","",IFERROR(VLOOKUP(--SUBSTITUTE(SUBSTITUTE(TRIM($K1158),"-","")," ",""),마스터시트!$A$2:$H$1946,5,FALSE),""))</f>
        <v/>
      </c>
      <c r="Q1158" s="18" t="str">
        <f>IF($K1158="","",IFERROR(VLOOKUP(--SUBSTITUTE(SUBSTITUTE(TRIM($K1158),"-","")," ",""),마스터시트!$A$2:$H$1946,6,FALSE),""))</f>
        <v/>
      </c>
      <c r="R1158" s="18" t="str">
        <f>IF($K1158="","",IFERROR(VLOOKUP(--SUBSTITUTE(SUBSTITUTE(TRIM($K1158),"-","")," ",""),마스터시트!$A$2:$H$1946,7,FALSE),""))</f>
        <v/>
      </c>
    </row>
    <row r="1159" spans="13:18" x14ac:dyDescent="0.3">
      <c r="M1159" s="18" t="str">
        <f>IF($K1159="","",IFERROR(VLOOKUP(--SUBSTITUTE(SUBSTITUTE(TRIM($K1159),"-","")," ",""),마스터시트!$A$2:$H$1946,2,FALSE),"미등록"))</f>
        <v/>
      </c>
      <c r="N1159" s="53" t="str">
        <f>IF($K1159="","",IFERROR(VLOOKUP(--SUBSTITUTE(SUBSTITUTE(TRIM($K1159),"-","")," ",""),마스터시트!$A$2:$H$1946,3,FALSE),"미등록"))</f>
        <v/>
      </c>
      <c r="O1159" s="18" t="str">
        <f>IF($K1159="","",IFERROR(VLOOKUP(--SUBSTITUTE(SUBSTITUTE(TRIM($K1159),"-","")," ",""),마스터시트!$A$2:$H$1946,4,FALSE),""))</f>
        <v/>
      </c>
      <c r="P1159" s="18" t="str">
        <f>IF($K1159="","",IFERROR(VLOOKUP(--SUBSTITUTE(SUBSTITUTE(TRIM($K1159),"-","")," ",""),마스터시트!$A$2:$H$1946,5,FALSE),""))</f>
        <v/>
      </c>
      <c r="Q1159" s="18" t="str">
        <f>IF($K1159="","",IFERROR(VLOOKUP(--SUBSTITUTE(SUBSTITUTE(TRIM($K1159),"-","")," ",""),마스터시트!$A$2:$H$1946,6,FALSE),""))</f>
        <v/>
      </c>
      <c r="R1159" s="18" t="str">
        <f>IF($K1159="","",IFERROR(VLOOKUP(--SUBSTITUTE(SUBSTITUTE(TRIM($K1159),"-","")," ",""),마스터시트!$A$2:$H$1946,7,FALSE),""))</f>
        <v/>
      </c>
    </row>
    <row r="1160" spans="13:18" x14ac:dyDescent="0.3">
      <c r="M1160" s="18" t="str">
        <f>IF($K1160="","",IFERROR(VLOOKUP(--SUBSTITUTE(SUBSTITUTE(TRIM($K1160),"-","")," ",""),마스터시트!$A$2:$H$1946,2,FALSE),"미등록"))</f>
        <v/>
      </c>
      <c r="N1160" s="53" t="str">
        <f>IF($K1160="","",IFERROR(VLOOKUP(--SUBSTITUTE(SUBSTITUTE(TRIM($K1160),"-","")," ",""),마스터시트!$A$2:$H$1946,3,FALSE),"미등록"))</f>
        <v/>
      </c>
      <c r="O1160" s="18" t="str">
        <f>IF($K1160="","",IFERROR(VLOOKUP(--SUBSTITUTE(SUBSTITUTE(TRIM($K1160),"-","")," ",""),마스터시트!$A$2:$H$1946,4,FALSE),""))</f>
        <v/>
      </c>
      <c r="P1160" s="18" t="str">
        <f>IF($K1160="","",IFERROR(VLOOKUP(--SUBSTITUTE(SUBSTITUTE(TRIM($K1160),"-","")," ",""),마스터시트!$A$2:$H$1946,5,FALSE),""))</f>
        <v/>
      </c>
      <c r="Q1160" s="18" t="str">
        <f>IF($K1160="","",IFERROR(VLOOKUP(--SUBSTITUTE(SUBSTITUTE(TRIM($K1160),"-","")," ",""),마스터시트!$A$2:$H$1946,6,FALSE),""))</f>
        <v/>
      </c>
      <c r="R1160" s="18" t="str">
        <f>IF($K1160="","",IFERROR(VLOOKUP(--SUBSTITUTE(SUBSTITUTE(TRIM($K1160),"-","")," ",""),마스터시트!$A$2:$H$1946,7,FALSE),""))</f>
        <v/>
      </c>
    </row>
    <row r="1161" spans="13:18" x14ac:dyDescent="0.3">
      <c r="M1161" s="18" t="str">
        <f>IF($K1161="","",IFERROR(VLOOKUP(--SUBSTITUTE(SUBSTITUTE(TRIM($K1161),"-","")," ",""),마스터시트!$A$2:$H$1946,2,FALSE),"미등록"))</f>
        <v/>
      </c>
      <c r="N1161" s="53" t="str">
        <f>IF($K1161="","",IFERROR(VLOOKUP(--SUBSTITUTE(SUBSTITUTE(TRIM($K1161),"-","")," ",""),마스터시트!$A$2:$H$1946,3,FALSE),"미등록"))</f>
        <v/>
      </c>
      <c r="O1161" s="18" t="str">
        <f>IF($K1161="","",IFERROR(VLOOKUP(--SUBSTITUTE(SUBSTITUTE(TRIM($K1161),"-","")," ",""),마스터시트!$A$2:$H$1946,4,FALSE),""))</f>
        <v/>
      </c>
      <c r="P1161" s="18" t="str">
        <f>IF($K1161="","",IFERROR(VLOOKUP(--SUBSTITUTE(SUBSTITUTE(TRIM($K1161),"-","")," ",""),마스터시트!$A$2:$H$1946,5,FALSE),""))</f>
        <v/>
      </c>
      <c r="Q1161" s="18" t="str">
        <f>IF($K1161="","",IFERROR(VLOOKUP(--SUBSTITUTE(SUBSTITUTE(TRIM($K1161),"-","")," ",""),마스터시트!$A$2:$H$1946,6,FALSE),""))</f>
        <v/>
      </c>
      <c r="R1161" s="18" t="str">
        <f>IF($K1161="","",IFERROR(VLOOKUP(--SUBSTITUTE(SUBSTITUTE(TRIM($K1161),"-","")," ",""),마스터시트!$A$2:$H$1946,7,FALSE),""))</f>
        <v/>
      </c>
    </row>
    <row r="1162" spans="13:18" x14ac:dyDescent="0.3">
      <c r="M1162" s="18" t="str">
        <f>IF($K1162="","",IFERROR(VLOOKUP(--SUBSTITUTE(SUBSTITUTE(TRIM($K1162),"-","")," ",""),마스터시트!$A$2:$H$1946,2,FALSE),"미등록"))</f>
        <v/>
      </c>
      <c r="N1162" s="53" t="str">
        <f>IF($K1162="","",IFERROR(VLOOKUP(--SUBSTITUTE(SUBSTITUTE(TRIM($K1162),"-","")," ",""),마스터시트!$A$2:$H$1946,3,FALSE),"미등록"))</f>
        <v/>
      </c>
      <c r="O1162" s="18" t="str">
        <f>IF($K1162="","",IFERROR(VLOOKUP(--SUBSTITUTE(SUBSTITUTE(TRIM($K1162),"-","")," ",""),마스터시트!$A$2:$H$1946,4,FALSE),""))</f>
        <v/>
      </c>
      <c r="P1162" s="18" t="str">
        <f>IF($K1162="","",IFERROR(VLOOKUP(--SUBSTITUTE(SUBSTITUTE(TRIM($K1162),"-","")," ",""),마스터시트!$A$2:$H$1946,5,FALSE),""))</f>
        <v/>
      </c>
      <c r="Q1162" s="18" t="str">
        <f>IF($K1162="","",IFERROR(VLOOKUP(--SUBSTITUTE(SUBSTITUTE(TRIM($K1162),"-","")," ",""),마스터시트!$A$2:$H$1946,6,FALSE),""))</f>
        <v/>
      </c>
      <c r="R1162" s="18" t="str">
        <f>IF($K1162="","",IFERROR(VLOOKUP(--SUBSTITUTE(SUBSTITUTE(TRIM($K1162),"-","")," ",""),마스터시트!$A$2:$H$1946,7,FALSE),""))</f>
        <v/>
      </c>
    </row>
    <row r="1163" spans="13:18" x14ac:dyDescent="0.3">
      <c r="M1163" s="18" t="str">
        <f>IF($K1163="","",IFERROR(VLOOKUP(--SUBSTITUTE(SUBSTITUTE(TRIM($K1163),"-","")," ",""),마스터시트!$A$2:$H$1946,2,FALSE),"미등록"))</f>
        <v/>
      </c>
      <c r="N1163" s="53" t="str">
        <f>IF($K1163="","",IFERROR(VLOOKUP(--SUBSTITUTE(SUBSTITUTE(TRIM($K1163),"-","")," ",""),마스터시트!$A$2:$H$1946,3,FALSE),"미등록"))</f>
        <v/>
      </c>
      <c r="O1163" s="18" t="str">
        <f>IF($K1163="","",IFERROR(VLOOKUP(--SUBSTITUTE(SUBSTITUTE(TRIM($K1163),"-","")," ",""),마스터시트!$A$2:$H$1946,4,FALSE),""))</f>
        <v/>
      </c>
      <c r="P1163" s="18" t="str">
        <f>IF($K1163="","",IFERROR(VLOOKUP(--SUBSTITUTE(SUBSTITUTE(TRIM($K1163),"-","")," ",""),마스터시트!$A$2:$H$1946,5,FALSE),""))</f>
        <v/>
      </c>
      <c r="Q1163" s="18" t="str">
        <f>IF($K1163="","",IFERROR(VLOOKUP(--SUBSTITUTE(SUBSTITUTE(TRIM($K1163),"-","")," ",""),마스터시트!$A$2:$H$1946,6,FALSE),""))</f>
        <v/>
      </c>
      <c r="R1163" s="18" t="str">
        <f>IF($K1163="","",IFERROR(VLOOKUP(--SUBSTITUTE(SUBSTITUTE(TRIM($K1163),"-","")," ",""),마스터시트!$A$2:$H$1946,7,FALSE),""))</f>
        <v/>
      </c>
    </row>
    <row r="1164" spans="13:18" x14ac:dyDescent="0.3">
      <c r="M1164" s="18" t="str">
        <f>IF($K1164="","",IFERROR(VLOOKUP(--SUBSTITUTE(SUBSTITUTE(TRIM($K1164),"-","")," ",""),마스터시트!$A$2:$H$1946,2,FALSE),"미등록"))</f>
        <v/>
      </c>
      <c r="N1164" s="53" t="str">
        <f>IF($K1164="","",IFERROR(VLOOKUP(--SUBSTITUTE(SUBSTITUTE(TRIM($K1164),"-","")," ",""),마스터시트!$A$2:$H$1946,3,FALSE),"미등록"))</f>
        <v/>
      </c>
      <c r="O1164" s="18" t="str">
        <f>IF($K1164="","",IFERROR(VLOOKUP(--SUBSTITUTE(SUBSTITUTE(TRIM($K1164),"-","")," ",""),마스터시트!$A$2:$H$1946,4,FALSE),""))</f>
        <v/>
      </c>
      <c r="P1164" s="18" t="str">
        <f>IF($K1164="","",IFERROR(VLOOKUP(--SUBSTITUTE(SUBSTITUTE(TRIM($K1164),"-","")," ",""),마스터시트!$A$2:$H$1946,5,FALSE),""))</f>
        <v/>
      </c>
      <c r="Q1164" s="18" t="str">
        <f>IF($K1164="","",IFERROR(VLOOKUP(--SUBSTITUTE(SUBSTITUTE(TRIM($K1164),"-","")," ",""),마스터시트!$A$2:$H$1946,6,FALSE),""))</f>
        <v/>
      </c>
      <c r="R1164" s="18" t="str">
        <f>IF($K1164="","",IFERROR(VLOOKUP(--SUBSTITUTE(SUBSTITUTE(TRIM($K1164),"-","")," ",""),마스터시트!$A$2:$H$1946,7,FALSE),""))</f>
        <v/>
      </c>
    </row>
    <row r="1165" spans="13:18" x14ac:dyDescent="0.3">
      <c r="M1165" s="18" t="str">
        <f>IF($K1165="","",IFERROR(VLOOKUP(--SUBSTITUTE(SUBSTITUTE(TRIM($K1165),"-","")," ",""),마스터시트!$A$2:$H$1946,2,FALSE),"미등록"))</f>
        <v/>
      </c>
      <c r="N1165" s="53" t="str">
        <f>IF($K1165="","",IFERROR(VLOOKUP(--SUBSTITUTE(SUBSTITUTE(TRIM($K1165),"-","")," ",""),마스터시트!$A$2:$H$1946,3,FALSE),"미등록"))</f>
        <v/>
      </c>
      <c r="O1165" s="18" t="str">
        <f>IF($K1165="","",IFERROR(VLOOKUP(--SUBSTITUTE(SUBSTITUTE(TRIM($K1165),"-","")," ",""),마스터시트!$A$2:$H$1946,4,FALSE),""))</f>
        <v/>
      </c>
      <c r="P1165" s="18" t="str">
        <f>IF($K1165="","",IFERROR(VLOOKUP(--SUBSTITUTE(SUBSTITUTE(TRIM($K1165),"-","")," ",""),마스터시트!$A$2:$H$1946,5,FALSE),""))</f>
        <v/>
      </c>
      <c r="Q1165" s="18" t="str">
        <f>IF($K1165="","",IFERROR(VLOOKUP(--SUBSTITUTE(SUBSTITUTE(TRIM($K1165),"-","")," ",""),마스터시트!$A$2:$H$1946,6,FALSE),""))</f>
        <v/>
      </c>
      <c r="R1165" s="18" t="str">
        <f>IF($K1165="","",IFERROR(VLOOKUP(--SUBSTITUTE(SUBSTITUTE(TRIM($K1165),"-","")," ",""),마스터시트!$A$2:$H$1946,7,FALSE),""))</f>
        <v/>
      </c>
    </row>
    <row r="1166" spans="13:18" x14ac:dyDescent="0.3">
      <c r="M1166" s="18" t="str">
        <f>IF($K1166="","",IFERROR(VLOOKUP(--SUBSTITUTE(SUBSTITUTE(TRIM($K1166),"-","")," ",""),마스터시트!$A$2:$H$1946,2,FALSE),"미등록"))</f>
        <v/>
      </c>
      <c r="N1166" s="53" t="str">
        <f>IF($K1166="","",IFERROR(VLOOKUP(--SUBSTITUTE(SUBSTITUTE(TRIM($K1166),"-","")," ",""),마스터시트!$A$2:$H$1946,3,FALSE),"미등록"))</f>
        <v/>
      </c>
      <c r="O1166" s="18" t="str">
        <f>IF($K1166="","",IFERROR(VLOOKUP(--SUBSTITUTE(SUBSTITUTE(TRIM($K1166),"-","")," ",""),마스터시트!$A$2:$H$1946,4,FALSE),""))</f>
        <v/>
      </c>
      <c r="P1166" s="18" t="str">
        <f>IF($K1166="","",IFERROR(VLOOKUP(--SUBSTITUTE(SUBSTITUTE(TRIM($K1166),"-","")," ",""),마스터시트!$A$2:$H$1946,5,FALSE),""))</f>
        <v/>
      </c>
      <c r="Q1166" s="18" t="str">
        <f>IF($K1166="","",IFERROR(VLOOKUP(--SUBSTITUTE(SUBSTITUTE(TRIM($K1166),"-","")," ",""),마스터시트!$A$2:$H$1946,6,FALSE),""))</f>
        <v/>
      </c>
      <c r="R1166" s="18" t="str">
        <f>IF($K1166="","",IFERROR(VLOOKUP(--SUBSTITUTE(SUBSTITUTE(TRIM($K1166),"-","")," ",""),마스터시트!$A$2:$H$1946,7,FALSE),""))</f>
        <v/>
      </c>
    </row>
    <row r="1167" spans="13:18" x14ac:dyDescent="0.3">
      <c r="M1167" s="18" t="str">
        <f>IF($K1167="","",IFERROR(VLOOKUP(--SUBSTITUTE(SUBSTITUTE(TRIM($K1167),"-","")," ",""),마스터시트!$A$2:$H$1946,2,FALSE),"미등록"))</f>
        <v/>
      </c>
      <c r="N1167" s="53" t="str">
        <f>IF($K1167="","",IFERROR(VLOOKUP(--SUBSTITUTE(SUBSTITUTE(TRIM($K1167),"-","")," ",""),마스터시트!$A$2:$H$1946,3,FALSE),"미등록"))</f>
        <v/>
      </c>
      <c r="O1167" s="18" t="str">
        <f>IF($K1167="","",IFERROR(VLOOKUP(--SUBSTITUTE(SUBSTITUTE(TRIM($K1167),"-","")," ",""),마스터시트!$A$2:$H$1946,4,FALSE),""))</f>
        <v/>
      </c>
      <c r="P1167" s="18" t="str">
        <f>IF($K1167="","",IFERROR(VLOOKUP(--SUBSTITUTE(SUBSTITUTE(TRIM($K1167),"-","")," ",""),마스터시트!$A$2:$H$1946,5,FALSE),""))</f>
        <v/>
      </c>
      <c r="Q1167" s="18" t="str">
        <f>IF($K1167="","",IFERROR(VLOOKUP(--SUBSTITUTE(SUBSTITUTE(TRIM($K1167),"-","")," ",""),마스터시트!$A$2:$H$1946,6,FALSE),""))</f>
        <v/>
      </c>
      <c r="R1167" s="18" t="str">
        <f>IF($K1167="","",IFERROR(VLOOKUP(--SUBSTITUTE(SUBSTITUTE(TRIM($K1167),"-","")," ",""),마스터시트!$A$2:$H$1946,7,FALSE),""))</f>
        <v/>
      </c>
    </row>
    <row r="1168" spans="13:18" x14ac:dyDescent="0.3">
      <c r="M1168" s="18" t="str">
        <f>IF($K1168="","",IFERROR(VLOOKUP(--SUBSTITUTE(SUBSTITUTE(TRIM($K1168),"-","")," ",""),마스터시트!$A$2:$H$1946,2,FALSE),"미등록"))</f>
        <v/>
      </c>
      <c r="N1168" s="53" t="str">
        <f>IF($K1168="","",IFERROR(VLOOKUP(--SUBSTITUTE(SUBSTITUTE(TRIM($K1168),"-","")," ",""),마스터시트!$A$2:$H$1946,3,FALSE),"미등록"))</f>
        <v/>
      </c>
      <c r="O1168" s="18" t="str">
        <f>IF($K1168="","",IFERROR(VLOOKUP(--SUBSTITUTE(SUBSTITUTE(TRIM($K1168),"-","")," ",""),마스터시트!$A$2:$H$1946,4,FALSE),""))</f>
        <v/>
      </c>
      <c r="P1168" s="18" t="str">
        <f>IF($K1168="","",IFERROR(VLOOKUP(--SUBSTITUTE(SUBSTITUTE(TRIM($K1168),"-","")," ",""),마스터시트!$A$2:$H$1946,5,FALSE),""))</f>
        <v/>
      </c>
      <c r="Q1168" s="18" t="str">
        <f>IF($K1168="","",IFERROR(VLOOKUP(--SUBSTITUTE(SUBSTITUTE(TRIM($K1168),"-","")," ",""),마스터시트!$A$2:$H$1946,6,FALSE),""))</f>
        <v/>
      </c>
      <c r="R1168" s="18" t="str">
        <f>IF($K1168="","",IFERROR(VLOOKUP(--SUBSTITUTE(SUBSTITUTE(TRIM($K1168),"-","")," ",""),마스터시트!$A$2:$H$1946,7,FALSE),""))</f>
        <v/>
      </c>
    </row>
    <row r="1169" spans="13:18" x14ac:dyDescent="0.3">
      <c r="M1169" s="18" t="str">
        <f>IF($K1169="","",IFERROR(VLOOKUP(--SUBSTITUTE(SUBSTITUTE(TRIM($K1169),"-","")," ",""),마스터시트!$A$2:$H$1946,2,FALSE),"미등록"))</f>
        <v/>
      </c>
      <c r="N1169" s="53" t="str">
        <f>IF($K1169="","",IFERROR(VLOOKUP(--SUBSTITUTE(SUBSTITUTE(TRIM($K1169),"-","")," ",""),마스터시트!$A$2:$H$1946,3,FALSE),"미등록"))</f>
        <v/>
      </c>
      <c r="O1169" s="18" t="str">
        <f>IF($K1169="","",IFERROR(VLOOKUP(--SUBSTITUTE(SUBSTITUTE(TRIM($K1169),"-","")," ",""),마스터시트!$A$2:$H$1946,4,FALSE),""))</f>
        <v/>
      </c>
      <c r="P1169" s="18" t="str">
        <f>IF($K1169="","",IFERROR(VLOOKUP(--SUBSTITUTE(SUBSTITUTE(TRIM($K1169),"-","")," ",""),마스터시트!$A$2:$H$1946,5,FALSE),""))</f>
        <v/>
      </c>
      <c r="Q1169" s="18" t="str">
        <f>IF($K1169="","",IFERROR(VLOOKUP(--SUBSTITUTE(SUBSTITUTE(TRIM($K1169),"-","")," ",""),마스터시트!$A$2:$H$1946,6,FALSE),""))</f>
        <v/>
      </c>
      <c r="R1169" s="18" t="str">
        <f>IF($K1169="","",IFERROR(VLOOKUP(--SUBSTITUTE(SUBSTITUTE(TRIM($K1169),"-","")," ",""),마스터시트!$A$2:$H$1946,7,FALSE),""))</f>
        <v/>
      </c>
    </row>
    <row r="1170" spans="13:18" x14ac:dyDescent="0.3">
      <c r="M1170" s="18" t="str">
        <f>IF($K1170="","",IFERROR(VLOOKUP(--SUBSTITUTE(SUBSTITUTE(TRIM($K1170),"-","")," ",""),마스터시트!$A$2:$H$1946,2,FALSE),"미등록"))</f>
        <v/>
      </c>
      <c r="N1170" s="53" t="str">
        <f>IF($K1170="","",IFERROR(VLOOKUP(--SUBSTITUTE(SUBSTITUTE(TRIM($K1170),"-","")," ",""),마스터시트!$A$2:$H$1946,3,FALSE),"미등록"))</f>
        <v/>
      </c>
      <c r="O1170" s="18" t="str">
        <f>IF($K1170="","",IFERROR(VLOOKUP(--SUBSTITUTE(SUBSTITUTE(TRIM($K1170),"-","")," ",""),마스터시트!$A$2:$H$1946,4,FALSE),""))</f>
        <v/>
      </c>
      <c r="P1170" s="18" t="str">
        <f>IF($K1170="","",IFERROR(VLOOKUP(--SUBSTITUTE(SUBSTITUTE(TRIM($K1170),"-","")," ",""),마스터시트!$A$2:$H$1946,5,FALSE),""))</f>
        <v/>
      </c>
      <c r="Q1170" s="18" t="str">
        <f>IF($K1170="","",IFERROR(VLOOKUP(--SUBSTITUTE(SUBSTITUTE(TRIM($K1170),"-","")," ",""),마스터시트!$A$2:$H$1946,6,FALSE),""))</f>
        <v/>
      </c>
      <c r="R1170" s="18" t="str">
        <f>IF($K1170="","",IFERROR(VLOOKUP(--SUBSTITUTE(SUBSTITUTE(TRIM($K1170),"-","")," ",""),마스터시트!$A$2:$H$1946,7,FALSE),""))</f>
        <v/>
      </c>
    </row>
    <row r="1171" spans="13:18" x14ac:dyDescent="0.3">
      <c r="M1171" s="18" t="str">
        <f>IF($K1171="","",IFERROR(VLOOKUP(--SUBSTITUTE(SUBSTITUTE(TRIM($K1171),"-","")," ",""),마스터시트!$A$2:$H$1946,2,FALSE),"미등록"))</f>
        <v/>
      </c>
      <c r="N1171" s="53" t="str">
        <f>IF($K1171="","",IFERROR(VLOOKUP(--SUBSTITUTE(SUBSTITUTE(TRIM($K1171),"-","")," ",""),마스터시트!$A$2:$H$1946,3,FALSE),"미등록"))</f>
        <v/>
      </c>
      <c r="O1171" s="18" t="str">
        <f>IF($K1171="","",IFERROR(VLOOKUP(--SUBSTITUTE(SUBSTITUTE(TRIM($K1171),"-","")," ",""),마스터시트!$A$2:$H$1946,4,FALSE),""))</f>
        <v/>
      </c>
      <c r="P1171" s="18" t="str">
        <f>IF($K1171="","",IFERROR(VLOOKUP(--SUBSTITUTE(SUBSTITUTE(TRIM($K1171),"-","")," ",""),마스터시트!$A$2:$H$1946,5,FALSE),""))</f>
        <v/>
      </c>
      <c r="Q1171" s="18" t="str">
        <f>IF($K1171="","",IFERROR(VLOOKUP(--SUBSTITUTE(SUBSTITUTE(TRIM($K1171),"-","")," ",""),마스터시트!$A$2:$H$1946,6,FALSE),""))</f>
        <v/>
      </c>
      <c r="R1171" s="18" t="str">
        <f>IF($K1171="","",IFERROR(VLOOKUP(--SUBSTITUTE(SUBSTITUTE(TRIM($K1171),"-","")," ",""),마스터시트!$A$2:$H$1946,7,FALSE),""))</f>
        <v/>
      </c>
    </row>
    <row r="1172" spans="13:18" x14ac:dyDescent="0.3">
      <c r="M1172" s="18" t="str">
        <f>IF($K1172="","",IFERROR(VLOOKUP(--SUBSTITUTE(SUBSTITUTE(TRIM($K1172),"-","")," ",""),마스터시트!$A$2:$H$1946,2,FALSE),"미등록"))</f>
        <v/>
      </c>
      <c r="N1172" s="53" t="str">
        <f>IF($K1172="","",IFERROR(VLOOKUP(--SUBSTITUTE(SUBSTITUTE(TRIM($K1172),"-","")," ",""),마스터시트!$A$2:$H$1946,3,FALSE),"미등록"))</f>
        <v/>
      </c>
      <c r="O1172" s="18" t="str">
        <f>IF($K1172="","",IFERROR(VLOOKUP(--SUBSTITUTE(SUBSTITUTE(TRIM($K1172),"-","")," ",""),마스터시트!$A$2:$H$1946,4,FALSE),""))</f>
        <v/>
      </c>
      <c r="P1172" s="18" t="str">
        <f>IF($K1172="","",IFERROR(VLOOKUP(--SUBSTITUTE(SUBSTITUTE(TRIM($K1172),"-","")," ",""),마스터시트!$A$2:$H$1946,5,FALSE),""))</f>
        <v/>
      </c>
      <c r="Q1172" s="18" t="str">
        <f>IF($K1172="","",IFERROR(VLOOKUP(--SUBSTITUTE(SUBSTITUTE(TRIM($K1172),"-","")," ",""),마스터시트!$A$2:$H$1946,6,FALSE),""))</f>
        <v/>
      </c>
      <c r="R1172" s="18" t="str">
        <f>IF($K1172="","",IFERROR(VLOOKUP(--SUBSTITUTE(SUBSTITUTE(TRIM($K1172),"-","")," ",""),마스터시트!$A$2:$H$1946,7,FALSE),""))</f>
        <v/>
      </c>
    </row>
    <row r="1173" spans="13:18" x14ac:dyDescent="0.3">
      <c r="M1173" s="18" t="str">
        <f>IF($K1173="","",IFERROR(VLOOKUP(--SUBSTITUTE(SUBSTITUTE(TRIM($K1173),"-","")," ",""),마스터시트!$A$2:$H$1946,2,FALSE),"미등록"))</f>
        <v/>
      </c>
      <c r="N1173" s="53" t="str">
        <f>IF($K1173="","",IFERROR(VLOOKUP(--SUBSTITUTE(SUBSTITUTE(TRIM($K1173),"-","")," ",""),마스터시트!$A$2:$H$1946,3,FALSE),"미등록"))</f>
        <v/>
      </c>
      <c r="O1173" s="18" t="str">
        <f>IF($K1173="","",IFERROR(VLOOKUP(--SUBSTITUTE(SUBSTITUTE(TRIM($K1173),"-","")," ",""),마스터시트!$A$2:$H$1946,4,FALSE),""))</f>
        <v/>
      </c>
      <c r="P1173" s="18" t="str">
        <f>IF($K1173="","",IFERROR(VLOOKUP(--SUBSTITUTE(SUBSTITUTE(TRIM($K1173),"-","")," ",""),마스터시트!$A$2:$H$1946,5,FALSE),""))</f>
        <v/>
      </c>
      <c r="Q1173" s="18" t="str">
        <f>IF($K1173="","",IFERROR(VLOOKUP(--SUBSTITUTE(SUBSTITUTE(TRIM($K1173),"-","")," ",""),마스터시트!$A$2:$H$1946,6,FALSE),""))</f>
        <v/>
      </c>
      <c r="R1173" s="18" t="str">
        <f>IF($K1173="","",IFERROR(VLOOKUP(--SUBSTITUTE(SUBSTITUTE(TRIM($K1173),"-","")," ",""),마스터시트!$A$2:$H$1946,7,FALSE),""))</f>
        <v/>
      </c>
    </row>
    <row r="1174" spans="13:18" x14ac:dyDescent="0.3">
      <c r="M1174" s="18" t="str">
        <f>IF($K1174="","",IFERROR(VLOOKUP(--SUBSTITUTE(SUBSTITUTE(TRIM($K1174),"-","")," ",""),마스터시트!$A$2:$H$1946,2,FALSE),"미등록"))</f>
        <v/>
      </c>
      <c r="N1174" s="53" t="str">
        <f>IF($K1174="","",IFERROR(VLOOKUP(--SUBSTITUTE(SUBSTITUTE(TRIM($K1174),"-","")," ",""),마스터시트!$A$2:$H$1946,3,FALSE),"미등록"))</f>
        <v/>
      </c>
      <c r="O1174" s="18" t="str">
        <f>IF($K1174="","",IFERROR(VLOOKUP(--SUBSTITUTE(SUBSTITUTE(TRIM($K1174),"-","")," ",""),마스터시트!$A$2:$H$1946,4,FALSE),""))</f>
        <v/>
      </c>
      <c r="P1174" s="18" t="str">
        <f>IF($K1174="","",IFERROR(VLOOKUP(--SUBSTITUTE(SUBSTITUTE(TRIM($K1174),"-","")," ",""),마스터시트!$A$2:$H$1946,5,FALSE),""))</f>
        <v/>
      </c>
      <c r="Q1174" s="18" t="str">
        <f>IF($K1174="","",IFERROR(VLOOKUP(--SUBSTITUTE(SUBSTITUTE(TRIM($K1174),"-","")," ",""),마스터시트!$A$2:$H$1946,6,FALSE),""))</f>
        <v/>
      </c>
      <c r="R1174" s="18" t="str">
        <f>IF($K1174="","",IFERROR(VLOOKUP(--SUBSTITUTE(SUBSTITUTE(TRIM($K1174),"-","")," ",""),마스터시트!$A$2:$H$1946,7,FALSE),""))</f>
        <v/>
      </c>
    </row>
    <row r="1175" spans="13:18" x14ac:dyDescent="0.3">
      <c r="M1175" s="18" t="str">
        <f>IF($K1175="","",IFERROR(VLOOKUP(--SUBSTITUTE(SUBSTITUTE(TRIM($K1175),"-","")," ",""),마스터시트!$A$2:$H$1946,2,FALSE),"미등록"))</f>
        <v/>
      </c>
      <c r="N1175" s="53" t="str">
        <f>IF($K1175="","",IFERROR(VLOOKUP(--SUBSTITUTE(SUBSTITUTE(TRIM($K1175),"-","")," ",""),마스터시트!$A$2:$H$1946,3,FALSE),"미등록"))</f>
        <v/>
      </c>
      <c r="O1175" s="18" t="str">
        <f>IF($K1175="","",IFERROR(VLOOKUP(--SUBSTITUTE(SUBSTITUTE(TRIM($K1175),"-","")," ",""),마스터시트!$A$2:$H$1946,4,FALSE),""))</f>
        <v/>
      </c>
      <c r="P1175" s="18" t="str">
        <f>IF($K1175="","",IFERROR(VLOOKUP(--SUBSTITUTE(SUBSTITUTE(TRIM($K1175),"-","")," ",""),마스터시트!$A$2:$H$1946,5,FALSE),""))</f>
        <v/>
      </c>
      <c r="Q1175" s="18" t="str">
        <f>IF($K1175="","",IFERROR(VLOOKUP(--SUBSTITUTE(SUBSTITUTE(TRIM($K1175),"-","")," ",""),마스터시트!$A$2:$H$1946,6,FALSE),""))</f>
        <v/>
      </c>
      <c r="R1175" s="18" t="str">
        <f>IF($K1175="","",IFERROR(VLOOKUP(--SUBSTITUTE(SUBSTITUTE(TRIM($K1175),"-","")," ",""),마스터시트!$A$2:$H$1946,7,FALSE),""))</f>
        <v/>
      </c>
    </row>
    <row r="1176" spans="13:18" x14ac:dyDescent="0.3">
      <c r="M1176" s="18" t="str">
        <f>IF($K1176="","",IFERROR(VLOOKUP(--SUBSTITUTE(SUBSTITUTE(TRIM($K1176),"-","")," ",""),마스터시트!$A$2:$H$1946,2,FALSE),"미등록"))</f>
        <v/>
      </c>
      <c r="N1176" s="53" t="str">
        <f>IF($K1176="","",IFERROR(VLOOKUP(--SUBSTITUTE(SUBSTITUTE(TRIM($K1176),"-","")," ",""),마스터시트!$A$2:$H$1946,3,FALSE),"미등록"))</f>
        <v/>
      </c>
      <c r="O1176" s="18" t="str">
        <f>IF($K1176="","",IFERROR(VLOOKUP(--SUBSTITUTE(SUBSTITUTE(TRIM($K1176),"-","")," ",""),마스터시트!$A$2:$H$1946,4,FALSE),""))</f>
        <v/>
      </c>
      <c r="P1176" s="18" t="str">
        <f>IF($K1176="","",IFERROR(VLOOKUP(--SUBSTITUTE(SUBSTITUTE(TRIM($K1176),"-","")," ",""),마스터시트!$A$2:$H$1946,5,FALSE),""))</f>
        <v/>
      </c>
      <c r="Q1176" s="18" t="str">
        <f>IF($K1176="","",IFERROR(VLOOKUP(--SUBSTITUTE(SUBSTITUTE(TRIM($K1176),"-","")," ",""),마스터시트!$A$2:$H$1946,6,FALSE),""))</f>
        <v/>
      </c>
      <c r="R1176" s="18" t="str">
        <f>IF($K1176="","",IFERROR(VLOOKUP(--SUBSTITUTE(SUBSTITUTE(TRIM($K1176),"-","")," ",""),마스터시트!$A$2:$H$1946,7,FALSE),""))</f>
        <v/>
      </c>
    </row>
    <row r="1177" spans="13:18" x14ac:dyDescent="0.3">
      <c r="M1177" s="18" t="str">
        <f>IF($K1177="","",IFERROR(VLOOKUP(--SUBSTITUTE(SUBSTITUTE(TRIM($K1177),"-","")," ",""),마스터시트!$A$2:$H$1946,2,FALSE),"미등록"))</f>
        <v/>
      </c>
      <c r="N1177" s="53" t="str">
        <f>IF($K1177="","",IFERROR(VLOOKUP(--SUBSTITUTE(SUBSTITUTE(TRIM($K1177),"-","")," ",""),마스터시트!$A$2:$H$1946,3,FALSE),"미등록"))</f>
        <v/>
      </c>
      <c r="O1177" s="18" t="str">
        <f>IF($K1177="","",IFERROR(VLOOKUP(--SUBSTITUTE(SUBSTITUTE(TRIM($K1177),"-","")," ",""),마스터시트!$A$2:$H$1946,4,FALSE),""))</f>
        <v/>
      </c>
      <c r="P1177" s="18" t="str">
        <f>IF($K1177="","",IFERROR(VLOOKUP(--SUBSTITUTE(SUBSTITUTE(TRIM($K1177),"-","")," ",""),마스터시트!$A$2:$H$1946,5,FALSE),""))</f>
        <v/>
      </c>
      <c r="Q1177" s="18" t="str">
        <f>IF($K1177="","",IFERROR(VLOOKUP(--SUBSTITUTE(SUBSTITUTE(TRIM($K1177),"-","")," ",""),마스터시트!$A$2:$H$1946,6,FALSE),""))</f>
        <v/>
      </c>
      <c r="R1177" s="18" t="str">
        <f>IF($K1177="","",IFERROR(VLOOKUP(--SUBSTITUTE(SUBSTITUTE(TRIM($K1177),"-","")," ",""),마스터시트!$A$2:$H$1946,7,FALSE),""))</f>
        <v/>
      </c>
    </row>
    <row r="1178" spans="13:18" x14ac:dyDescent="0.3">
      <c r="M1178" s="18" t="str">
        <f>IF($K1178="","",IFERROR(VLOOKUP(--SUBSTITUTE(SUBSTITUTE(TRIM($K1178),"-","")," ",""),마스터시트!$A$2:$H$1946,2,FALSE),"미등록"))</f>
        <v/>
      </c>
      <c r="N1178" s="53" t="str">
        <f>IF($K1178="","",IFERROR(VLOOKUP(--SUBSTITUTE(SUBSTITUTE(TRIM($K1178),"-","")," ",""),마스터시트!$A$2:$H$1946,3,FALSE),"미등록"))</f>
        <v/>
      </c>
      <c r="O1178" s="18" t="str">
        <f>IF($K1178="","",IFERROR(VLOOKUP(--SUBSTITUTE(SUBSTITUTE(TRIM($K1178),"-","")," ",""),마스터시트!$A$2:$H$1946,4,FALSE),""))</f>
        <v/>
      </c>
      <c r="P1178" s="18" t="str">
        <f>IF($K1178="","",IFERROR(VLOOKUP(--SUBSTITUTE(SUBSTITUTE(TRIM($K1178),"-","")," ",""),마스터시트!$A$2:$H$1946,5,FALSE),""))</f>
        <v/>
      </c>
      <c r="Q1178" s="18" t="str">
        <f>IF($K1178="","",IFERROR(VLOOKUP(--SUBSTITUTE(SUBSTITUTE(TRIM($K1178),"-","")," ",""),마스터시트!$A$2:$H$1946,6,FALSE),""))</f>
        <v/>
      </c>
      <c r="R1178" s="18" t="str">
        <f>IF($K1178="","",IFERROR(VLOOKUP(--SUBSTITUTE(SUBSTITUTE(TRIM($K1178),"-","")," ",""),마스터시트!$A$2:$H$1946,7,FALSE),""))</f>
        <v/>
      </c>
    </row>
    <row r="1179" spans="13:18" x14ac:dyDescent="0.3">
      <c r="M1179" s="18" t="str">
        <f>IF($K1179="","",IFERROR(VLOOKUP(--SUBSTITUTE(SUBSTITUTE(TRIM($K1179),"-","")," ",""),마스터시트!$A$2:$H$1946,2,FALSE),"미등록"))</f>
        <v/>
      </c>
      <c r="N1179" s="53" t="str">
        <f>IF($K1179="","",IFERROR(VLOOKUP(--SUBSTITUTE(SUBSTITUTE(TRIM($K1179),"-","")," ",""),마스터시트!$A$2:$H$1946,3,FALSE),"미등록"))</f>
        <v/>
      </c>
      <c r="O1179" s="18" t="str">
        <f>IF($K1179="","",IFERROR(VLOOKUP(--SUBSTITUTE(SUBSTITUTE(TRIM($K1179),"-","")," ",""),마스터시트!$A$2:$H$1946,4,FALSE),""))</f>
        <v/>
      </c>
      <c r="P1179" s="18" t="str">
        <f>IF($K1179="","",IFERROR(VLOOKUP(--SUBSTITUTE(SUBSTITUTE(TRIM($K1179),"-","")," ",""),마스터시트!$A$2:$H$1946,5,FALSE),""))</f>
        <v/>
      </c>
      <c r="Q1179" s="18" t="str">
        <f>IF($K1179="","",IFERROR(VLOOKUP(--SUBSTITUTE(SUBSTITUTE(TRIM($K1179),"-","")," ",""),마스터시트!$A$2:$H$1946,6,FALSE),""))</f>
        <v/>
      </c>
      <c r="R1179" s="18" t="str">
        <f>IF($K1179="","",IFERROR(VLOOKUP(--SUBSTITUTE(SUBSTITUTE(TRIM($K1179),"-","")," ",""),마스터시트!$A$2:$H$1946,7,FALSE),""))</f>
        <v/>
      </c>
    </row>
    <row r="1180" spans="13:18" x14ac:dyDescent="0.3">
      <c r="M1180" s="18" t="str">
        <f>IF($K1180="","",IFERROR(VLOOKUP(--SUBSTITUTE(SUBSTITUTE(TRIM($K1180),"-","")," ",""),마스터시트!$A$2:$H$1946,2,FALSE),"미등록"))</f>
        <v/>
      </c>
      <c r="N1180" s="53" t="str">
        <f>IF($K1180="","",IFERROR(VLOOKUP(--SUBSTITUTE(SUBSTITUTE(TRIM($K1180),"-","")," ",""),마스터시트!$A$2:$H$1946,3,FALSE),"미등록"))</f>
        <v/>
      </c>
      <c r="O1180" s="18" t="str">
        <f>IF($K1180="","",IFERROR(VLOOKUP(--SUBSTITUTE(SUBSTITUTE(TRIM($K1180),"-","")," ",""),마스터시트!$A$2:$H$1946,4,FALSE),""))</f>
        <v/>
      </c>
      <c r="P1180" s="18" t="str">
        <f>IF($K1180="","",IFERROR(VLOOKUP(--SUBSTITUTE(SUBSTITUTE(TRIM($K1180),"-","")," ",""),마스터시트!$A$2:$H$1946,5,FALSE),""))</f>
        <v/>
      </c>
      <c r="Q1180" s="18" t="str">
        <f>IF($K1180="","",IFERROR(VLOOKUP(--SUBSTITUTE(SUBSTITUTE(TRIM($K1180),"-","")," ",""),마스터시트!$A$2:$H$1946,6,FALSE),""))</f>
        <v/>
      </c>
      <c r="R1180" s="18" t="str">
        <f>IF($K1180="","",IFERROR(VLOOKUP(--SUBSTITUTE(SUBSTITUTE(TRIM($K1180),"-","")," ",""),마스터시트!$A$2:$H$1946,7,FALSE),""))</f>
        <v/>
      </c>
    </row>
    <row r="1181" spans="13:18" x14ac:dyDescent="0.3">
      <c r="M1181" s="18" t="str">
        <f>IF($K1181="","",IFERROR(VLOOKUP(--SUBSTITUTE(SUBSTITUTE(TRIM($K1181),"-","")," ",""),마스터시트!$A$2:$H$1946,2,FALSE),"미등록"))</f>
        <v/>
      </c>
      <c r="N1181" s="53" t="str">
        <f>IF($K1181="","",IFERROR(VLOOKUP(--SUBSTITUTE(SUBSTITUTE(TRIM($K1181),"-","")," ",""),마스터시트!$A$2:$H$1946,3,FALSE),"미등록"))</f>
        <v/>
      </c>
      <c r="O1181" s="18" t="str">
        <f>IF($K1181="","",IFERROR(VLOOKUP(--SUBSTITUTE(SUBSTITUTE(TRIM($K1181),"-","")," ",""),마스터시트!$A$2:$H$1946,4,FALSE),""))</f>
        <v/>
      </c>
      <c r="P1181" s="18" t="str">
        <f>IF($K1181="","",IFERROR(VLOOKUP(--SUBSTITUTE(SUBSTITUTE(TRIM($K1181),"-","")," ",""),마스터시트!$A$2:$H$1946,5,FALSE),""))</f>
        <v/>
      </c>
      <c r="Q1181" s="18" t="str">
        <f>IF($K1181="","",IFERROR(VLOOKUP(--SUBSTITUTE(SUBSTITUTE(TRIM($K1181),"-","")," ",""),마스터시트!$A$2:$H$1946,6,FALSE),""))</f>
        <v/>
      </c>
      <c r="R1181" s="18" t="str">
        <f>IF($K1181="","",IFERROR(VLOOKUP(--SUBSTITUTE(SUBSTITUTE(TRIM($K1181),"-","")," ",""),마스터시트!$A$2:$H$1946,7,FALSE),""))</f>
        <v/>
      </c>
    </row>
    <row r="1182" spans="13:18" x14ac:dyDescent="0.3">
      <c r="M1182" s="18" t="str">
        <f>IF($K1182="","",IFERROR(VLOOKUP(--SUBSTITUTE(SUBSTITUTE(TRIM($K1182),"-","")," ",""),마스터시트!$A$2:$H$1946,2,FALSE),"미등록"))</f>
        <v/>
      </c>
      <c r="N1182" s="53" t="str">
        <f>IF($K1182="","",IFERROR(VLOOKUP(--SUBSTITUTE(SUBSTITUTE(TRIM($K1182),"-","")," ",""),마스터시트!$A$2:$H$1946,3,FALSE),"미등록"))</f>
        <v/>
      </c>
      <c r="O1182" s="18" t="str">
        <f>IF($K1182="","",IFERROR(VLOOKUP(--SUBSTITUTE(SUBSTITUTE(TRIM($K1182),"-","")," ",""),마스터시트!$A$2:$H$1946,4,FALSE),""))</f>
        <v/>
      </c>
      <c r="P1182" s="18" t="str">
        <f>IF($K1182="","",IFERROR(VLOOKUP(--SUBSTITUTE(SUBSTITUTE(TRIM($K1182),"-","")," ",""),마스터시트!$A$2:$H$1946,5,FALSE),""))</f>
        <v/>
      </c>
      <c r="Q1182" s="18" t="str">
        <f>IF($K1182="","",IFERROR(VLOOKUP(--SUBSTITUTE(SUBSTITUTE(TRIM($K1182),"-","")," ",""),마스터시트!$A$2:$H$1946,6,FALSE),""))</f>
        <v/>
      </c>
      <c r="R1182" s="18" t="str">
        <f>IF($K1182="","",IFERROR(VLOOKUP(--SUBSTITUTE(SUBSTITUTE(TRIM($K1182),"-","")," ",""),마스터시트!$A$2:$H$1946,7,FALSE),""))</f>
        <v/>
      </c>
    </row>
    <row r="1183" spans="13:18" x14ac:dyDescent="0.3">
      <c r="M1183" s="18" t="str">
        <f>IF($K1183="","",IFERROR(VLOOKUP(--SUBSTITUTE(SUBSTITUTE(TRIM($K1183),"-","")," ",""),마스터시트!$A$2:$H$1946,2,FALSE),"미등록"))</f>
        <v/>
      </c>
      <c r="N1183" s="53" t="str">
        <f>IF($K1183="","",IFERROR(VLOOKUP(--SUBSTITUTE(SUBSTITUTE(TRIM($K1183),"-","")," ",""),마스터시트!$A$2:$H$1946,3,FALSE),"미등록"))</f>
        <v/>
      </c>
      <c r="O1183" s="18" t="str">
        <f>IF($K1183="","",IFERROR(VLOOKUP(--SUBSTITUTE(SUBSTITUTE(TRIM($K1183),"-","")," ",""),마스터시트!$A$2:$H$1946,4,FALSE),""))</f>
        <v/>
      </c>
      <c r="P1183" s="18" t="str">
        <f>IF($K1183="","",IFERROR(VLOOKUP(--SUBSTITUTE(SUBSTITUTE(TRIM($K1183),"-","")," ",""),마스터시트!$A$2:$H$1946,5,FALSE),""))</f>
        <v/>
      </c>
      <c r="Q1183" s="18" t="str">
        <f>IF($K1183="","",IFERROR(VLOOKUP(--SUBSTITUTE(SUBSTITUTE(TRIM($K1183),"-","")," ",""),마스터시트!$A$2:$H$1946,6,FALSE),""))</f>
        <v/>
      </c>
      <c r="R1183" s="18" t="str">
        <f>IF($K1183="","",IFERROR(VLOOKUP(--SUBSTITUTE(SUBSTITUTE(TRIM($K1183),"-","")," ",""),마스터시트!$A$2:$H$1946,7,FALSE),""))</f>
        <v/>
      </c>
    </row>
    <row r="1184" spans="13:18" x14ac:dyDescent="0.3">
      <c r="M1184" s="18" t="str">
        <f>IF($K1184="","",IFERROR(VLOOKUP(--SUBSTITUTE(SUBSTITUTE(TRIM($K1184),"-","")," ",""),마스터시트!$A$2:$H$1946,2,FALSE),"미등록"))</f>
        <v/>
      </c>
      <c r="N1184" s="53" t="str">
        <f>IF($K1184="","",IFERROR(VLOOKUP(--SUBSTITUTE(SUBSTITUTE(TRIM($K1184),"-","")," ",""),마스터시트!$A$2:$H$1946,3,FALSE),"미등록"))</f>
        <v/>
      </c>
      <c r="O1184" s="18" t="str">
        <f>IF($K1184="","",IFERROR(VLOOKUP(--SUBSTITUTE(SUBSTITUTE(TRIM($K1184),"-","")," ",""),마스터시트!$A$2:$H$1946,4,FALSE),""))</f>
        <v/>
      </c>
      <c r="P1184" s="18" t="str">
        <f>IF($K1184="","",IFERROR(VLOOKUP(--SUBSTITUTE(SUBSTITUTE(TRIM($K1184),"-","")," ",""),마스터시트!$A$2:$H$1946,5,FALSE),""))</f>
        <v/>
      </c>
      <c r="Q1184" s="18" t="str">
        <f>IF($K1184="","",IFERROR(VLOOKUP(--SUBSTITUTE(SUBSTITUTE(TRIM($K1184),"-","")," ",""),마스터시트!$A$2:$H$1946,6,FALSE),""))</f>
        <v/>
      </c>
      <c r="R1184" s="18" t="str">
        <f>IF($K1184="","",IFERROR(VLOOKUP(--SUBSTITUTE(SUBSTITUTE(TRIM($K1184),"-","")," ",""),마스터시트!$A$2:$H$1946,7,FALSE),""))</f>
        <v/>
      </c>
    </row>
    <row r="1185" spans="13:18" x14ac:dyDescent="0.3">
      <c r="M1185" s="18" t="str">
        <f>IF($K1185="","",IFERROR(VLOOKUP(--SUBSTITUTE(SUBSTITUTE(TRIM($K1185),"-","")," ",""),마스터시트!$A$2:$H$1946,2,FALSE),"미등록"))</f>
        <v/>
      </c>
      <c r="N1185" s="53" t="str">
        <f>IF($K1185="","",IFERROR(VLOOKUP(--SUBSTITUTE(SUBSTITUTE(TRIM($K1185),"-","")," ",""),마스터시트!$A$2:$H$1946,3,FALSE),"미등록"))</f>
        <v/>
      </c>
      <c r="O1185" s="18" t="str">
        <f>IF($K1185="","",IFERROR(VLOOKUP(--SUBSTITUTE(SUBSTITUTE(TRIM($K1185),"-","")," ",""),마스터시트!$A$2:$H$1946,4,FALSE),""))</f>
        <v/>
      </c>
      <c r="P1185" s="18" t="str">
        <f>IF($K1185="","",IFERROR(VLOOKUP(--SUBSTITUTE(SUBSTITUTE(TRIM($K1185),"-","")," ",""),마스터시트!$A$2:$H$1946,5,FALSE),""))</f>
        <v/>
      </c>
      <c r="Q1185" s="18" t="str">
        <f>IF($K1185="","",IFERROR(VLOOKUP(--SUBSTITUTE(SUBSTITUTE(TRIM($K1185),"-","")," ",""),마스터시트!$A$2:$H$1946,6,FALSE),""))</f>
        <v/>
      </c>
      <c r="R1185" s="18" t="str">
        <f>IF($K1185="","",IFERROR(VLOOKUP(--SUBSTITUTE(SUBSTITUTE(TRIM($K1185),"-","")," ",""),마스터시트!$A$2:$H$1946,7,FALSE),""))</f>
        <v/>
      </c>
    </row>
    <row r="1186" spans="13:18" x14ac:dyDescent="0.3">
      <c r="M1186" s="18" t="str">
        <f>IF($K1186="","",IFERROR(VLOOKUP(--SUBSTITUTE(SUBSTITUTE(TRIM($K1186),"-","")," ",""),마스터시트!$A$2:$H$1946,2,FALSE),"미등록"))</f>
        <v/>
      </c>
      <c r="N1186" s="53" t="str">
        <f>IF($K1186="","",IFERROR(VLOOKUP(--SUBSTITUTE(SUBSTITUTE(TRIM($K1186),"-","")," ",""),마스터시트!$A$2:$H$1946,3,FALSE),"미등록"))</f>
        <v/>
      </c>
      <c r="O1186" s="18" t="str">
        <f>IF($K1186="","",IFERROR(VLOOKUP(--SUBSTITUTE(SUBSTITUTE(TRIM($K1186),"-","")," ",""),마스터시트!$A$2:$H$1946,4,FALSE),""))</f>
        <v/>
      </c>
      <c r="P1186" s="18" t="str">
        <f>IF($K1186="","",IFERROR(VLOOKUP(--SUBSTITUTE(SUBSTITUTE(TRIM($K1186),"-","")," ",""),마스터시트!$A$2:$H$1946,5,FALSE),""))</f>
        <v/>
      </c>
      <c r="Q1186" s="18" t="str">
        <f>IF($K1186="","",IFERROR(VLOOKUP(--SUBSTITUTE(SUBSTITUTE(TRIM($K1186),"-","")," ",""),마스터시트!$A$2:$H$1946,6,FALSE),""))</f>
        <v/>
      </c>
      <c r="R1186" s="18" t="str">
        <f>IF($K1186="","",IFERROR(VLOOKUP(--SUBSTITUTE(SUBSTITUTE(TRIM($K1186),"-","")," ",""),마스터시트!$A$2:$H$1946,7,FALSE),""))</f>
        <v/>
      </c>
    </row>
    <row r="1187" spans="13:18" x14ac:dyDescent="0.3">
      <c r="M1187" s="18" t="str">
        <f>IF($K1187="","",IFERROR(VLOOKUP(--SUBSTITUTE(SUBSTITUTE(TRIM($K1187),"-","")," ",""),마스터시트!$A$2:$H$1946,2,FALSE),"미등록"))</f>
        <v/>
      </c>
      <c r="N1187" s="53" t="str">
        <f>IF($K1187="","",IFERROR(VLOOKUP(--SUBSTITUTE(SUBSTITUTE(TRIM($K1187),"-","")," ",""),마스터시트!$A$2:$H$1946,3,FALSE),"미등록"))</f>
        <v/>
      </c>
      <c r="O1187" s="18" t="str">
        <f>IF($K1187="","",IFERROR(VLOOKUP(--SUBSTITUTE(SUBSTITUTE(TRIM($K1187),"-","")," ",""),마스터시트!$A$2:$H$1946,4,FALSE),""))</f>
        <v/>
      </c>
      <c r="P1187" s="18" t="str">
        <f>IF($K1187="","",IFERROR(VLOOKUP(--SUBSTITUTE(SUBSTITUTE(TRIM($K1187),"-","")," ",""),마스터시트!$A$2:$H$1946,5,FALSE),""))</f>
        <v/>
      </c>
      <c r="Q1187" s="18" t="str">
        <f>IF($K1187="","",IFERROR(VLOOKUP(--SUBSTITUTE(SUBSTITUTE(TRIM($K1187),"-","")," ",""),마스터시트!$A$2:$H$1946,6,FALSE),""))</f>
        <v/>
      </c>
      <c r="R1187" s="18" t="str">
        <f>IF($K1187="","",IFERROR(VLOOKUP(--SUBSTITUTE(SUBSTITUTE(TRIM($K1187),"-","")," ",""),마스터시트!$A$2:$H$1946,7,FALSE),""))</f>
        <v/>
      </c>
    </row>
    <row r="1188" spans="13:18" x14ac:dyDescent="0.3">
      <c r="M1188" s="18" t="str">
        <f>IF($K1188="","",IFERROR(VLOOKUP(--SUBSTITUTE(SUBSTITUTE(TRIM($K1188),"-","")," ",""),마스터시트!$A$2:$H$1946,2,FALSE),"미등록"))</f>
        <v/>
      </c>
      <c r="N1188" s="53" t="str">
        <f>IF($K1188="","",IFERROR(VLOOKUP(--SUBSTITUTE(SUBSTITUTE(TRIM($K1188),"-","")," ",""),마스터시트!$A$2:$H$1946,3,FALSE),"미등록"))</f>
        <v/>
      </c>
      <c r="O1188" s="18" t="str">
        <f>IF($K1188="","",IFERROR(VLOOKUP(--SUBSTITUTE(SUBSTITUTE(TRIM($K1188),"-","")," ",""),마스터시트!$A$2:$H$1946,4,FALSE),""))</f>
        <v/>
      </c>
      <c r="P1188" s="18" t="str">
        <f>IF($K1188="","",IFERROR(VLOOKUP(--SUBSTITUTE(SUBSTITUTE(TRIM($K1188),"-","")," ",""),마스터시트!$A$2:$H$1946,5,FALSE),""))</f>
        <v/>
      </c>
      <c r="Q1188" s="18" t="str">
        <f>IF($K1188="","",IFERROR(VLOOKUP(--SUBSTITUTE(SUBSTITUTE(TRIM($K1188),"-","")," ",""),마스터시트!$A$2:$H$1946,6,FALSE),""))</f>
        <v/>
      </c>
      <c r="R1188" s="18" t="str">
        <f>IF($K1188="","",IFERROR(VLOOKUP(--SUBSTITUTE(SUBSTITUTE(TRIM($K1188),"-","")," ",""),마스터시트!$A$2:$H$1946,7,FALSE),""))</f>
        <v/>
      </c>
    </row>
    <row r="1189" spans="13:18" x14ac:dyDescent="0.3">
      <c r="M1189" s="18" t="str">
        <f>IF($K1189="","",IFERROR(VLOOKUP(--SUBSTITUTE(SUBSTITUTE(TRIM($K1189),"-","")," ",""),마스터시트!$A$2:$H$1946,2,FALSE),"미등록"))</f>
        <v/>
      </c>
      <c r="N1189" s="53" t="str">
        <f>IF($K1189="","",IFERROR(VLOOKUP(--SUBSTITUTE(SUBSTITUTE(TRIM($K1189),"-","")," ",""),마스터시트!$A$2:$H$1946,3,FALSE),"미등록"))</f>
        <v/>
      </c>
      <c r="O1189" s="18" t="str">
        <f>IF($K1189="","",IFERROR(VLOOKUP(--SUBSTITUTE(SUBSTITUTE(TRIM($K1189),"-","")," ",""),마스터시트!$A$2:$H$1946,4,FALSE),""))</f>
        <v/>
      </c>
      <c r="P1189" s="18" t="str">
        <f>IF($K1189="","",IFERROR(VLOOKUP(--SUBSTITUTE(SUBSTITUTE(TRIM($K1189),"-","")," ",""),마스터시트!$A$2:$H$1946,5,FALSE),""))</f>
        <v/>
      </c>
      <c r="Q1189" s="18" t="str">
        <f>IF($K1189="","",IFERROR(VLOOKUP(--SUBSTITUTE(SUBSTITUTE(TRIM($K1189),"-","")," ",""),마스터시트!$A$2:$H$1946,6,FALSE),""))</f>
        <v/>
      </c>
      <c r="R1189" s="18" t="str">
        <f>IF($K1189="","",IFERROR(VLOOKUP(--SUBSTITUTE(SUBSTITUTE(TRIM($K1189),"-","")," ",""),마스터시트!$A$2:$H$1946,7,FALSE),""))</f>
        <v/>
      </c>
    </row>
    <row r="1190" spans="13:18" x14ac:dyDescent="0.3">
      <c r="M1190" s="18" t="str">
        <f>IF($K1190="","",IFERROR(VLOOKUP(--SUBSTITUTE(SUBSTITUTE(TRIM($K1190),"-","")," ",""),마스터시트!$A$2:$H$1946,2,FALSE),"미등록"))</f>
        <v/>
      </c>
      <c r="N1190" s="53" t="str">
        <f>IF($K1190="","",IFERROR(VLOOKUP(--SUBSTITUTE(SUBSTITUTE(TRIM($K1190),"-","")," ",""),마스터시트!$A$2:$H$1946,3,FALSE),"미등록"))</f>
        <v/>
      </c>
      <c r="O1190" s="18" t="str">
        <f>IF($K1190="","",IFERROR(VLOOKUP(--SUBSTITUTE(SUBSTITUTE(TRIM($K1190),"-","")," ",""),마스터시트!$A$2:$H$1946,4,FALSE),""))</f>
        <v/>
      </c>
      <c r="P1190" s="18" t="str">
        <f>IF($K1190="","",IFERROR(VLOOKUP(--SUBSTITUTE(SUBSTITUTE(TRIM($K1190),"-","")," ",""),마스터시트!$A$2:$H$1946,5,FALSE),""))</f>
        <v/>
      </c>
      <c r="Q1190" s="18" t="str">
        <f>IF($K1190="","",IFERROR(VLOOKUP(--SUBSTITUTE(SUBSTITUTE(TRIM($K1190),"-","")," ",""),마스터시트!$A$2:$H$1946,6,FALSE),""))</f>
        <v/>
      </c>
      <c r="R1190" s="18" t="str">
        <f>IF($K1190="","",IFERROR(VLOOKUP(--SUBSTITUTE(SUBSTITUTE(TRIM($K1190),"-","")," ",""),마스터시트!$A$2:$H$1946,7,FALSE),""))</f>
        <v/>
      </c>
    </row>
    <row r="1191" spans="13:18" x14ac:dyDescent="0.3">
      <c r="M1191" s="18" t="str">
        <f>IF($K1191="","",IFERROR(VLOOKUP(--SUBSTITUTE(SUBSTITUTE(TRIM($K1191),"-","")," ",""),마스터시트!$A$2:$H$1946,2,FALSE),"미등록"))</f>
        <v/>
      </c>
      <c r="N1191" s="53" t="str">
        <f>IF($K1191="","",IFERROR(VLOOKUP(--SUBSTITUTE(SUBSTITUTE(TRIM($K1191),"-","")," ",""),마스터시트!$A$2:$H$1946,3,FALSE),"미등록"))</f>
        <v/>
      </c>
      <c r="O1191" s="18" t="str">
        <f>IF($K1191="","",IFERROR(VLOOKUP(--SUBSTITUTE(SUBSTITUTE(TRIM($K1191),"-","")," ",""),마스터시트!$A$2:$H$1946,4,FALSE),""))</f>
        <v/>
      </c>
      <c r="P1191" s="18" t="str">
        <f>IF($K1191="","",IFERROR(VLOOKUP(--SUBSTITUTE(SUBSTITUTE(TRIM($K1191),"-","")," ",""),마스터시트!$A$2:$H$1946,5,FALSE),""))</f>
        <v/>
      </c>
      <c r="Q1191" s="18" t="str">
        <f>IF($K1191="","",IFERROR(VLOOKUP(--SUBSTITUTE(SUBSTITUTE(TRIM($K1191),"-","")," ",""),마스터시트!$A$2:$H$1946,6,FALSE),""))</f>
        <v/>
      </c>
      <c r="R1191" s="18" t="str">
        <f>IF($K1191="","",IFERROR(VLOOKUP(--SUBSTITUTE(SUBSTITUTE(TRIM($K1191),"-","")," ",""),마스터시트!$A$2:$H$1946,7,FALSE),""))</f>
        <v/>
      </c>
    </row>
    <row r="1192" spans="13:18" x14ac:dyDescent="0.3">
      <c r="M1192" s="18" t="str">
        <f>IF($K1192="","",IFERROR(VLOOKUP(--SUBSTITUTE(SUBSTITUTE(TRIM($K1192),"-","")," ",""),마스터시트!$A$2:$H$1946,2,FALSE),"미등록"))</f>
        <v/>
      </c>
      <c r="N1192" s="53" t="str">
        <f>IF($K1192="","",IFERROR(VLOOKUP(--SUBSTITUTE(SUBSTITUTE(TRIM($K1192),"-","")," ",""),마스터시트!$A$2:$H$1946,3,FALSE),"미등록"))</f>
        <v/>
      </c>
      <c r="O1192" s="18" t="str">
        <f>IF($K1192="","",IFERROR(VLOOKUP(--SUBSTITUTE(SUBSTITUTE(TRIM($K1192),"-","")," ",""),마스터시트!$A$2:$H$1946,4,FALSE),""))</f>
        <v/>
      </c>
      <c r="P1192" s="18" t="str">
        <f>IF($K1192="","",IFERROR(VLOOKUP(--SUBSTITUTE(SUBSTITUTE(TRIM($K1192),"-","")," ",""),마스터시트!$A$2:$H$1946,5,FALSE),""))</f>
        <v/>
      </c>
      <c r="Q1192" s="18" t="str">
        <f>IF($K1192="","",IFERROR(VLOOKUP(--SUBSTITUTE(SUBSTITUTE(TRIM($K1192),"-","")," ",""),마스터시트!$A$2:$H$1946,6,FALSE),""))</f>
        <v/>
      </c>
      <c r="R1192" s="18" t="str">
        <f>IF($K1192="","",IFERROR(VLOOKUP(--SUBSTITUTE(SUBSTITUTE(TRIM($K1192),"-","")," ",""),마스터시트!$A$2:$H$1946,7,FALSE),""))</f>
        <v/>
      </c>
    </row>
    <row r="1193" spans="13:18" x14ac:dyDescent="0.3">
      <c r="M1193" s="18" t="str">
        <f>IF($K1193="","",IFERROR(VLOOKUP(--SUBSTITUTE(SUBSTITUTE(TRIM($K1193),"-","")," ",""),마스터시트!$A$2:$H$1946,2,FALSE),"미등록"))</f>
        <v/>
      </c>
      <c r="N1193" s="53" t="str">
        <f>IF($K1193="","",IFERROR(VLOOKUP(--SUBSTITUTE(SUBSTITUTE(TRIM($K1193),"-","")," ",""),마스터시트!$A$2:$H$1946,3,FALSE),"미등록"))</f>
        <v/>
      </c>
      <c r="O1193" s="18" t="str">
        <f>IF($K1193="","",IFERROR(VLOOKUP(--SUBSTITUTE(SUBSTITUTE(TRIM($K1193),"-","")," ",""),마스터시트!$A$2:$H$1946,4,FALSE),""))</f>
        <v/>
      </c>
      <c r="P1193" s="18" t="str">
        <f>IF($K1193="","",IFERROR(VLOOKUP(--SUBSTITUTE(SUBSTITUTE(TRIM($K1193),"-","")," ",""),마스터시트!$A$2:$H$1946,5,FALSE),""))</f>
        <v/>
      </c>
      <c r="Q1193" s="18" t="str">
        <f>IF($K1193="","",IFERROR(VLOOKUP(--SUBSTITUTE(SUBSTITUTE(TRIM($K1193),"-","")," ",""),마스터시트!$A$2:$H$1946,6,FALSE),""))</f>
        <v/>
      </c>
      <c r="R1193" s="18" t="str">
        <f>IF($K1193="","",IFERROR(VLOOKUP(--SUBSTITUTE(SUBSTITUTE(TRIM($K1193),"-","")," ",""),마스터시트!$A$2:$H$1946,7,FALSE),""))</f>
        <v/>
      </c>
    </row>
    <row r="1194" spans="13:18" x14ac:dyDescent="0.3">
      <c r="M1194" s="18" t="str">
        <f>IF($K1194="","",IFERROR(VLOOKUP(--SUBSTITUTE(SUBSTITUTE(TRIM($K1194),"-","")," ",""),마스터시트!$A$2:$H$1946,2,FALSE),"미등록"))</f>
        <v/>
      </c>
      <c r="N1194" s="53" t="str">
        <f>IF($K1194="","",IFERROR(VLOOKUP(--SUBSTITUTE(SUBSTITUTE(TRIM($K1194),"-","")," ",""),마스터시트!$A$2:$H$1946,3,FALSE),"미등록"))</f>
        <v/>
      </c>
      <c r="O1194" s="18" t="str">
        <f>IF($K1194="","",IFERROR(VLOOKUP(--SUBSTITUTE(SUBSTITUTE(TRIM($K1194),"-","")," ",""),마스터시트!$A$2:$H$1946,4,FALSE),""))</f>
        <v/>
      </c>
      <c r="P1194" s="18" t="str">
        <f>IF($K1194="","",IFERROR(VLOOKUP(--SUBSTITUTE(SUBSTITUTE(TRIM($K1194),"-","")," ",""),마스터시트!$A$2:$H$1946,5,FALSE),""))</f>
        <v/>
      </c>
      <c r="Q1194" s="18" t="str">
        <f>IF($K1194="","",IFERROR(VLOOKUP(--SUBSTITUTE(SUBSTITUTE(TRIM($K1194),"-","")," ",""),마스터시트!$A$2:$H$1946,6,FALSE),""))</f>
        <v/>
      </c>
      <c r="R1194" s="18" t="str">
        <f>IF($K1194="","",IFERROR(VLOOKUP(--SUBSTITUTE(SUBSTITUTE(TRIM($K1194),"-","")," ",""),마스터시트!$A$2:$H$1946,7,FALSE),""))</f>
        <v/>
      </c>
    </row>
    <row r="1195" spans="13:18" x14ac:dyDescent="0.3">
      <c r="M1195" s="18" t="str">
        <f>IF($K1195="","",IFERROR(VLOOKUP(--SUBSTITUTE(SUBSTITUTE(TRIM($K1195),"-","")," ",""),마스터시트!$A$2:$H$1946,2,FALSE),"미등록"))</f>
        <v/>
      </c>
      <c r="N1195" s="53" t="str">
        <f>IF($K1195="","",IFERROR(VLOOKUP(--SUBSTITUTE(SUBSTITUTE(TRIM($K1195),"-","")," ",""),마스터시트!$A$2:$H$1946,3,FALSE),"미등록"))</f>
        <v/>
      </c>
      <c r="O1195" s="18" t="str">
        <f>IF($K1195="","",IFERROR(VLOOKUP(--SUBSTITUTE(SUBSTITUTE(TRIM($K1195),"-","")," ",""),마스터시트!$A$2:$H$1946,4,FALSE),""))</f>
        <v/>
      </c>
      <c r="P1195" s="18" t="str">
        <f>IF($K1195="","",IFERROR(VLOOKUP(--SUBSTITUTE(SUBSTITUTE(TRIM($K1195),"-","")," ",""),마스터시트!$A$2:$H$1946,5,FALSE),""))</f>
        <v/>
      </c>
      <c r="Q1195" s="18" t="str">
        <f>IF($K1195="","",IFERROR(VLOOKUP(--SUBSTITUTE(SUBSTITUTE(TRIM($K1195),"-","")," ",""),마스터시트!$A$2:$H$1946,6,FALSE),""))</f>
        <v/>
      </c>
      <c r="R1195" s="18" t="str">
        <f>IF($K1195="","",IFERROR(VLOOKUP(--SUBSTITUTE(SUBSTITUTE(TRIM($K1195),"-","")," ",""),마스터시트!$A$2:$H$1946,7,FALSE),""))</f>
        <v/>
      </c>
    </row>
    <row r="1196" spans="13:18" x14ac:dyDescent="0.3">
      <c r="M1196" s="18" t="str">
        <f>IF($K1196="","",IFERROR(VLOOKUP(--SUBSTITUTE(SUBSTITUTE(TRIM($K1196),"-","")," ",""),마스터시트!$A$2:$H$1946,2,FALSE),"미등록"))</f>
        <v/>
      </c>
      <c r="N1196" s="53" t="str">
        <f>IF($K1196="","",IFERROR(VLOOKUP(--SUBSTITUTE(SUBSTITUTE(TRIM($K1196),"-","")," ",""),마스터시트!$A$2:$H$1946,3,FALSE),"미등록"))</f>
        <v/>
      </c>
      <c r="O1196" s="18" t="str">
        <f>IF($K1196="","",IFERROR(VLOOKUP(--SUBSTITUTE(SUBSTITUTE(TRIM($K1196),"-","")," ",""),마스터시트!$A$2:$H$1946,4,FALSE),""))</f>
        <v/>
      </c>
      <c r="P1196" s="18" t="str">
        <f>IF($K1196="","",IFERROR(VLOOKUP(--SUBSTITUTE(SUBSTITUTE(TRIM($K1196),"-","")," ",""),마스터시트!$A$2:$H$1946,5,FALSE),""))</f>
        <v/>
      </c>
      <c r="Q1196" s="18" t="str">
        <f>IF($K1196="","",IFERROR(VLOOKUP(--SUBSTITUTE(SUBSTITUTE(TRIM($K1196),"-","")," ",""),마스터시트!$A$2:$H$1946,6,FALSE),""))</f>
        <v/>
      </c>
      <c r="R1196" s="18" t="str">
        <f>IF($K1196="","",IFERROR(VLOOKUP(--SUBSTITUTE(SUBSTITUTE(TRIM($K1196),"-","")," ",""),마스터시트!$A$2:$H$1946,7,FALSE),""))</f>
        <v/>
      </c>
    </row>
    <row r="1197" spans="13:18" x14ac:dyDescent="0.3">
      <c r="M1197" s="18" t="str">
        <f>IF($K1197="","",IFERROR(VLOOKUP(--SUBSTITUTE(SUBSTITUTE(TRIM($K1197),"-","")," ",""),마스터시트!$A$2:$H$1946,2,FALSE),"미등록"))</f>
        <v/>
      </c>
      <c r="N1197" s="53" t="str">
        <f>IF($K1197="","",IFERROR(VLOOKUP(--SUBSTITUTE(SUBSTITUTE(TRIM($K1197),"-","")," ",""),마스터시트!$A$2:$H$1946,3,FALSE),"미등록"))</f>
        <v/>
      </c>
      <c r="O1197" s="18" t="str">
        <f>IF($K1197="","",IFERROR(VLOOKUP(--SUBSTITUTE(SUBSTITUTE(TRIM($K1197),"-","")," ",""),마스터시트!$A$2:$H$1946,4,FALSE),""))</f>
        <v/>
      </c>
      <c r="P1197" s="18" t="str">
        <f>IF($K1197="","",IFERROR(VLOOKUP(--SUBSTITUTE(SUBSTITUTE(TRIM($K1197),"-","")," ",""),마스터시트!$A$2:$H$1946,5,FALSE),""))</f>
        <v/>
      </c>
      <c r="Q1197" s="18" t="str">
        <f>IF($K1197="","",IFERROR(VLOOKUP(--SUBSTITUTE(SUBSTITUTE(TRIM($K1197),"-","")," ",""),마스터시트!$A$2:$H$1946,6,FALSE),""))</f>
        <v/>
      </c>
      <c r="R1197" s="18" t="str">
        <f>IF($K1197="","",IFERROR(VLOOKUP(--SUBSTITUTE(SUBSTITUTE(TRIM($K1197),"-","")," ",""),마스터시트!$A$2:$H$1946,7,FALSE),""))</f>
        <v/>
      </c>
    </row>
    <row r="1198" spans="13:18" x14ac:dyDescent="0.3">
      <c r="M1198" s="18" t="str">
        <f>IF($K1198="","",IFERROR(VLOOKUP(--SUBSTITUTE(SUBSTITUTE(TRIM($K1198),"-","")," ",""),마스터시트!$A$2:$H$1946,2,FALSE),"미등록"))</f>
        <v/>
      </c>
      <c r="N1198" s="53" t="str">
        <f>IF($K1198="","",IFERROR(VLOOKUP(--SUBSTITUTE(SUBSTITUTE(TRIM($K1198),"-","")," ",""),마스터시트!$A$2:$H$1946,3,FALSE),"미등록"))</f>
        <v/>
      </c>
      <c r="O1198" s="18" t="str">
        <f>IF($K1198="","",IFERROR(VLOOKUP(--SUBSTITUTE(SUBSTITUTE(TRIM($K1198),"-","")," ",""),마스터시트!$A$2:$H$1946,4,FALSE),""))</f>
        <v/>
      </c>
      <c r="P1198" s="18" t="str">
        <f>IF($K1198="","",IFERROR(VLOOKUP(--SUBSTITUTE(SUBSTITUTE(TRIM($K1198),"-","")," ",""),마스터시트!$A$2:$H$1946,5,FALSE),""))</f>
        <v/>
      </c>
      <c r="Q1198" s="18" t="str">
        <f>IF($K1198="","",IFERROR(VLOOKUP(--SUBSTITUTE(SUBSTITUTE(TRIM($K1198),"-","")," ",""),마스터시트!$A$2:$H$1946,6,FALSE),""))</f>
        <v/>
      </c>
      <c r="R1198" s="18" t="str">
        <f>IF($K1198="","",IFERROR(VLOOKUP(--SUBSTITUTE(SUBSTITUTE(TRIM($K1198),"-","")," ",""),마스터시트!$A$2:$H$1946,7,FALSE),""))</f>
        <v/>
      </c>
    </row>
    <row r="1199" spans="13:18" x14ac:dyDescent="0.3">
      <c r="M1199" s="18" t="str">
        <f>IF($K1199="","",IFERROR(VLOOKUP(--SUBSTITUTE(SUBSTITUTE(TRIM($K1199),"-","")," ",""),마스터시트!$A$2:$H$1946,2,FALSE),"미등록"))</f>
        <v/>
      </c>
      <c r="N1199" s="53" t="str">
        <f>IF($K1199="","",IFERROR(VLOOKUP(--SUBSTITUTE(SUBSTITUTE(TRIM($K1199),"-","")," ",""),마스터시트!$A$2:$H$1946,3,FALSE),"미등록"))</f>
        <v/>
      </c>
      <c r="O1199" s="18" t="str">
        <f>IF($K1199="","",IFERROR(VLOOKUP(--SUBSTITUTE(SUBSTITUTE(TRIM($K1199),"-","")," ",""),마스터시트!$A$2:$H$1946,4,FALSE),""))</f>
        <v/>
      </c>
      <c r="P1199" s="18" t="str">
        <f>IF($K1199="","",IFERROR(VLOOKUP(--SUBSTITUTE(SUBSTITUTE(TRIM($K1199),"-","")," ",""),마스터시트!$A$2:$H$1946,5,FALSE),""))</f>
        <v/>
      </c>
      <c r="Q1199" s="18" t="str">
        <f>IF($K1199="","",IFERROR(VLOOKUP(--SUBSTITUTE(SUBSTITUTE(TRIM($K1199),"-","")," ",""),마스터시트!$A$2:$H$1946,6,FALSE),""))</f>
        <v/>
      </c>
      <c r="R1199" s="18" t="str">
        <f>IF($K1199="","",IFERROR(VLOOKUP(--SUBSTITUTE(SUBSTITUTE(TRIM($K1199),"-","")," ",""),마스터시트!$A$2:$H$1946,7,FALSE),""))</f>
        <v/>
      </c>
    </row>
    <row r="1200" spans="13:18" x14ac:dyDescent="0.3">
      <c r="M1200" s="18" t="str">
        <f>IF($K1200="","",IFERROR(VLOOKUP(--SUBSTITUTE(SUBSTITUTE(TRIM($K1200),"-","")," ",""),마스터시트!$A$2:$H$1946,2,FALSE),"미등록"))</f>
        <v/>
      </c>
      <c r="N1200" s="53" t="str">
        <f>IF($K1200="","",IFERROR(VLOOKUP(--SUBSTITUTE(SUBSTITUTE(TRIM($K1200),"-","")," ",""),마스터시트!$A$2:$H$1946,3,FALSE),"미등록"))</f>
        <v/>
      </c>
      <c r="O1200" s="18" t="str">
        <f>IF($K1200="","",IFERROR(VLOOKUP(--SUBSTITUTE(SUBSTITUTE(TRIM($K1200),"-","")," ",""),마스터시트!$A$2:$H$1946,4,FALSE),""))</f>
        <v/>
      </c>
      <c r="P1200" s="18" t="str">
        <f>IF($K1200="","",IFERROR(VLOOKUP(--SUBSTITUTE(SUBSTITUTE(TRIM($K1200),"-","")," ",""),마스터시트!$A$2:$H$1946,5,FALSE),""))</f>
        <v/>
      </c>
      <c r="Q1200" s="18" t="str">
        <f>IF($K1200="","",IFERROR(VLOOKUP(--SUBSTITUTE(SUBSTITUTE(TRIM($K1200),"-","")," ",""),마스터시트!$A$2:$H$1946,6,FALSE),""))</f>
        <v/>
      </c>
      <c r="R1200" s="18" t="str">
        <f>IF($K1200="","",IFERROR(VLOOKUP(--SUBSTITUTE(SUBSTITUTE(TRIM($K1200),"-","")," ",""),마스터시트!$A$2:$H$1946,7,FALSE),""))</f>
        <v/>
      </c>
    </row>
    <row r="1201" spans="13:18" x14ac:dyDescent="0.3">
      <c r="M1201" s="18" t="str">
        <f>IF($K1201="","",IFERROR(VLOOKUP(--SUBSTITUTE(SUBSTITUTE(TRIM($K1201),"-","")," ",""),마스터시트!$A$2:$H$1946,2,FALSE),"미등록"))</f>
        <v/>
      </c>
      <c r="N1201" s="53" t="str">
        <f>IF($K1201="","",IFERROR(VLOOKUP(--SUBSTITUTE(SUBSTITUTE(TRIM($K1201),"-","")," ",""),마스터시트!$A$2:$H$1946,3,FALSE),"미등록"))</f>
        <v/>
      </c>
      <c r="O1201" s="18" t="str">
        <f>IF($K1201="","",IFERROR(VLOOKUP(--SUBSTITUTE(SUBSTITUTE(TRIM($K1201),"-","")," ",""),마스터시트!$A$2:$H$1946,4,FALSE),""))</f>
        <v/>
      </c>
      <c r="P1201" s="18" t="str">
        <f>IF($K1201="","",IFERROR(VLOOKUP(--SUBSTITUTE(SUBSTITUTE(TRIM($K1201),"-","")," ",""),마스터시트!$A$2:$H$1946,5,FALSE),""))</f>
        <v/>
      </c>
      <c r="Q1201" s="18" t="str">
        <f>IF($K1201="","",IFERROR(VLOOKUP(--SUBSTITUTE(SUBSTITUTE(TRIM($K1201),"-","")," ",""),마스터시트!$A$2:$H$1946,6,FALSE),""))</f>
        <v/>
      </c>
      <c r="R1201" s="18" t="str">
        <f>IF($K1201="","",IFERROR(VLOOKUP(--SUBSTITUTE(SUBSTITUTE(TRIM($K1201),"-","")," ",""),마스터시트!$A$2:$H$1946,7,FALSE),""))</f>
        <v/>
      </c>
    </row>
    <row r="1202" spans="13:18" x14ac:dyDescent="0.3">
      <c r="M1202" s="18" t="str">
        <f>IF($K1202="","",IFERROR(VLOOKUP(--SUBSTITUTE(SUBSTITUTE(TRIM($K1202),"-","")," ",""),마스터시트!$A$2:$H$1946,2,FALSE),"미등록"))</f>
        <v/>
      </c>
      <c r="N1202" s="53" t="str">
        <f>IF($K1202="","",IFERROR(VLOOKUP(--SUBSTITUTE(SUBSTITUTE(TRIM($K1202),"-","")," ",""),마스터시트!$A$2:$H$1946,3,FALSE),"미등록"))</f>
        <v/>
      </c>
      <c r="O1202" s="18" t="str">
        <f>IF($K1202="","",IFERROR(VLOOKUP(--SUBSTITUTE(SUBSTITUTE(TRIM($K1202),"-","")," ",""),마스터시트!$A$2:$H$1946,4,FALSE),""))</f>
        <v/>
      </c>
      <c r="P1202" s="18" t="str">
        <f>IF($K1202="","",IFERROR(VLOOKUP(--SUBSTITUTE(SUBSTITUTE(TRIM($K1202),"-","")," ",""),마스터시트!$A$2:$H$1946,5,FALSE),""))</f>
        <v/>
      </c>
      <c r="Q1202" s="18" t="str">
        <f>IF($K1202="","",IFERROR(VLOOKUP(--SUBSTITUTE(SUBSTITUTE(TRIM($K1202),"-","")," ",""),마스터시트!$A$2:$H$1946,6,FALSE),""))</f>
        <v/>
      </c>
      <c r="R1202" s="18" t="str">
        <f>IF($K1202="","",IFERROR(VLOOKUP(--SUBSTITUTE(SUBSTITUTE(TRIM($K1202),"-","")," ",""),마스터시트!$A$2:$H$1946,7,FALSE),""))</f>
        <v/>
      </c>
    </row>
    <row r="1203" spans="13:18" x14ac:dyDescent="0.3">
      <c r="M1203" s="18" t="str">
        <f>IF($K1203="","",IFERROR(VLOOKUP(--SUBSTITUTE(SUBSTITUTE(TRIM($K1203),"-","")," ",""),마스터시트!$A$2:$H$1946,2,FALSE),"미등록"))</f>
        <v/>
      </c>
      <c r="N1203" s="53" t="str">
        <f>IF($K1203="","",IFERROR(VLOOKUP(--SUBSTITUTE(SUBSTITUTE(TRIM($K1203),"-","")," ",""),마스터시트!$A$2:$H$1946,3,FALSE),"미등록"))</f>
        <v/>
      </c>
      <c r="O1203" s="18" t="str">
        <f>IF($K1203="","",IFERROR(VLOOKUP(--SUBSTITUTE(SUBSTITUTE(TRIM($K1203),"-","")," ",""),마스터시트!$A$2:$H$1946,4,FALSE),""))</f>
        <v/>
      </c>
      <c r="P1203" s="18" t="str">
        <f>IF($K1203="","",IFERROR(VLOOKUP(--SUBSTITUTE(SUBSTITUTE(TRIM($K1203),"-","")," ",""),마스터시트!$A$2:$H$1946,5,FALSE),""))</f>
        <v/>
      </c>
      <c r="Q1203" s="18" t="str">
        <f>IF($K1203="","",IFERROR(VLOOKUP(--SUBSTITUTE(SUBSTITUTE(TRIM($K1203),"-","")," ",""),마스터시트!$A$2:$H$1946,6,FALSE),""))</f>
        <v/>
      </c>
      <c r="R1203" s="18" t="str">
        <f>IF($K1203="","",IFERROR(VLOOKUP(--SUBSTITUTE(SUBSTITUTE(TRIM($K1203),"-","")," ",""),마스터시트!$A$2:$H$1946,7,FALSE),""))</f>
        <v/>
      </c>
    </row>
    <row r="1204" spans="13:18" x14ac:dyDescent="0.3">
      <c r="M1204" s="18" t="str">
        <f>IF($K1204="","",IFERROR(VLOOKUP(--SUBSTITUTE(SUBSTITUTE(TRIM($K1204),"-","")," ",""),마스터시트!$A$2:$H$1946,2,FALSE),"미등록"))</f>
        <v/>
      </c>
      <c r="N1204" s="53" t="str">
        <f>IF($K1204="","",IFERROR(VLOOKUP(--SUBSTITUTE(SUBSTITUTE(TRIM($K1204),"-","")," ",""),마스터시트!$A$2:$H$1946,3,FALSE),"미등록"))</f>
        <v/>
      </c>
      <c r="O1204" s="18" t="str">
        <f>IF($K1204="","",IFERROR(VLOOKUP(--SUBSTITUTE(SUBSTITUTE(TRIM($K1204),"-","")," ",""),마스터시트!$A$2:$H$1946,4,FALSE),""))</f>
        <v/>
      </c>
      <c r="P1204" s="18" t="str">
        <f>IF($K1204="","",IFERROR(VLOOKUP(--SUBSTITUTE(SUBSTITUTE(TRIM($K1204),"-","")," ",""),마스터시트!$A$2:$H$1946,5,FALSE),""))</f>
        <v/>
      </c>
      <c r="Q1204" s="18" t="str">
        <f>IF($K1204="","",IFERROR(VLOOKUP(--SUBSTITUTE(SUBSTITUTE(TRIM($K1204),"-","")," ",""),마스터시트!$A$2:$H$1946,6,FALSE),""))</f>
        <v/>
      </c>
      <c r="R1204" s="18" t="str">
        <f>IF($K1204="","",IFERROR(VLOOKUP(--SUBSTITUTE(SUBSTITUTE(TRIM($K1204),"-","")," ",""),마스터시트!$A$2:$H$1946,7,FALSE),""))</f>
        <v/>
      </c>
    </row>
    <row r="1205" spans="13:18" x14ac:dyDescent="0.3">
      <c r="M1205" s="18" t="str">
        <f>IF($K1205="","",IFERROR(VLOOKUP(--SUBSTITUTE(SUBSTITUTE(TRIM($K1205),"-","")," ",""),마스터시트!$A$2:$H$1946,2,FALSE),"미등록"))</f>
        <v/>
      </c>
      <c r="N1205" s="53" t="str">
        <f>IF($K1205="","",IFERROR(VLOOKUP(--SUBSTITUTE(SUBSTITUTE(TRIM($K1205),"-","")," ",""),마스터시트!$A$2:$H$1946,3,FALSE),"미등록"))</f>
        <v/>
      </c>
      <c r="O1205" s="18" t="str">
        <f>IF($K1205="","",IFERROR(VLOOKUP(--SUBSTITUTE(SUBSTITUTE(TRIM($K1205),"-","")," ",""),마스터시트!$A$2:$H$1946,4,FALSE),""))</f>
        <v/>
      </c>
      <c r="P1205" s="18" t="str">
        <f>IF($K1205="","",IFERROR(VLOOKUP(--SUBSTITUTE(SUBSTITUTE(TRIM($K1205),"-","")," ",""),마스터시트!$A$2:$H$1946,5,FALSE),""))</f>
        <v/>
      </c>
      <c r="Q1205" s="18" t="str">
        <f>IF($K1205="","",IFERROR(VLOOKUP(--SUBSTITUTE(SUBSTITUTE(TRIM($K1205),"-","")," ",""),마스터시트!$A$2:$H$1946,6,FALSE),""))</f>
        <v/>
      </c>
      <c r="R1205" s="18" t="str">
        <f>IF($K1205="","",IFERROR(VLOOKUP(--SUBSTITUTE(SUBSTITUTE(TRIM($K1205),"-","")," ",""),마스터시트!$A$2:$H$1946,7,FALSE),""))</f>
        <v/>
      </c>
    </row>
    <row r="1206" spans="13:18" x14ac:dyDescent="0.3">
      <c r="M1206" s="18" t="str">
        <f>IF($K1206="","",IFERROR(VLOOKUP(--SUBSTITUTE(SUBSTITUTE(TRIM($K1206),"-","")," ",""),마스터시트!$A$2:$H$1946,2,FALSE),"미등록"))</f>
        <v/>
      </c>
      <c r="N1206" s="53" t="str">
        <f>IF($K1206="","",IFERROR(VLOOKUP(--SUBSTITUTE(SUBSTITUTE(TRIM($K1206),"-","")," ",""),마스터시트!$A$2:$H$1946,3,FALSE),"미등록"))</f>
        <v/>
      </c>
      <c r="O1206" s="18" t="str">
        <f>IF($K1206="","",IFERROR(VLOOKUP(--SUBSTITUTE(SUBSTITUTE(TRIM($K1206),"-","")," ",""),마스터시트!$A$2:$H$1946,4,FALSE),""))</f>
        <v/>
      </c>
      <c r="P1206" s="18" t="str">
        <f>IF($K1206="","",IFERROR(VLOOKUP(--SUBSTITUTE(SUBSTITUTE(TRIM($K1206),"-","")," ",""),마스터시트!$A$2:$H$1946,5,FALSE),""))</f>
        <v/>
      </c>
      <c r="Q1206" s="18" t="str">
        <f>IF($K1206="","",IFERROR(VLOOKUP(--SUBSTITUTE(SUBSTITUTE(TRIM($K1206),"-","")," ",""),마스터시트!$A$2:$H$1946,6,FALSE),""))</f>
        <v/>
      </c>
      <c r="R1206" s="18" t="str">
        <f>IF($K1206="","",IFERROR(VLOOKUP(--SUBSTITUTE(SUBSTITUTE(TRIM($K1206),"-","")," ",""),마스터시트!$A$2:$H$1946,7,FALSE),""))</f>
        <v/>
      </c>
    </row>
    <row r="1207" spans="13:18" x14ac:dyDescent="0.3">
      <c r="M1207" s="18" t="str">
        <f>IF($K1207="","",IFERROR(VLOOKUP(--SUBSTITUTE(SUBSTITUTE(TRIM($K1207),"-","")," ",""),마스터시트!$A$2:$H$1946,2,FALSE),"미등록"))</f>
        <v/>
      </c>
      <c r="N1207" s="53" t="str">
        <f>IF($K1207="","",IFERROR(VLOOKUP(--SUBSTITUTE(SUBSTITUTE(TRIM($K1207),"-","")," ",""),마스터시트!$A$2:$H$1946,3,FALSE),"미등록"))</f>
        <v/>
      </c>
      <c r="O1207" s="18" t="str">
        <f>IF($K1207="","",IFERROR(VLOOKUP(--SUBSTITUTE(SUBSTITUTE(TRIM($K1207),"-","")," ",""),마스터시트!$A$2:$H$1946,4,FALSE),""))</f>
        <v/>
      </c>
      <c r="P1207" s="18" t="str">
        <f>IF($K1207="","",IFERROR(VLOOKUP(--SUBSTITUTE(SUBSTITUTE(TRIM($K1207),"-","")," ",""),마스터시트!$A$2:$H$1946,5,FALSE),""))</f>
        <v/>
      </c>
      <c r="Q1207" s="18" t="str">
        <f>IF($K1207="","",IFERROR(VLOOKUP(--SUBSTITUTE(SUBSTITUTE(TRIM($K1207),"-","")," ",""),마스터시트!$A$2:$H$1946,6,FALSE),""))</f>
        <v/>
      </c>
      <c r="R1207" s="18" t="str">
        <f>IF($K1207="","",IFERROR(VLOOKUP(--SUBSTITUTE(SUBSTITUTE(TRIM($K1207),"-","")," ",""),마스터시트!$A$2:$H$1946,7,FALSE),""))</f>
        <v/>
      </c>
    </row>
    <row r="1208" spans="13:18" x14ac:dyDescent="0.3">
      <c r="M1208" s="18" t="str">
        <f>IF($K1208="","",IFERROR(VLOOKUP(--SUBSTITUTE(SUBSTITUTE(TRIM($K1208),"-","")," ",""),마스터시트!$A$2:$H$1946,2,FALSE),"미등록"))</f>
        <v/>
      </c>
      <c r="N1208" s="53" t="str">
        <f>IF($K1208="","",IFERROR(VLOOKUP(--SUBSTITUTE(SUBSTITUTE(TRIM($K1208),"-","")," ",""),마스터시트!$A$2:$H$1946,3,FALSE),"미등록"))</f>
        <v/>
      </c>
      <c r="O1208" s="18" t="str">
        <f>IF($K1208="","",IFERROR(VLOOKUP(--SUBSTITUTE(SUBSTITUTE(TRIM($K1208),"-","")," ",""),마스터시트!$A$2:$H$1946,4,FALSE),""))</f>
        <v/>
      </c>
      <c r="P1208" s="18" t="str">
        <f>IF($K1208="","",IFERROR(VLOOKUP(--SUBSTITUTE(SUBSTITUTE(TRIM($K1208),"-","")," ",""),마스터시트!$A$2:$H$1946,5,FALSE),""))</f>
        <v/>
      </c>
      <c r="Q1208" s="18" t="str">
        <f>IF($K1208="","",IFERROR(VLOOKUP(--SUBSTITUTE(SUBSTITUTE(TRIM($K1208),"-","")," ",""),마스터시트!$A$2:$H$1946,6,FALSE),""))</f>
        <v/>
      </c>
      <c r="R1208" s="18" t="str">
        <f>IF($K1208="","",IFERROR(VLOOKUP(--SUBSTITUTE(SUBSTITUTE(TRIM($K1208),"-","")," ",""),마스터시트!$A$2:$H$1946,7,FALSE),""))</f>
        <v/>
      </c>
    </row>
    <row r="1209" spans="13:18" x14ac:dyDescent="0.3">
      <c r="M1209" s="18" t="str">
        <f>IF($K1209="","",IFERROR(VLOOKUP(--SUBSTITUTE(SUBSTITUTE(TRIM($K1209),"-","")," ",""),마스터시트!$A$2:$H$1946,2,FALSE),"미등록"))</f>
        <v/>
      </c>
      <c r="N1209" s="53" t="str">
        <f>IF($K1209="","",IFERROR(VLOOKUP(--SUBSTITUTE(SUBSTITUTE(TRIM($K1209),"-","")," ",""),마스터시트!$A$2:$H$1946,3,FALSE),"미등록"))</f>
        <v/>
      </c>
      <c r="O1209" s="18" t="str">
        <f>IF($K1209="","",IFERROR(VLOOKUP(--SUBSTITUTE(SUBSTITUTE(TRIM($K1209),"-","")," ",""),마스터시트!$A$2:$H$1946,4,FALSE),""))</f>
        <v/>
      </c>
      <c r="P1209" s="18" t="str">
        <f>IF($K1209="","",IFERROR(VLOOKUP(--SUBSTITUTE(SUBSTITUTE(TRIM($K1209),"-","")," ",""),마스터시트!$A$2:$H$1946,5,FALSE),""))</f>
        <v/>
      </c>
      <c r="Q1209" s="18" t="str">
        <f>IF($K1209="","",IFERROR(VLOOKUP(--SUBSTITUTE(SUBSTITUTE(TRIM($K1209),"-","")," ",""),마스터시트!$A$2:$H$1946,6,FALSE),""))</f>
        <v/>
      </c>
      <c r="R1209" s="18" t="str">
        <f>IF($K1209="","",IFERROR(VLOOKUP(--SUBSTITUTE(SUBSTITUTE(TRIM($K1209),"-","")," ",""),마스터시트!$A$2:$H$1946,7,FALSE),""))</f>
        <v/>
      </c>
    </row>
    <row r="1210" spans="13:18" x14ac:dyDescent="0.3">
      <c r="M1210" s="18" t="str">
        <f>IF($K1210="","",IFERROR(VLOOKUP(--SUBSTITUTE(SUBSTITUTE(TRIM($K1210),"-","")," ",""),마스터시트!$A$2:$H$1946,2,FALSE),"미등록"))</f>
        <v/>
      </c>
      <c r="N1210" s="53" t="str">
        <f>IF($K1210="","",IFERROR(VLOOKUP(--SUBSTITUTE(SUBSTITUTE(TRIM($K1210),"-","")," ",""),마스터시트!$A$2:$H$1946,3,FALSE),"미등록"))</f>
        <v/>
      </c>
      <c r="O1210" s="18" t="str">
        <f>IF($K1210="","",IFERROR(VLOOKUP(--SUBSTITUTE(SUBSTITUTE(TRIM($K1210),"-","")," ",""),마스터시트!$A$2:$H$1946,4,FALSE),""))</f>
        <v/>
      </c>
      <c r="P1210" s="18" t="str">
        <f>IF($K1210="","",IFERROR(VLOOKUP(--SUBSTITUTE(SUBSTITUTE(TRIM($K1210),"-","")," ",""),마스터시트!$A$2:$H$1946,5,FALSE),""))</f>
        <v/>
      </c>
      <c r="Q1210" s="18" t="str">
        <f>IF($K1210="","",IFERROR(VLOOKUP(--SUBSTITUTE(SUBSTITUTE(TRIM($K1210),"-","")," ",""),마스터시트!$A$2:$H$1946,6,FALSE),""))</f>
        <v/>
      </c>
      <c r="R1210" s="18" t="str">
        <f>IF($K1210="","",IFERROR(VLOOKUP(--SUBSTITUTE(SUBSTITUTE(TRIM($K1210),"-","")," ",""),마스터시트!$A$2:$H$1946,7,FALSE),""))</f>
        <v/>
      </c>
    </row>
    <row r="1211" spans="13:18" x14ac:dyDescent="0.3">
      <c r="M1211" s="18" t="str">
        <f>IF($K1211="","",IFERROR(VLOOKUP(--SUBSTITUTE(SUBSTITUTE(TRIM($K1211),"-","")," ",""),마스터시트!$A$2:$H$1946,2,FALSE),"미등록"))</f>
        <v/>
      </c>
      <c r="N1211" s="53" t="str">
        <f>IF($K1211="","",IFERROR(VLOOKUP(--SUBSTITUTE(SUBSTITUTE(TRIM($K1211),"-","")," ",""),마스터시트!$A$2:$H$1946,3,FALSE),"미등록"))</f>
        <v/>
      </c>
      <c r="O1211" s="18" t="str">
        <f>IF($K1211="","",IFERROR(VLOOKUP(--SUBSTITUTE(SUBSTITUTE(TRIM($K1211),"-","")," ",""),마스터시트!$A$2:$H$1946,4,FALSE),""))</f>
        <v/>
      </c>
      <c r="P1211" s="18" t="str">
        <f>IF($K1211="","",IFERROR(VLOOKUP(--SUBSTITUTE(SUBSTITUTE(TRIM($K1211),"-","")," ",""),마스터시트!$A$2:$H$1946,5,FALSE),""))</f>
        <v/>
      </c>
      <c r="Q1211" s="18" t="str">
        <f>IF($K1211="","",IFERROR(VLOOKUP(--SUBSTITUTE(SUBSTITUTE(TRIM($K1211),"-","")," ",""),마스터시트!$A$2:$H$1946,6,FALSE),""))</f>
        <v/>
      </c>
      <c r="R1211" s="18" t="str">
        <f>IF($K1211="","",IFERROR(VLOOKUP(--SUBSTITUTE(SUBSTITUTE(TRIM($K1211),"-","")," ",""),마스터시트!$A$2:$H$1946,7,FALSE),""))</f>
        <v/>
      </c>
    </row>
    <row r="1212" spans="13:18" x14ac:dyDescent="0.3">
      <c r="M1212" s="18" t="str">
        <f>IF($K1212="","",IFERROR(VLOOKUP(--SUBSTITUTE(SUBSTITUTE(TRIM($K1212),"-","")," ",""),마스터시트!$A$2:$H$1946,2,FALSE),"미등록"))</f>
        <v/>
      </c>
      <c r="N1212" s="53" t="str">
        <f>IF($K1212="","",IFERROR(VLOOKUP(--SUBSTITUTE(SUBSTITUTE(TRIM($K1212),"-","")," ",""),마스터시트!$A$2:$H$1946,3,FALSE),"미등록"))</f>
        <v/>
      </c>
      <c r="O1212" s="18" t="str">
        <f>IF($K1212="","",IFERROR(VLOOKUP(--SUBSTITUTE(SUBSTITUTE(TRIM($K1212),"-","")," ",""),마스터시트!$A$2:$H$1946,4,FALSE),""))</f>
        <v/>
      </c>
      <c r="P1212" s="18" t="str">
        <f>IF($K1212="","",IFERROR(VLOOKUP(--SUBSTITUTE(SUBSTITUTE(TRIM($K1212),"-","")," ",""),마스터시트!$A$2:$H$1946,5,FALSE),""))</f>
        <v/>
      </c>
      <c r="Q1212" s="18" t="str">
        <f>IF($K1212="","",IFERROR(VLOOKUP(--SUBSTITUTE(SUBSTITUTE(TRIM($K1212),"-","")," ",""),마스터시트!$A$2:$H$1946,6,FALSE),""))</f>
        <v/>
      </c>
      <c r="R1212" s="18" t="str">
        <f>IF($K1212="","",IFERROR(VLOOKUP(--SUBSTITUTE(SUBSTITUTE(TRIM($K1212),"-","")," ",""),마스터시트!$A$2:$H$1946,7,FALSE),""))</f>
        <v/>
      </c>
    </row>
    <row r="1213" spans="13:18" x14ac:dyDescent="0.3">
      <c r="M1213" s="18" t="str">
        <f>IF($K1213="","",IFERROR(VLOOKUP(--SUBSTITUTE(SUBSTITUTE(TRIM($K1213),"-","")," ",""),마스터시트!$A$2:$H$1946,2,FALSE),"미등록"))</f>
        <v/>
      </c>
      <c r="N1213" s="53" t="str">
        <f>IF($K1213="","",IFERROR(VLOOKUP(--SUBSTITUTE(SUBSTITUTE(TRIM($K1213),"-","")," ",""),마스터시트!$A$2:$H$1946,3,FALSE),"미등록"))</f>
        <v/>
      </c>
      <c r="O1213" s="18" t="str">
        <f>IF($K1213="","",IFERROR(VLOOKUP(--SUBSTITUTE(SUBSTITUTE(TRIM($K1213),"-","")," ",""),마스터시트!$A$2:$H$1946,4,FALSE),""))</f>
        <v/>
      </c>
      <c r="P1213" s="18" t="str">
        <f>IF($K1213="","",IFERROR(VLOOKUP(--SUBSTITUTE(SUBSTITUTE(TRIM($K1213),"-","")," ",""),마스터시트!$A$2:$H$1946,5,FALSE),""))</f>
        <v/>
      </c>
      <c r="Q1213" s="18" t="str">
        <f>IF($K1213="","",IFERROR(VLOOKUP(--SUBSTITUTE(SUBSTITUTE(TRIM($K1213),"-","")," ",""),마스터시트!$A$2:$H$1946,6,FALSE),""))</f>
        <v/>
      </c>
      <c r="R1213" s="18" t="str">
        <f>IF($K1213="","",IFERROR(VLOOKUP(--SUBSTITUTE(SUBSTITUTE(TRIM($K1213),"-","")," ",""),마스터시트!$A$2:$H$1946,7,FALSE),""))</f>
        <v/>
      </c>
    </row>
    <row r="1214" spans="13:18" x14ac:dyDescent="0.3">
      <c r="M1214" s="18" t="str">
        <f>IF($K1214="","",IFERROR(VLOOKUP(--SUBSTITUTE(SUBSTITUTE(TRIM($K1214),"-","")," ",""),마스터시트!$A$2:$H$1946,2,FALSE),"미등록"))</f>
        <v/>
      </c>
      <c r="N1214" s="53" t="str">
        <f>IF($K1214="","",IFERROR(VLOOKUP(--SUBSTITUTE(SUBSTITUTE(TRIM($K1214),"-","")," ",""),마스터시트!$A$2:$H$1946,3,FALSE),"미등록"))</f>
        <v/>
      </c>
      <c r="O1214" s="18" t="str">
        <f>IF($K1214="","",IFERROR(VLOOKUP(--SUBSTITUTE(SUBSTITUTE(TRIM($K1214),"-","")," ",""),마스터시트!$A$2:$H$1946,4,FALSE),""))</f>
        <v/>
      </c>
      <c r="P1214" s="18" t="str">
        <f>IF($K1214="","",IFERROR(VLOOKUP(--SUBSTITUTE(SUBSTITUTE(TRIM($K1214),"-","")," ",""),마스터시트!$A$2:$H$1946,5,FALSE),""))</f>
        <v/>
      </c>
      <c r="Q1214" s="18" t="str">
        <f>IF($K1214="","",IFERROR(VLOOKUP(--SUBSTITUTE(SUBSTITUTE(TRIM($K1214),"-","")," ",""),마스터시트!$A$2:$H$1946,6,FALSE),""))</f>
        <v/>
      </c>
      <c r="R1214" s="18" t="str">
        <f>IF($K1214="","",IFERROR(VLOOKUP(--SUBSTITUTE(SUBSTITUTE(TRIM($K1214),"-","")," ",""),마스터시트!$A$2:$H$1946,7,FALSE),""))</f>
        <v/>
      </c>
    </row>
    <row r="1215" spans="13:18" x14ac:dyDescent="0.3">
      <c r="M1215" s="18" t="str">
        <f>IF($K1215="","",IFERROR(VLOOKUP(--SUBSTITUTE(SUBSTITUTE(TRIM($K1215),"-","")," ",""),마스터시트!$A$2:$H$1946,2,FALSE),"미등록"))</f>
        <v/>
      </c>
      <c r="N1215" s="53" t="str">
        <f>IF($K1215="","",IFERROR(VLOOKUP(--SUBSTITUTE(SUBSTITUTE(TRIM($K1215),"-","")," ",""),마스터시트!$A$2:$H$1946,3,FALSE),"미등록"))</f>
        <v/>
      </c>
      <c r="O1215" s="18" t="str">
        <f>IF($K1215="","",IFERROR(VLOOKUP(--SUBSTITUTE(SUBSTITUTE(TRIM($K1215),"-","")," ",""),마스터시트!$A$2:$H$1946,4,FALSE),""))</f>
        <v/>
      </c>
      <c r="P1215" s="18" t="str">
        <f>IF($K1215="","",IFERROR(VLOOKUP(--SUBSTITUTE(SUBSTITUTE(TRIM($K1215),"-","")," ",""),마스터시트!$A$2:$H$1946,5,FALSE),""))</f>
        <v/>
      </c>
      <c r="Q1215" s="18" t="str">
        <f>IF($K1215="","",IFERROR(VLOOKUP(--SUBSTITUTE(SUBSTITUTE(TRIM($K1215),"-","")," ",""),마스터시트!$A$2:$H$1946,6,FALSE),""))</f>
        <v/>
      </c>
      <c r="R1215" s="18" t="str">
        <f>IF($K1215="","",IFERROR(VLOOKUP(--SUBSTITUTE(SUBSTITUTE(TRIM($K1215),"-","")," ",""),마스터시트!$A$2:$H$1946,7,FALSE),""))</f>
        <v/>
      </c>
    </row>
    <row r="1216" spans="13:18" x14ac:dyDescent="0.3">
      <c r="M1216" s="18" t="str">
        <f>IF($K1216="","",IFERROR(VLOOKUP(--SUBSTITUTE(SUBSTITUTE(TRIM($K1216),"-","")," ",""),마스터시트!$A$2:$H$1946,2,FALSE),"미등록"))</f>
        <v/>
      </c>
      <c r="N1216" s="53" t="str">
        <f>IF($K1216="","",IFERROR(VLOOKUP(--SUBSTITUTE(SUBSTITUTE(TRIM($K1216),"-","")," ",""),마스터시트!$A$2:$H$1946,3,FALSE),"미등록"))</f>
        <v/>
      </c>
      <c r="O1216" s="18" t="str">
        <f>IF($K1216="","",IFERROR(VLOOKUP(--SUBSTITUTE(SUBSTITUTE(TRIM($K1216),"-","")," ",""),마스터시트!$A$2:$H$1946,4,FALSE),""))</f>
        <v/>
      </c>
      <c r="P1216" s="18" t="str">
        <f>IF($K1216="","",IFERROR(VLOOKUP(--SUBSTITUTE(SUBSTITUTE(TRIM($K1216),"-","")," ",""),마스터시트!$A$2:$H$1946,5,FALSE),""))</f>
        <v/>
      </c>
      <c r="Q1216" s="18" t="str">
        <f>IF($K1216="","",IFERROR(VLOOKUP(--SUBSTITUTE(SUBSTITUTE(TRIM($K1216),"-","")," ",""),마스터시트!$A$2:$H$1946,6,FALSE),""))</f>
        <v/>
      </c>
      <c r="R1216" s="18" t="str">
        <f>IF($K1216="","",IFERROR(VLOOKUP(--SUBSTITUTE(SUBSTITUTE(TRIM($K1216),"-","")," ",""),마스터시트!$A$2:$H$1946,7,FALSE),""))</f>
        <v/>
      </c>
    </row>
    <row r="1217" spans="13:18" x14ac:dyDescent="0.3">
      <c r="M1217" s="18" t="str">
        <f>IF($K1217="","",IFERROR(VLOOKUP(--SUBSTITUTE(SUBSTITUTE(TRIM($K1217),"-","")," ",""),마스터시트!$A$2:$H$1946,2,FALSE),"미등록"))</f>
        <v/>
      </c>
      <c r="N1217" s="53" t="str">
        <f>IF($K1217="","",IFERROR(VLOOKUP(--SUBSTITUTE(SUBSTITUTE(TRIM($K1217),"-","")," ",""),마스터시트!$A$2:$H$1946,3,FALSE),"미등록"))</f>
        <v/>
      </c>
      <c r="O1217" s="18" t="str">
        <f>IF($K1217="","",IFERROR(VLOOKUP(--SUBSTITUTE(SUBSTITUTE(TRIM($K1217),"-","")," ",""),마스터시트!$A$2:$H$1946,4,FALSE),""))</f>
        <v/>
      </c>
      <c r="P1217" s="18" t="str">
        <f>IF($K1217="","",IFERROR(VLOOKUP(--SUBSTITUTE(SUBSTITUTE(TRIM($K1217),"-","")," ",""),마스터시트!$A$2:$H$1946,5,FALSE),""))</f>
        <v/>
      </c>
      <c r="Q1217" s="18" t="str">
        <f>IF($K1217="","",IFERROR(VLOOKUP(--SUBSTITUTE(SUBSTITUTE(TRIM($K1217),"-","")," ",""),마스터시트!$A$2:$H$1946,6,FALSE),""))</f>
        <v/>
      </c>
      <c r="R1217" s="18" t="str">
        <f>IF($K1217="","",IFERROR(VLOOKUP(--SUBSTITUTE(SUBSTITUTE(TRIM($K1217),"-","")," ",""),마스터시트!$A$2:$H$1946,7,FALSE),""))</f>
        <v/>
      </c>
    </row>
    <row r="1218" spans="13:18" x14ac:dyDescent="0.3">
      <c r="M1218" s="18" t="str">
        <f>IF($K1218="","",IFERROR(VLOOKUP(--SUBSTITUTE(SUBSTITUTE(TRIM($K1218),"-","")," ",""),마스터시트!$A$2:$H$1946,2,FALSE),"미등록"))</f>
        <v/>
      </c>
      <c r="N1218" s="53" t="str">
        <f>IF($K1218="","",IFERROR(VLOOKUP(--SUBSTITUTE(SUBSTITUTE(TRIM($K1218),"-","")," ",""),마스터시트!$A$2:$H$1946,3,FALSE),"미등록"))</f>
        <v/>
      </c>
      <c r="O1218" s="18" t="str">
        <f>IF($K1218="","",IFERROR(VLOOKUP(--SUBSTITUTE(SUBSTITUTE(TRIM($K1218),"-","")," ",""),마스터시트!$A$2:$H$1946,4,FALSE),""))</f>
        <v/>
      </c>
      <c r="P1218" s="18" t="str">
        <f>IF($K1218="","",IFERROR(VLOOKUP(--SUBSTITUTE(SUBSTITUTE(TRIM($K1218),"-","")," ",""),마스터시트!$A$2:$H$1946,5,FALSE),""))</f>
        <v/>
      </c>
      <c r="Q1218" s="18" t="str">
        <f>IF($K1218="","",IFERROR(VLOOKUP(--SUBSTITUTE(SUBSTITUTE(TRIM($K1218),"-","")," ",""),마스터시트!$A$2:$H$1946,6,FALSE),""))</f>
        <v/>
      </c>
      <c r="R1218" s="18" t="str">
        <f>IF($K1218="","",IFERROR(VLOOKUP(--SUBSTITUTE(SUBSTITUTE(TRIM($K1218),"-","")," ",""),마스터시트!$A$2:$H$1946,7,FALSE),""))</f>
        <v/>
      </c>
    </row>
    <row r="1219" spans="13:18" x14ac:dyDescent="0.3">
      <c r="M1219" s="18" t="str">
        <f>IF($K1219="","",IFERROR(VLOOKUP(--SUBSTITUTE(SUBSTITUTE(TRIM($K1219),"-","")," ",""),마스터시트!$A$2:$H$1946,2,FALSE),"미등록"))</f>
        <v/>
      </c>
      <c r="N1219" s="53" t="str">
        <f>IF($K1219="","",IFERROR(VLOOKUP(--SUBSTITUTE(SUBSTITUTE(TRIM($K1219),"-","")," ",""),마스터시트!$A$2:$H$1946,3,FALSE),"미등록"))</f>
        <v/>
      </c>
      <c r="O1219" s="18" t="str">
        <f>IF($K1219="","",IFERROR(VLOOKUP(--SUBSTITUTE(SUBSTITUTE(TRIM($K1219),"-","")," ",""),마스터시트!$A$2:$H$1946,4,FALSE),""))</f>
        <v/>
      </c>
      <c r="P1219" s="18" t="str">
        <f>IF($K1219="","",IFERROR(VLOOKUP(--SUBSTITUTE(SUBSTITUTE(TRIM($K1219),"-","")," ",""),마스터시트!$A$2:$H$1946,5,FALSE),""))</f>
        <v/>
      </c>
      <c r="Q1219" s="18" t="str">
        <f>IF($K1219="","",IFERROR(VLOOKUP(--SUBSTITUTE(SUBSTITUTE(TRIM($K1219),"-","")," ",""),마스터시트!$A$2:$H$1946,6,FALSE),""))</f>
        <v/>
      </c>
      <c r="R1219" s="18" t="str">
        <f>IF($K1219="","",IFERROR(VLOOKUP(--SUBSTITUTE(SUBSTITUTE(TRIM($K1219),"-","")," ",""),마스터시트!$A$2:$H$1946,7,FALSE),""))</f>
        <v/>
      </c>
    </row>
    <row r="1220" spans="13:18" x14ac:dyDescent="0.3">
      <c r="M1220" s="18" t="str">
        <f>IF($K1220="","",IFERROR(VLOOKUP(--SUBSTITUTE(SUBSTITUTE(TRIM($K1220),"-","")," ",""),마스터시트!$A$2:$H$1946,2,FALSE),"미등록"))</f>
        <v/>
      </c>
      <c r="N1220" s="53" t="str">
        <f>IF($K1220="","",IFERROR(VLOOKUP(--SUBSTITUTE(SUBSTITUTE(TRIM($K1220),"-","")," ",""),마스터시트!$A$2:$H$1946,3,FALSE),"미등록"))</f>
        <v/>
      </c>
      <c r="O1220" s="18" t="str">
        <f>IF($K1220="","",IFERROR(VLOOKUP(--SUBSTITUTE(SUBSTITUTE(TRIM($K1220),"-","")," ",""),마스터시트!$A$2:$H$1946,4,FALSE),""))</f>
        <v/>
      </c>
      <c r="P1220" s="18" t="str">
        <f>IF($K1220="","",IFERROR(VLOOKUP(--SUBSTITUTE(SUBSTITUTE(TRIM($K1220),"-","")," ",""),마스터시트!$A$2:$H$1946,5,FALSE),""))</f>
        <v/>
      </c>
      <c r="Q1220" s="18" t="str">
        <f>IF($K1220="","",IFERROR(VLOOKUP(--SUBSTITUTE(SUBSTITUTE(TRIM($K1220),"-","")," ",""),마스터시트!$A$2:$H$1946,6,FALSE),""))</f>
        <v/>
      </c>
      <c r="R1220" s="18" t="str">
        <f>IF($K1220="","",IFERROR(VLOOKUP(--SUBSTITUTE(SUBSTITUTE(TRIM($K1220),"-","")," ",""),마스터시트!$A$2:$H$1946,7,FALSE),""))</f>
        <v/>
      </c>
    </row>
    <row r="1221" spans="13:18" x14ac:dyDescent="0.3">
      <c r="M1221" s="18" t="str">
        <f>IF($K1221="","",IFERROR(VLOOKUP(--SUBSTITUTE(SUBSTITUTE(TRIM($K1221),"-","")," ",""),마스터시트!$A$2:$H$1946,2,FALSE),"미등록"))</f>
        <v/>
      </c>
      <c r="N1221" s="53" t="str">
        <f>IF($K1221="","",IFERROR(VLOOKUP(--SUBSTITUTE(SUBSTITUTE(TRIM($K1221),"-","")," ",""),마스터시트!$A$2:$H$1946,3,FALSE),"미등록"))</f>
        <v/>
      </c>
      <c r="O1221" s="18" t="str">
        <f>IF($K1221="","",IFERROR(VLOOKUP(--SUBSTITUTE(SUBSTITUTE(TRIM($K1221),"-","")," ",""),마스터시트!$A$2:$H$1946,4,FALSE),""))</f>
        <v/>
      </c>
      <c r="P1221" s="18" t="str">
        <f>IF($K1221="","",IFERROR(VLOOKUP(--SUBSTITUTE(SUBSTITUTE(TRIM($K1221),"-","")," ",""),마스터시트!$A$2:$H$1946,5,FALSE),""))</f>
        <v/>
      </c>
      <c r="Q1221" s="18" t="str">
        <f>IF($K1221="","",IFERROR(VLOOKUP(--SUBSTITUTE(SUBSTITUTE(TRIM($K1221),"-","")," ",""),마스터시트!$A$2:$H$1946,6,FALSE),""))</f>
        <v/>
      </c>
      <c r="R1221" s="18" t="str">
        <f>IF($K1221="","",IFERROR(VLOOKUP(--SUBSTITUTE(SUBSTITUTE(TRIM($K1221),"-","")," ",""),마스터시트!$A$2:$H$1946,7,FALSE),""))</f>
        <v/>
      </c>
    </row>
    <row r="1222" spans="13:18" x14ac:dyDescent="0.3">
      <c r="M1222" s="18" t="str">
        <f>IF($K1222="","",IFERROR(VLOOKUP(--SUBSTITUTE(SUBSTITUTE(TRIM($K1222),"-","")," ",""),마스터시트!$A$2:$H$1946,2,FALSE),"미등록"))</f>
        <v/>
      </c>
      <c r="N1222" s="53" t="str">
        <f>IF($K1222="","",IFERROR(VLOOKUP(--SUBSTITUTE(SUBSTITUTE(TRIM($K1222),"-","")," ",""),마스터시트!$A$2:$H$1946,3,FALSE),"미등록"))</f>
        <v/>
      </c>
      <c r="O1222" s="18" t="str">
        <f>IF($K1222="","",IFERROR(VLOOKUP(--SUBSTITUTE(SUBSTITUTE(TRIM($K1222),"-","")," ",""),마스터시트!$A$2:$H$1946,4,FALSE),""))</f>
        <v/>
      </c>
      <c r="P1222" s="18" t="str">
        <f>IF($K1222="","",IFERROR(VLOOKUP(--SUBSTITUTE(SUBSTITUTE(TRIM($K1222),"-","")," ",""),마스터시트!$A$2:$H$1946,5,FALSE),""))</f>
        <v/>
      </c>
      <c r="Q1222" s="18" t="str">
        <f>IF($K1222="","",IFERROR(VLOOKUP(--SUBSTITUTE(SUBSTITUTE(TRIM($K1222),"-","")," ",""),마스터시트!$A$2:$H$1946,6,FALSE),""))</f>
        <v/>
      </c>
      <c r="R1222" s="18" t="str">
        <f>IF($K1222="","",IFERROR(VLOOKUP(--SUBSTITUTE(SUBSTITUTE(TRIM($K1222),"-","")," ",""),마스터시트!$A$2:$H$1946,7,FALSE),""))</f>
        <v/>
      </c>
    </row>
    <row r="1223" spans="13:18" x14ac:dyDescent="0.3">
      <c r="M1223" s="18" t="str">
        <f>IF($K1223="","",IFERROR(VLOOKUP(--SUBSTITUTE(SUBSTITUTE(TRIM($K1223),"-","")," ",""),마스터시트!$A$2:$H$1946,2,FALSE),"미등록"))</f>
        <v/>
      </c>
      <c r="N1223" s="53" t="str">
        <f>IF($K1223="","",IFERROR(VLOOKUP(--SUBSTITUTE(SUBSTITUTE(TRIM($K1223),"-","")," ",""),마스터시트!$A$2:$H$1946,3,FALSE),"미등록"))</f>
        <v/>
      </c>
      <c r="O1223" s="18" t="str">
        <f>IF($K1223="","",IFERROR(VLOOKUP(--SUBSTITUTE(SUBSTITUTE(TRIM($K1223),"-","")," ",""),마스터시트!$A$2:$H$1946,4,FALSE),""))</f>
        <v/>
      </c>
      <c r="P1223" s="18" t="str">
        <f>IF($K1223="","",IFERROR(VLOOKUP(--SUBSTITUTE(SUBSTITUTE(TRIM($K1223),"-","")," ",""),마스터시트!$A$2:$H$1946,5,FALSE),""))</f>
        <v/>
      </c>
      <c r="Q1223" s="18" t="str">
        <f>IF($K1223="","",IFERROR(VLOOKUP(--SUBSTITUTE(SUBSTITUTE(TRIM($K1223),"-","")," ",""),마스터시트!$A$2:$H$1946,6,FALSE),""))</f>
        <v/>
      </c>
      <c r="R1223" s="18" t="str">
        <f>IF($K1223="","",IFERROR(VLOOKUP(--SUBSTITUTE(SUBSTITUTE(TRIM($K1223),"-","")," ",""),마스터시트!$A$2:$H$1946,7,FALSE),""))</f>
        <v/>
      </c>
    </row>
    <row r="1224" spans="13:18" x14ac:dyDescent="0.3">
      <c r="M1224" s="18" t="str">
        <f>IF($K1224="","",IFERROR(VLOOKUP(--SUBSTITUTE(SUBSTITUTE(TRIM($K1224),"-","")," ",""),마스터시트!$A$2:$H$1946,2,FALSE),"미등록"))</f>
        <v/>
      </c>
      <c r="N1224" s="53" t="str">
        <f>IF($K1224="","",IFERROR(VLOOKUP(--SUBSTITUTE(SUBSTITUTE(TRIM($K1224),"-","")," ",""),마스터시트!$A$2:$H$1946,3,FALSE),"미등록"))</f>
        <v/>
      </c>
      <c r="O1224" s="18" t="str">
        <f>IF($K1224="","",IFERROR(VLOOKUP(--SUBSTITUTE(SUBSTITUTE(TRIM($K1224),"-","")," ",""),마스터시트!$A$2:$H$1946,4,FALSE),""))</f>
        <v/>
      </c>
      <c r="P1224" s="18" t="str">
        <f>IF($K1224="","",IFERROR(VLOOKUP(--SUBSTITUTE(SUBSTITUTE(TRIM($K1224),"-","")," ",""),마스터시트!$A$2:$H$1946,5,FALSE),""))</f>
        <v/>
      </c>
      <c r="Q1224" s="18" t="str">
        <f>IF($K1224="","",IFERROR(VLOOKUP(--SUBSTITUTE(SUBSTITUTE(TRIM($K1224),"-","")," ",""),마스터시트!$A$2:$H$1946,6,FALSE),""))</f>
        <v/>
      </c>
      <c r="R1224" s="18" t="str">
        <f>IF($K1224="","",IFERROR(VLOOKUP(--SUBSTITUTE(SUBSTITUTE(TRIM($K1224),"-","")," ",""),마스터시트!$A$2:$H$1946,7,FALSE),""))</f>
        <v/>
      </c>
    </row>
    <row r="1225" spans="13:18" x14ac:dyDescent="0.3">
      <c r="M1225" s="18" t="str">
        <f>IF($K1225="","",IFERROR(VLOOKUP(--SUBSTITUTE(SUBSTITUTE(TRIM($K1225),"-","")," ",""),마스터시트!$A$2:$H$1946,2,FALSE),"미등록"))</f>
        <v/>
      </c>
      <c r="N1225" s="53" t="str">
        <f>IF($K1225="","",IFERROR(VLOOKUP(--SUBSTITUTE(SUBSTITUTE(TRIM($K1225),"-","")," ",""),마스터시트!$A$2:$H$1946,3,FALSE),"미등록"))</f>
        <v/>
      </c>
      <c r="O1225" s="18" t="str">
        <f>IF($K1225="","",IFERROR(VLOOKUP(--SUBSTITUTE(SUBSTITUTE(TRIM($K1225),"-","")," ",""),마스터시트!$A$2:$H$1946,4,FALSE),""))</f>
        <v/>
      </c>
      <c r="P1225" s="18" t="str">
        <f>IF($K1225="","",IFERROR(VLOOKUP(--SUBSTITUTE(SUBSTITUTE(TRIM($K1225),"-","")," ",""),마스터시트!$A$2:$H$1946,5,FALSE),""))</f>
        <v/>
      </c>
      <c r="Q1225" s="18" t="str">
        <f>IF($K1225="","",IFERROR(VLOOKUP(--SUBSTITUTE(SUBSTITUTE(TRIM($K1225),"-","")," ",""),마스터시트!$A$2:$H$1946,6,FALSE),""))</f>
        <v/>
      </c>
      <c r="R1225" s="18" t="str">
        <f>IF($K1225="","",IFERROR(VLOOKUP(--SUBSTITUTE(SUBSTITUTE(TRIM($K1225),"-","")," ",""),마스터시트!$A$2:$H$1946,7,FALSE),""))</f>
        <v/>
      </c>
    </row>
    <row r="1226" spans="13:18" x14ac:dyDescent="0.3">
      <c r="M1226" s="18" t="str">
        <f>IF($K1226="","",IFERROR(VLOOKUP(--SUBSTITUTE(SUBSTITUTE(TRIM($K1226),"-","")," ",""),마스터시트!$A$2:$H$1946,2,FALSE),"미등록"))</f>
        <v/>
      </c>
      <c r="N1226" s="53" t="str">
        <f>IF($K1226="","",IFERROR(VLOOKUP(--SUBSTITUTE(SUBSTITUTE(TRIM($K1226),"-","")," ",""),마스터시트!$A$2:$H$1946,3,FALSE),"미등록"))</f>
        <v/>
      </c>
      <c r="O1226" s="18" t="str">
        <f>IF($K1226="","",IFERROR(VLOOKUP(--SUBSTITUTE(SUBSTITUTE(TRIM($K1226),"-","")," ",""),마스터시트!$A$2:$H$1946,4,FALSE),""))</f>
        <v/>
      </c>
      <c r="P1226" s="18" t="str">
        <f>IF($K1226="","",IFERROR(VLOOKUP(--SUBSTITUTE(SUBSTITUTE(TRIM($K1226),"-","")," ",""),마스터시트!$A$2:$H$1946,5,FALSE),""))</f>
        <v/>
      </c>
      <c r="Q1226" s="18" t="str">
        <f>IF($K1226="","",IFERROR(VLOOKUP(--SUBSTITUTE(SUBSTITUTE(TRIM($K1226),"-","")," ",""),마스터시트!$A$2:$H$1946,6,FALSE),""))</f>
        <v/>
      </c>
      <c r="R1226" s="18" t="str">
        <f>IF($K1226="","",IFERROR(VLOOKUP(--SUBSTITUTE(SUBSTITUTE(TRIM($K1226),"-","")," ",""),마스터시트!$A$2:$H$1946,7,FALSE),""))</f>
        <v/>
      </c>
    </row>
    <row r="1227" spans="13:18" x14ac:dyDescent="0.3">
      <c r="M1227" s="18" t="str">
        <f>IF($K1227="","",IFERROR(VLOOKUP(--SUBSTITUTE(SUBSTITUTE(TRIM($K1227),"-","")," ",""),마스터시트!$A$2:$H$1946,2,FALSE),"미등록"))</f>
        <v/>
      </c>
      <c r="N1227" s="53" t="str">
        <f>IF($K1227="","",IFERROR(VLOOKUP(--SUBSTITUTE(SUBSTITUTE(TRIM($K1227),"-","")," ",""),마스터시트!$A$2:$H$1946,3,FALSE),"미등록"))</f>
        <v/>
      </c>
      <c r="O1227" s="18" t="str">
        <f>IF($K1227="","",IFERROR(VLOOKUP(--SUBSTITUTE(SUBSTITUTE(TRIM($K1227),"-","")," ",""),마스터시트!$A$2:$H$1946,4,FALSE),""))</f>
        <v/>
      </c>
      <c r="P1227" s="18" t="str">
        <f>IF($K1227="","",IFERROR(VLOOKUP(--SUBSTITUTE(SUBSTITUTE(TRIM($K1227),"-","")," ",""),마스터시트!$A$2:$H$1946,5,FALSE),""))</f>
        <v/>
      </c>
      <c r="Q1227" s="18" t="str">
        <f>IF($K1227="","",IFERROR(VLOOKUP(--SUBSTITUTE(SUBSTITUTE(TRIM($K1227),"-","")," ",""),마스터시트!$A$2:$H$1946,6,FALSE),""))</f>
        <v/>
      </c>
      <c r="R1227" s="18" t="str">
        <f>IF($K1227="","",IFERROR(VLOOKUP(--SUBSTITUTE(SUBSTITUTE(TRIM($K1227),"-","")," ",""),마스터시트!$A$2:$H$1946,7,FALSE),""))</f>
        <v/>
      </c>
    </row>
    <row r="1228" spans="13:18" x14ac:dyDescent="0.3">
      <c r="M1228" s="18" t="str">
        <f>IF($K1228="","",IFERROR(VLOOKUP(--SUBSTITUTE(SUBSTITUTE(TRIM($K1228),"-","")," ",""),마스터시트!$A$2:$H$1946,2,FALSE),"미등록"))</f>
        <v/>
      </c>
      <c r="N1228" s="53" t="str">
        <f>IF($K1228="","",IFERROR(VLOOKUP(--SUBSTITUTE(SUBSTITUTE(TRIM($K1228),"-","")," ",""),마스터시트!$A$2:$H$1946,3,FALSE),"미등록"))</f>
        <v/>
      </c>
      <c r="O1228" s="18" t="str">
        <f>IF($K1228="","",IFERROR(VLOOKUP(--SUBSTITUTE(SUBSTITUTE(TRIM($K1228),"-","")," ",""),마스터시트!$A$2:$H$1946,4,FALSE),""))</f>
        <v/>
      </c>
      <c r="P1228" s="18" t="str">
        <f>IF($K1228="","",IFERROR(VLOOKUP(--SUBSTITUTE(SUBSTITUTE(TRIM($K1228),"-","")," ",""),마스터시트!$A$2:$H$1946,5,FALSE),""))</f>
        <v/>
      </c>
      <c r="Q1228" s="18" t="str">
        <f>IF($K1228="","",IFERROR(VLOOKUP(--SUBSTITUTE(SUBSTITUTE(TRIM($K1228),"-","")," ",""),마스터시트!$A$2:$H$1946,6,FALSE),""))</f>
        <v/>
      </c>
      <c r="R1228" s="18" t="str">
        <f>IF($K1228="","",IFERROR(VLOOKUP(--SUBSTITUTE(SUBSTITUTE(TRIM($K1228),"-","")," ",""),마스터시트!$A$2:$H$1946,7,FALSE),""))</f>
        <v/>
      </c>
    </row>
    <row r="1229" spans="13:18" x14ac:dyDescent="0.3">
      <c r="M1229" s="18" t="str">
        <f>IF($K1229="","",IFERROR(VLOOKUP(--SUBSTITUTE(SUBSTITUTE(TRIM($K1229),"-","")," ",""),마스터시트!$A$2:$H$1946,2,FALSE),"미등록"))</f>
        <v/>
      </c>
      <c r="N1229" s="53" t="str">
        <f>IF($K1229="","",IFERROR(VLOOKUP(--SUBSTITUTE(SUBSTITUTE(TRIM($K1229),"-","")," ",""),마스터시트!$A$2:$H$1946,3,FALSE),"미등록"))</f>
        <v/>
      </c>
      <c r="O1229" s="18" t="str">
        <f>IF($K1229="","",IFERROR(VLOOKUP(--SUBSTITUTE(SUBSTITUTE(TRIM($K1229),"-","")," ",""),마스터시트!$A$2:$H$1946,4,FALSE),""))</f>
        <v/>
      </c>
      <c r="P1229" s="18" t="str">
        <f>IF($K1229="","",IFERROR(VLOOKUP(--SUBSTITUTE(SUBSTITUTE(TRIM($K1229),"-","")," ",""),마스터시트!$A$2:$H$1946,5,FALSE),""))</f>
        <v/>
      </c>
      <c r="Q1229" s="18" t="str">
        <f>IF($K1229="","",IFERROR(VLOOKUP(--SUBSTITUTE(SUBSTITUTE(TRIM($K1229),"-","")," ",""),마스터시트!$A$2:$H$1946,6,FALSE),""))</f>
        <v/>
      </c>
      <c r="R1229" s="18" t="str">
        <f>IF($K1229="","",IFERROR(VLOOKUP(--SUBSTITUTE(SUBSTITUTE(TRIM($K1229),"-","")," ",""),마스터시트!$A$2:$H$1946,7,FALSE),""))</f>
        <v/>
      </c>
    </row>
    <row r="1230" spans="13:18" x14ac:dyDescent="0.3">
      <c r="M1230" s="18" t="str">
        <f>IF($K1230="","",IFERROR(VLOOKUP(--SUBSTITUTE(SUBSTITUTE(TRIM($K1230),"-","")," ",""),마스터시트!$A$2:$H$1946,2,FALSE),"미등록"))</f>
        <v/>
      </c>
      <c r="N1230" s="53" t="str">
        <f>IF($K1230="","",IFERROR(VLOOKUP(--SUBSTITUTE(SUBSTITUTE(TRIM($K1230),"-","")," ",""),마스터시트!$A$2:$H$1946,3,FALSE),"미등록"))</f>
        <v/>
      </c>
      <c r="O1230" s="18" t="str">
        <f>IF($K1230="","",IFERROR(VLOOKUP(--SUBSTITUTE(SUBSTITUTE(TRIM($K1230),"-","")," ",""),마스터시트!$A$2:$H$1946,4,FALSE),""))</f>
        <v/>
      </c>
      <c r="P1230" s="18" t="str">
        <f>IF($K1230="","",IFERROR(VLOOKUP(--SUBSTITUTE(SUBSTITUTE(TRIM($K1230),"-","")," ",""),마스터시트!$A$2:$H$1946,5,FALSE),""))</f>
        <v/>
      </c>
      <c r="Q1230" s="18" t="str">
        <f>IF($K1230="","",IFERROR(VLOOKUP(--SUBSTITUTE(SUBSTITUTE(TRIM($K1230),"-","")," ",""),마스터시트!$A$2:$H$1946,6,FALSE),""))</f>
        <v/>
      </c>
      <c r="R1230" s="18" t="str">
        <f>IF($K1230="","",IFERROR(VLOOKUP(--SUBSTITUTE(SUBSTITUTE(TRIM($K1230),"-","")," ",""),마스터시트!$A$2:$H$1946,7,FALSE),""))</f>
        <v/>
      </c>
    </row>
    <row r="1231" spans="13:18" x14ac:dyDescent="0.3">
      <c r="M1231" s="18" t="str">
        <f>IF($K1231="","",IFERROR(VLOOKUP(--SUBSTITUTE(SUBSTITUTE(TRIM($K1231),"-","")," ",""),마스터시트!$A$2:$H$1946,2,FALSE),"미등록"))</f>
        <v/>
      </c>
      <c r="N1231" s="53" t="str">
        <f>IF($K1231="","",IFERROR(VLOOKUP(--SUBSTITUTE(SUBSTITUTE(TRIM($K1231),"-","")," ",""),마스터시트!$A$2:$H$1946,3,FALSE),"미등록"))</f>
        <v/>
      </c>
      <c r="O1231" s="18" t="str">
        <f>IF($K1231="","",IFERROR(VLOOKUP(--SUBSTITUTE(SUBSTITUTE(TRIM($K1231),"-","")," ",""),마스터시트!$A$2:$H$1946,4,FALSE),""))</f>
        <v/>
      </c>
      <c r="P1231" s="18" t="str">
        <f>IF($K1231="","",IFERROR(VLOOKUP(--SUBSTITUTE(SUBSTITUTE(TRIM($K1231),"-","")," ",""),마스터시트!$A$2:$H$1946,5,FALSE),""))</f>
        <v/>
      </c>
      <c r="Q1231" s="18" t="str">
        <f>IF($K1231="","",IFERROR(VLOOKUP(--SUBSTITUTE(SUBSTITUTE(TRIM($K1231),"-","")," ",""),마스터시트!$A$2:$H$1946,6,FALSE),""))</f>
        <v/>
      </c>
      <c r="R1231" s="18" t="str">
        <f>IF($K1231="","",IFERROR(VLOOKUP(--SUBSTITUTE(SUBSTITUTE(TRIM($K1231),"-","")," ",""),마스터시트!$A$2:$H$1946,7,FALSE),""))</f>
        <v/>
      </c>
    </row>
    <row r="1232" spans="13:18" x14ac:dyDescent="0.3">
      <c r="M1232" s="18" t="str">
        <f>IF($K1232="","",IFERROR(VLOOKUP(--SUBSTITUTE(SUBSTITUTE(TRIM($K1232),"-","")," ",""),마스터시트!$A$2:$H$1946,2,FALSE),"미등록"))</f>
        <v/>
      </c>
      <c r="N1232" s="53" t="str">
        <f>IF($K1232="","",IFERROR(VLOOKUP(--SUBSTITUTE(SUBSTITUTE(TRIM($K1232),"-","")," ",""),마스터시트!$A$2:$H$1946,3,FALSE),"미등록"))</f>
        <v/>
      </c>
      <c r="O1232" s="18" t="str">
        <f>IF($K1232="","",IFERROR(VLOOKUP(--SUBSTITUTE(SUBSTITUTE(TRIM($K1232),"-","")," ",""),마스터시트!$A$2:$H$1946,4,FALSE),""))</f>
        <v/>
      </c>
      <c r="P1232" s="18" t="str">
        <f>IF($K1232="","",IFERROR(VLOOKUP(--SUBSTITUTE(SUBSTITUTE(TRIM($K1232),"-","")," ",""),마스터시트!$A$2:$H$1946,5,FALSE),""))</f>
        <v/>
      </c>
      <c r="Q1232" s="18" t="str">
        <f>IF($K1232="","",IFERROR(VLOOKUP(--SUBSTITUTE(SUBSTITUTE(TRIM($K1232),"-","")," ",""),마스터시트!$A$2:$H$1946,6,FALSE),""))</f>
        <v/>
      </c>
      <c r="R1232" s="18" t="str">
        <f>IF($K1232="","",IFERROR(VLOOKUP(--SUBSTITUTE(SUBSTITUTE(TRIM($K1232),"-","")," ",""),마스터시트!$A$2:$H$1946,7,FALSE),""))</f>
        <v/>
      </c>
    </row>
    <row r="1233" spans="13:18" x14ac:dyDescent="0.3">
      <c r="M1233" s="18" t="str">
        <f>IF($K1233="","",IFERROR(VLOOKUP(--SUBSTITUTE(SUBSTITUTE(TRIM($K1233),"-","")," ",""),마스터시트!$A$2:$H$1946,2,FALSE),"미등록"))</f>
        <v/>
      </c>
      <c r="N1233" s="53" t="str">
        <f>IF($K1233="","",IFERROR(VLOOKUP(--SUBSTITUTE(SUBSTITUTE(TRIM($K1233),"-","")," ",""),마스터시트!$A$2:$H$1946,3,FALSE),"미등록"))</f>
        <v/>
      </c>
      <c r="O1233" s="18" t="str">
        <f>IF($K1233="","",IFERROR(VLOOKUP(--SUBSTITUTE(SUBSTITUTE(TRIM($K1233),"-","")," ",""),마스터시트!$A$2:$H$1946,4,FALSE),""))</f>
        <v/>
      </c>
      <c r="P1233" s="18" t="str">
        <f>IF($K1233="","",IFERROR(VLOOKUP(--SUBSTITUTE(SUBSTITUTE(TRIM($K1233),"-","")," ",""),마스터시트!$A$2:$H$1946,5,FALSE),""))</f>
        <v/>
      </c>
      <c r="Q1233" s="18" t="str">
        <f>IF($K1233="","",IFERROR(VLOOKUP(--SUBSTITUTE(SUBSTITUTE(TRIM($K1233),"-","")," ",""),마스터시트!$A$2:$H$1946,6,FALSE),""))</f>
        <v/>
      </c>
      <c r="R1233" s="18" t="str">
        <f>IF($K1233="","",IFERROR(VLOOKUP(--SUBSTITUTE(SUBSTITUTE(TRIM($K1233),"-","")," ",""),마스터시트!$A$2:$H$1946,7,FALSE),""))</f>
        <v/>
      </c>
    </row>
    <row r="1234" spans="13:18" x14ac:dyDescent="0.3">
      <c r="M1234" s="18" t="str">
        <f>IF($K1234="","",IFERROR(VLOOKUP(--SUBSTITUTE(SUBSTITUTE(TRIM($K1234),"-","")," ",""),마스터시트!$A$2:$H$1946,2,FALSE),"미등록"))</f>
        <v/>
      </c>
      <c r="N1234" s="53" t="str">
        <f>IF($K1234="","",IFERROR(VLOOKUP(--SUBSTITUTE(SUBSTITUTE(TRIM($K1234),"-","")," ",""),마스터시트!$A$2:$H$1946,3,FALSE),"미등록"))</f>
        <v/>
      </c>
      <c r="O1234" s="18" t="str">
        <f>IF($K1234="","",IFERROR(VLOOKUP(--SUBSTITUTE(SUBSTITUTE(TRIM($K1234),"-","")," ",""),마스터시트!$A$2:$H$1946,4,FALSE),""))</f>
        <v/>
      </c>
      <c r="P1234" s="18" t="str">
        <f>IF($K1234="","",IFERROR(VLOOKUP(--SUBSTITUTE(SUBSTITUTE(TRIM($K1234),"-","")," ",""),마스터시트!$A$2:$H$1946,5,FALSE),""))</f>
        <v/>
      </c>
      <c r="Q1234" s="18" t="str">
        <f>IF($K1234="","",IFERROR(VLOOKUP(--SUBSTITUTE(SUBSTITUTE(TRIM($K1234),"-","")," ",""),마스터시트!$A$2:$H$1946,6,FALSE),""))</f>
        <v/>
      </c>
      <c r="R1234" s="18" t="str">
        <f>IF($K1234="","",IFERROR(VLOOKUP(--SUBSTITUTE(SUBSTITUTE(TRIM($K1234),"-","")," ",""),마스터시트!$A$2:$H$1946,7,FALSE),""))</f>
        <v/>
      </c>
    </row>
    <row r="1235" spans="13:18" x14ac:dyDescent="0.3">
      <c r="M1235" s="18" t="str">
        <f>IF($K1235="","",IFERROR(VLOOKUP(--SUBSTITUTE(SUBSTITUTE(TRIM($K1235),"-","")," ",""),마스터시트!$A$2:$H$1946,2,FALSE),"미등록"))</f>
        <v/>
      </c>
      <c r="N1235" s="53" t="str">
        <f>IF($K1235="","",IFERROR(VLOOKUP(--SUBSTITUTE(SUBSTITUTE(TRIM($K1235),"-","")," ",""),마스터시트!$A$2:$H$1946,3,FALSE),"미등록"))</f>
        <v/>
      </c>
      <c r="O1235" s="18" t="str">
        <f>IF($K1235="","",IFERROR(VLOOKUP(--SUBSTITUTE(SUBSTITUTE(TRIM($K1235),"-","")," ",""),마스터시트!$A$2:$H$1946,4,FALSE),""))</f>
        <v/>
      </c>
      <c r="P1235" s="18" t="str">
        <f>IF($K1235="","",IFERROR(VLOOKUP(--SUBSTITUTE(SUBSTITUTE(TRIM($K1235),"-","")," ",""),마스터시트!$A$2:$H$1946,5,FALSE),""))</f>
        <v/>
      </c>
      <c r="Q1235" s="18" t="str">
        <f>IF($K1235="","",IFERROR(VLOOKUP(--SUBSTITUTE(SUBSTITUTE(TRIM($K1235),"-","")," ",""),마스터시트!$A$2:$H$1946,6,FALSE),""))</f>
        <v/>
      </c>
      <c r="R1235" s="18" t="str">
        <f>IF($K1235="","",IFERROR(VLOOKUP(--SUBSTITUTE(SUBSTITUTE(TRIM($K1235),"-","")," ",""),마스터시트!$A$2:$H$1946,7,FALSE),""))</f>
        <v/>
      </c>
    </row>
    <row r="1236" spans="13:18" x14ac:dyDescent="0.3">
      <c r="M1236" s="18" t="str">
        <f>IF($K1236="","",IFERROR(VLOOKUP(--SUBSTITUTE(SUBSTITUTE(TRIM($K1236),"-","")," ",""),마스터시트!$A$2:$H$1946,2,FALSE),"미등록"))</f>
        <v/>
      </c>
      <c r="N1236" s="53" t="str">
        <f>IF($K1236="","",IFERROR(VLOOKUP(--SUBSTITUTE(SUBSTITUTE(TRIM($K1236),"-","")," ",""),마스터시트!$A$2:$H$1946,3,FALSE),"미등록"))</f>
        <v/>
      </c>
      <c r="O1236" s="18" t="str">
        <f>IF($K1236="","",IFERROR(VLOOKUP(--SUBSTITUTE(SUBSTITUTE(TRIM($K1236),"-","")," ",""),마스터시트!$A$2:$H$1946,4,FALSE),""))</f>
        <v/>
      </c>
      <c r="P1236" s="18" t="str">
        <f>IF($K1236="","",IFERROR(VLOOKUP(--SUBSTITUTE(SUBSTITUTE(TRIM($K1236),"-","")," ",""),마스터시트!$A$2:$H$1946,5,FALSE),""))</f>
        <v/>
      </c>
      <c r="Q1236" s="18" t="str">
        <f>IF($K1236="","",IFERROR(VLOOKUP(--SUBSTITUTE(SUBSTITUTE(TRIM($K1236),"-","")," ",""),마스터시트!$A$2:$H$1946,6,FALSE),""))</f>
        <v/>
      </c>
      <c r="R1236" s="18" t="str">
        <f>IF($K1236="","",IFERROR(VLOOKUP(--SUBSTITUTE(SUBSTITUTE(TRIM($K1236),"-","")," ",""),마스터시트!$A$2:$H$1946,7,FALSE),""))</f>
        <v/>
      </c>
    </row>
    <row r="1237" spans="13:18" x14ac:dyDescent="0.3">
      <c r="M1237" s="18" t="str">
        <f>IF($K1237="","",IFERROR(VLOOKUP(--SUBSTITUTE(SUBSTITUTE(TRIM($K1237),"-","")," ",""),마스터시트!$A$2:$H$1946,2,FALSE),"미등록"))</f>
        <v/>
      </c>
      <c r="N1237" s="53" t="str">
        <f>IF($K1237="","",IFERROR(VLOOKUP(--SUBSTITUTE(SUBSTITUTE(TRIM($K1237),"-","")," ",""),마스터시트!$A$2:$H$1946,3,FALSE),"미등록"))</f>
        <v/>
      </c>
      <c r="O1237" s="18" t="str">
        <f>IF($K1237="","",IFERROR(VLOOKUP(--SUBSTITUTE(SUBSTITUTE(TRIM($K1237),"-","")," ",""),마스터시트!$A$2:$H$1946,4,FALSE),""))</f>
        <v/>
      </c>
      <c r="P1237" s="18" t="str">
        <f>IF($K1237="","",IFERROR(VLOOKUP(--SUBSTITUTE(SUBSTITUTE(TRIM($K1237),"-","")," ",""),마스터시트!$A$2:$H$1946,5,FALSE),""))</f>
        <v/>
      </c>
      <c r="Q1237" s="18" t="str">
        <f>IF($K1237="","",IFERROR(VLOOKUP(--SUBSTITUTE(SUBSTITUTE(TRIM($K1237),"-","")," ",""),마스터시트!$A$2:$H$1946,6,FALSE),""))</f>
        <v/>
      </c>
      <c r="R1237" s="18" t="str">
        <f>IF($K1237="","",IFERROR(VLOOKUP(--SUBSTITUTE(SUBSTITUTE(TRIM($K1237),"-","")," ",""),마스터시트!$A$2:$H$1946,7,FALSE),""))</f>
        <v/>
      </c>
    </row>
    <row r="1238" spans="13:18" x14ac:dyDescent="0.3">
      <c r="M1238" s="18" t="str">
        <f>IF($K1238="","",IFERROR(VLOOKUP(--SUBSTITUTE(SUBSTITUTE(TRIM($K1238),"-","")," ",""),마스터시트!$A$2:$H$1946,2,FALSE),"미등록"))</f>
        <v/>
      </c>
      <c r="N1238" s="53" t="str">
        <f>IF($K1238="","",IFERROR(VLOOKUP(--SUBSTITUTE(SUBSTITUTE(TRIM($K1238),"-","")," ",""),마스터시트!$A$2:$H$1946,3,FALSE),"미등록"))</f>
        <v/>
      </c>
      <c r="O1238" s="18" t="str">
        <f>IF($K1238="","",IFERROR(VLOOKUP(--SUBSTITUTE(SUBSTITUTE(TRIM($K1238),"-","")," ",""),마스터시트!$A$2:$H$1946,4,FALSE),""))</f>
        <v/>
      </c>
      <c r="P1238" s="18" t="str">
        <f>IF($K1238="","",IFERROR(VLOOKUP(--SUBSTITUTE(SUBSTITUTE(TRIM($K1238),"-","")," ",""),마스터시트!$A$2:$H$1946,5,FALSE),""))</f>
        <v/>
      </c>
      <c r="Q1238" s="18" t="str">
        <f>IF($K1238="","",IFERROR(VLOOKUP(--SUBSTITUTE(SUBSTITUTE(TRIM($K1238),"-","")," ",""),마스터시트!$A$2:$H$1946,6,FALSE),""))</f>
        <v/>
      </c>
      <c r="R1238" s="18" t="str">
        <f>IF($K1238="","",IFERROR(VLOOKUP(--SUBSTITUTE(SUBSTITUTE(TRIM($K1238),"-","")," ",""),마스터시트!$A$2:$H$1946,7,FALSE),""))</f>
        <v/>
      </c>
    </row>
    <row r="1239" spans="13:18" x14ac:dyDescent="0.3">
      <c r="M1239" s="18" t="str">
        <f>IF($K1239="","",IFERROR(VLOOKUP(--SUBSTITUTE(SUBSTITUTE(TRIM($K1239),"-","")," ",""),마스터시트!$A$2:$H$1946,2,FALSE),"미등록"))</f>
        <v/>
      </c>
      <c r="N1239" s="53" t="str">
        <f>IF($K1239="","",IFERROR(VLOOKUP(--SUBSTITUTE(SUBSTITUTE(TRIM($K1239),"-","")," ",""),마스터시트!$A$2:$H$1946,3,FALSE),"미등록"))</f>
        <v/>
      </c>
      <c r="O1239" s="18" t="str">
        <f>IF($K1239="","",IFERROR(VLOOKUP(--SUBSTITUTE(SUBSTITUTE(TRIM($K1239),"-","")," ",""),마스터시트!$A$2:$H$1946,4,FALSE),""))</f>
        <v/>
      </c>
      <c r="P1239" s="18" t="str">
        <f>IF($K1239="","",IFERROR(VLOOKUP(--SUBSTITUTE(SUBSTITUTE(TRIM($K1239),"-","")," ",""),마스터시트!$A$2:$H$1946,5,FALSE),""))</f>
        <v/>
      </c>
      <c r="Q1239" s="18" t="str">
        <f>IF($K1239="","",IFERROR(VLOOKUP(--SUBSTITUTE(SUBSTITUTE(TRIM($K1239),"-","")," ",""),마스터시트!$A$2:$H$1946,6,FALSE),""))</f>
        <v/>
      </c>
      <c r="R1239" s="18" t="str">
        <f>IF($K1239="","",IFERROR(VLOOKUP(--SUBSTITUTE(SUBSTITUTE(TRIM($K1239),"-","")," ",""),마스터시트!$A$2:$H$1946,7,FALSE),""))</f>
        <v/>
      </c>
    </row>
    <row r="1240" spans="13:18" x14ac:dyDescent="0.3">
      <c r="M1240" s="18" t="str">
        <f>IF($K1240="","",IFERROR(VLOOKUP(--SUBSTITUTE(SUBSTITUTE(TRIM($K1240),"-","")," ",""),마스터시트!$A$2:$H$1946,2,FALSE),"미등록"))</f>
        <v/>
      </c>
      <c r="N1240" s="53" t="str">
        <f>IF($K1240="","",IFERROR(VLOOKUP(--SUBSTITUTE(SUBSTITUTE(TRIM($K1240),"-","")," ",""),마스터시트!$A$2:$H$1946,3,FALSE),"미등록"))</f>
        <v/>
      </c>
      <c r="O1240" s="18" t="str">
        <f>IF($K1240="","",IFERROR(VLOOKUP(--SUBSTITUTE(SUBSTITUTE(TRIM($K1240),"-","")," ",""),마스터시트!$A$2:$H$1946,4,FALSE),""))</f>
        <v/>
      </c>
      <c r="P1240" s="18" t="str">
        <f>IF($K1240="","",IFERROR(VLOOKUP(--SUBSTITUTE(SUBSTITUTE(TRIM($K1240),"-","")," ",""),마스터시트!$A$2:$H$1946,5,FALSE),""))</f>
        <v/>
      </c>
      <c r="Q1240" s="18" t="str">
        <f>IF($K1240="","",IFERROR(VLOOKUP(--SUBSTITUTE(SUBSTITUTE(TRIM($K1240),"-","")," ",""),마스터시트!$A$2:$H$1946,6,FALSE),""))</f>
        <v/>
      </c>
      <c r="R1240" s="18" t="str">
        <f>IF($K1240="","",IFERROR(VLOOKUP(--SUBSTITUTE(SUBSTITUTE(TRIM($K1240),"-","")," ",""),마스터시트!$A$2:$H$1946,7,FALSE),""))</f>
        <v/>
      </c>
    </row>
    <row r="1241" spans="13:18" x14ac:dyDescent="0.3">
      <c r="M1241" s="18" t="str">
        <f>IF($K1241="","",IFERROR(VLOOKUP(--SUBSTITUTE(SUBSTITUTE(TRIM($K1241),"-","")," ",""),마스터시트!$A$2:$H$1946,2,FALSE),"미등록"))</f>
        <v/>
      </c>
      <c r="N1241" s="53" t="str">
        <f>IF($K1241="","",IFERROR(VLOOKUP(--SUBSTITUTE(SUBSTITUTE(TRIM($K1241),"-","")," ",""),마스터시트!$A$2:$H$1946,3,FALSE),"미등록"))</f>
        <v/>
      </c>
      <c r="O1241" s="18" t="str">
        <f>IF($K1241="","",IFERROR(VLOOKUP(--SUBSTITUTE(SUBSTITUTE(TRIM($K1241),"-","")," ",""),마스터시트!$A$2:$H$1946,4,FALSE),""))</f>
        <v/>
      </c>
      <c r="P1241" s="18" t="str">
        <f>IF($K1241="","",IFERROR(VLOOKUP(--SUBSTITUTE(SUBSTITUTE(TRIM($K1241),"-","")," ",""),마스터시트!$A$2:$H$1946,5,FALSE),""))</f>
        <v/>
      </c>
      <c r="Q1241" s="18" t="str">
        <f>IF($K1241="","",IFERROR(VLOOKUP(--SUBSTITUTE(SUBSTITUTE(TRIM($K1241),"-","")," ",""),마스터시트!$A$2:$H$1946,6,FALSE),""))</f>
        <v/>
      </c>
      <c r="R1241" s="18" t="str">
        <f>IF($K1241="","",IFERROR(VLOOKUP(--SUBSTITUTE(SUBSTITUTE(TRIM($K1241),"-","")," ",""),마스터시트!$A$2:$H$1946,7,FALSE),""))</f>
        <v/>
      </c>
    </row>
    <row r="1242" spans="13:18" x14ac:dyDescent="0.3">
      <c r="M1242" s="18" t="str">
        <f>IF($K1242="","",IFERROR(VLOOKUP(--SUBSTITUTE(SUBSTITUTE(TRIM($K1242),"-","")," ",""),마스터시트!$A$2:$H$1946,2,FALSE),"미등록"))</f>
        <v/>
      </c>
      <c r="N1242" s="53" t="str">
        <f>IF($K1242="","",IFERROR(VLOOKUP(--SUBSTITUTE(SUBSTITUTE(TRIM($K1242),"-","")," ",""),마스터시트!$A$2:$H$1946,3,FALSE),"미등록"))</f>
        <v/>
      </c>
      <c r="O1242" s="18" t="str">
        <f>IF($K1242="","",IFERROR(VLOOKUP(--SUBSTITUTE(SUBSTITUTE(TRIM($K1242),"-","")," ",""),마스터시트!$A$2:$H$1946,4,FALSE),""))</f>
        <v/>
      </c>
      <c r="P1242" s="18" t="str">
        <f>IF($K1242="","",IFERROR(VLOOKUP(--SUBSTITUTE(SUBSTITUTE(TRIM($K1242),"-","")," ",""),마스터시트!$A$2:$H$1946,5,FALSE),""))</f>
        <v/>
      </c>
      <c r="Q1242" s="18" t="str">
        <f>IF($K1242="","",IFERROR(VLOOKUP(--SUBSTITUTE(SUBSTITUTE(TRIM($K1242),"-","")," ",""),마스터시트!$A$2:$H$1946,6,FALSE),""))</f>
        <v/>
      </c>
      <c r="R1242" s="18" t="str">
        <f>IF($K1242="","",IFERROR(VLOOKUP(--SUBSTITUTE(SUBSTITUTE(TRIM($K1242),"-","")," ",""),마스터시트!$A$2:$H$1946,7,FALSE),""))</f>
        <v/>
      </c>
    </row>
    <row r="1243" spans="13:18" x14ac:dyDescent="0.3">
      <c r="M1243" s="18" t="str">
        <f>IF($K1243="","",IFERROR(VLOOKUP(--SUBSTITUTE(SUBSTITUTE(TRIM($K1243),"-","")," ",""),마스터시트!$A$2:$H$1946,2,FALSE),"미등록"))</f>
        <v/>
      </c>
      <c r="N1243" s="53" t="str">
        <f>IF($K1243="","",IFERROR(VLOOKUP(--SUBSTITUTE(SUBSTITUTE(TRIM($K1243),"-","")," ",""),마스터시트!$A$2:$H$1946,3,FALSE),"미등록"))</f>
        <v/>
      </c>
      <c r="O1243" s="18" t="str">
        <f>IF($K1243="","",IFERROR(VLOOKUP(--SUBSTITUTE(SUBSTITUTE(TRIM($K1243),"-","")," ",""),마스터시트!$A$2:$H$1946,4,FALSE),""))</f>
        <v/>
      </c>
      <c r="P1243" s="18" t="str">
        <f>IF($K1243="","",IFERROR(VLOOKUP(--SUBSTITUTE(SUBSTITUTE(TRIM($K1243),"-","")," ",""),마스터시트!$A$2:$H$1946,5,FALSE),""))</f>
        <v/>
      </c>
      <c r="Q1243" s="18" t="str">
        <f>IF($K1243="","",IFERROR(VLOOKUP(--SUBSTITUTE(SUBSTITUTE(TRIM($K1243),"-","")," ",""),마스터시트!$A$2:$H$1946,6,FALSE),""))</f>
        <v/>
      </c>
      <c r="R1243" s="18" t="str">
        <f>IF($K1243="","",IFERROR(VLOOKUP(--SUBSTITUTE(SUBSTITUTE(TRIM($K1243),"-","")," ",""),마스터시트!$A$2:$H$1946,7,FALSE),""))</f>
        <v/>
      </c>
    </row>
    <row r="1244" spans="13:18" x14ac:dyDescent="0.3">
      <c r="M1244" s="18" t="str">
        <f>IF($K1244="","",IFERROR(VLOOKUP(--SUBSTITUTE(SUBSTITUTE(TRIM($K1244),"-","")," ",""),마스터시트!$A$2:$H$1946,2,FALSE),"미등록"))</f>
        <v/>
      </c>
      <c r="N1244" s="53" t="str">
        <f>IF($K1244="","",IFERROR(VLOOKUP(--SUBSTITUTE(SUBSTITUTE(TRIM($K1244),"-","")," ",""),마스터시트!$A$2:$H$1946,3,FALSE),"미등록"))</f>
        <v/>
      </c>
      <c r="O1244" s="18" t="str">
        <f>IF($K1244="","",IFERROR(VLOOKUP(--SUBSTITUTE(SUBSTITUTE(TRIM($K1244),"-","")," ",""),마스터시트!$A$2:$H$1946,4,FALSE),""))</f>
        <v/>
      </c>
      <c r="P1244" s="18" t="str">
        <f>IF($K1244="","",IFERROR(VLOOKUP(--SUBSTITUTE(SUBSTITUTE(TRIM($K1244),"-","")," ",""),마스터시트!$A$2:$H$1946,5,FALSE),""))</f>
        <v/>
      </c>
      <c r="Q1244" s="18" t="str">
        <f>IF($K1244="","",IFERROR(VLOOKUP(--SUBSTITUTE(SUBSTITUTE(TRIM($K1244),"-","")," ",""),마스터시트!$A$2:$H$1946,6,FALSE),""))</f>
        <v/>
      </c>
      <c r="R1244" s="18" t="str">
        <f>IF($K1244="","",IFERROR(VLOOKUP(--SUBSTITUTE(SUBSTITUTE(TRIM($K1244),"-","")," ",""),마스터시트!$A$2:$H$1946,7,FALSE),""))</f>
        <v/>
      </c>
    </row>
    <row r="1245" spans="13:18" x14ac:dyDescent="0.3">
      <c r="M1245" s="18" t="str">
        <f>IF($K1245="","",IFERROR(VLOOKUP(--SUBSTITUTE(SUBSTITUTE(TRIM($K1245),"-","")," ",""),마스터시트!$A$2:$H$1946,2,FALSE),"미등록"))</f>
        <v/>
      </c>
      <c r="N1245" s="53" t="str">
        <f>IF($K1245="","",IFERROR(VLOOKUP(--SUBSTITUTE(SUBSTITUTE(TRIM($K1245),"-","")," ",""),마스터시트!$A$2:$H$1946,3,FALSE),"미등록"))</f>
        <v/>
      </c>
      <c r="O1245" s="18" t="str">
        <f>IF($K1245="","",IFERROR(VLOOKUP(--SUBSTITUTE(SUBSTITUTE(TRIM($K1245),"-","")," ",""),마스터시트!$A$2:$H$1946,4,FALSE),""))</f>
        <v/>
      </c>
      <c r="P1245" s="18" t="str">
        <f>IF($K1245="","",IFERROR(VLOOKUP(--SUBSTITUTE(SUBSTITUTE(TRIM($K1245),"-","")," ",""),마스터시트!$A$2:$H$1946,5,FALSE),""))</f>
        <v/>
      </c>
      <c r="Q1245" s="18" t="str">
        <f>IF($K1245="","",IFERROR(VLOOKUP(--SUBSTITUTE(SUBSTITUTE(TRIM($K1245),"-","")," ",""),마스터시트!$A$2:$H$1946,6,FALSE),""))</f>
        <v/>
      </c>
      <c r="R1245" s="18" t="str">
        <f>IF($K1245="","",IFERROR(VLOOKUP(--SUBSTITUTE(SUBSTITUTE(TRIM($K1245),"-","")," ",""),마스터시트!$A$2:$H$1946,7,FALSE),""))</f>
        <v/>
      </c>
    </row>
    <row r="1246" spans="13:18" x14ac:dyDescent="0.3">
      <c r="M1246" s="18" t="str">
        <f>IF($K1246="","",IFERROR(VLOOKUP(--SUBSTITUTE(SUBSTITUTE(TRIM($K1246),"-","")," ",""),마스터시트!$A$2:$H$1946,2,FALSE),"미등록"))</f>
        <v/>
      </c>
      <c r="N1246" s="53" t="str">
        <f>IF($K1246="","",IFERROR(VLOOKUP(--SUBSTITUTE(SUBSTITUTE(TRIM($K1246),"-","")," ",""),마스터시트!$A$2:$H$1946,3,FALSE),"미등록"))</f>
        <v/>
      </c>
      <c r="O1246" s="18" t="str">
        <f>IF($K1246="","",IFERROR(VLOOKUP(--SUBSTITUTE(SUBSTITUTE(TRIM($K1246),"-","")," ",""),마스터시트!$A$2:$H$1946,4,FALSE),""))</f>
        <v/>
      </c>
      <c r="P1246" s="18" t="str">
        <f>IF($K1246="","",IFERROR(VLOOKUP(--SUBSTITUTE(SUBSTITUTE(TRIM($K1246),"-","")," ",""),마스터시트!$A$2:$H$1946,5,FALSE),""))</f>
        <v/>
      </c>
      <c r="Q1246" s="18" t="str">
        <f>IF($K1246="","",IFERROR(VLOOKUP(--SUBSTITUTE(SUBSTITUTE(TRIM($K1246),"-","")," ",""),마스터시트!$A$2:$H$1946,6,FALSE),""))</f>
        <v/>
      </c>
      <c r="R1246" s="18" t="str">
        <f>IF($K1246="","",IFERROR(VLOOKUP(--SUBSTITUTE(SUBSTITUTE(TRIM($K1246),"-","")," ",""),마스터시트!$A$2:$H$1946,7,FALSE),""))</f>
        <v/>
      </c>
    </row>
    <row r="1247" spans="13:18" x14ac:dyDescent="0.3">
      <c r="M1247" s="18" t="str">
        <f>IF($K1247="","",IFERROR(VLOOKUP(--SUBSTITUTE(SUBSTITUTE(TRIM($K1247),"-","")," ",""),마스터시트!$A$2:$H$1946,2,FALSE),"미등록"))</f>
        <v/>
      </c>
      <c r="N1247" s="53" t="str">
        <f>IF($K1247="","",IFERROR(VLOOKUP(--SUBSTITUTE(SUBSTITUTE(TRIM($K1247),"-","")," ",""),마스터시트!$A$2:$H$1946,3,FALSE),"미등록"))</f>
        <v/>
      </c>
      <c r="O1247" s="18" t="str">
        <f>IF($K1247="","",IFERROR(VLOOKUP(--SUBSTITUTE(SUBSTITUTE(TRIM($K1247),"-","")," ",""),마스터시트!$A$2:$H$1946,4,FALSE),""))</f>
        <v/>
      </c>
      <c r="P1247" s="18" t="str">
        <f>IF($K1247="","",IFERROR(VLOOKUP(--SUBSTITUTE(SUBSTITUTE(TRIM($K1247),"-","")," ",""),마스터시트!$A$2:$H$1946,5,FALSE),""))</f>
        <v/>
      </c>
      <c r="Q1247" s="18" t="str">
        <f>IF($K1247="","",IFERROR(VLOOKUP(--SUBSTITUTE(SUBSTITUTE(TRIM($K1247),"-","")," ",""),마스터시트!$A$2:$H$1946,6,FALSE),""))</f>
        <v/>
      </c>
      <c r="R1247" s="18" t="str">
        <f>IF($K1247="","",IFERROR(VLOOKUP(--SUBSTITUTE(SUBSTITUTE(TRIM($K1247),"-","")," ",""),마스터시트!$A$2:$H$1946,7,FALSE),""))</f>
        <v/>
      </c>
    </row>
    <row r="1248" spans="13:18" x14ac:dyDescent="0.3">
      <c r="M1248" s="18" t="str">
        <f>IF($K1248="","",IFERROR(VLOOKUP(--SUBSTITUTE(SUBSTITUTE(TRIM($K1248),"-","")," ",""),마스터시트!$A$2:$H$1946,2,FALSE),"미등록"))</f>
        <v/>
      </c>
      <c r="N1248" s="53" t="str">
        <f>IF($K1248="","",IFERROR(VLOOKUP(--SUBSTITUTE(SUBSTITUTE(TRIM($K1248),"-","")," ",""),마스터시트!$A$2:$H$1946,3,FALSE),"미등록"))</f>
        <v/>
      </c>
      <c r="O1248" s="18" t="str">
        <f>IF($K1248="","",IFERROR(VLOOKUP(--SUBSTITUTE(SUBSTITUTE(TRIM($K1248),"-","")," ",""),마스터시트!$A$2:$H$1946,4,FALSE),""))</f>
        <v/>
      </c>
      <c r="P1248" s="18" t="str">
        <f>IF($K1248="","",IFERROR(VLOOKUP(--SUBSTITUTE(SUBSTITUTE(TRIM($K1248),"-","")," ",""),마스터시트!$A$2:$H$1946,5,FALSE),""))</f>
        <v/>
      </c>
      <c r="Q1248" s="18" t="str">
        <f>IF($K1248="","",IFERROR(VLOOKUP(--SUBSTITUTE(SUBSTITUTE(TRIM($K1248),"-","")," ",""),마스터시트!$A$2:$H$1946,6,FALSE),""))</f>
        <v/>
      </c>
      <c r="R1248" s="18" t="str">
        <f>IF($K1248="","",IFERROR(VLOOKUP(--SUBSTITUTE(SUBSTITUTE(TRIM($K1248),"-","")," ",""),마스터시트!$A$2:$H$1946,7,FALSE),""))</f>
        <v/>
      </c>
    </row>
    <row r="1249" spans="13:18" x14ac:dyDescent="0.3">
      <c r="M1249" s="18" t="str">
        <f>IF($K1249="","",IFERROR(VLOOKUP(--SUBSTITUTE(SUBSTITUTE(TRIM($K1249),"-","")," ",""),마스터시트!$A$2:$H$1946,2,FALSE),"미등록"))</f>
        <v/>
      </c>
      <c r="N1249" s="53" t="str">
        <f>IF($K1249="","",IFERROR(VLOOKUP(--SUBSTITUTE(SUBSTITUTE(TRIM($K1249),"-","")," ",""),마스터시트!$A$2:$H$1946,3,FALSE),"미등록"))</f>
        <v/>
      </c>
      <c r="O1249" s="18" t="str">
        <f>IF($K1249="","",IFERROR(VLOOKUP(--SUBSTITUTE(SUBSTITUTE(TRIM($K1249),"-","")," ",""),마스터시트!$A$2:$H$1946,4,FALSE),""))</f>
        <v/>
      </c>
      <c r="P1249" s="18" t="str">
        <f>IF($K1249="","",IFERROR(VLOOKUP(--SUBSTITUTE(SUBSTITUTE(TRIM($K1249),"-","")," ",""),마스터시트!$A$2:$H$1946,5,FALSE),""))</f>
        <v/>
      </c>
      <c r="Q1249" s="18" t="str">
        <f>IF($K1249="","",IFERROR(VLOOKUP(--SUBSTITUTE(SUBSTITUTE(TRIM($K1249),"-","")," ",""),마스터시트!$A$2:$H$1946,6,FALSE),""))</f>
        <v/>
      </c>
      <c r="R1249" s="18" t="str">
        <f>IF($K1249="","",IFERROR(VLOOKUP(--SUBSTITUTE(SUBSTITUTE(TRIM($K1249),"-","")," ",""),마스터시트!$A$2:$H$1946,7,FALSE),""))</f>
        <v/>
      </c>
    </row>
    <row r="1250" spans="13:18" x14ac:dyDescent="0.3">
      <c r="M1250" s="18" t="str">
        <f>IF($K1250="","",IFERROR(VLOOKUP(--SUBSTITUTE(SUBSTITUTE(TRIM($K1250),"-","")," ",""),마스터시트!$A$2:$H$1946,2,FALSE),"미등록"))</f>
        <v/>
      </c>
      <c r="N1250" s="53" t="str">
        <f>IF($K1250="","",IFERROR(VLOOKUP(--SUBSTITUTE(SUBSTITUTE(TRIM($K1250),"-","")," ",""),마스터시트!$A$2:$H$1946,3,FALSE),"미등록"))</f>
        <v/>
      </c>
      <c r="O1250" s="18" t="str">
        <f>IF($K1250="","",IFERROR(VLOOKUP(--SUBSTITUTE(SUBSTITUTE(TRIM($K1250),"-","")," ",""),마스터시트!$A$2:$H$1946,4,FALSE),""))</f>
        <v/>
      </c>
      <c r="P1250" s="18" t="str">
        <f>IF($K1250="","",IFERROR(VLOOKUP(--SUBSTITUTE(SUBSTITUTE(TRIM($K1250),"-","")," ",""),마스터시트!$A$2:$H$1946,5,FALSE),""))</f>
        <v/>
      </c>
      <c r="Q1250" s="18" t="str">
        <f>IF($K1250="","",IFERROR(VLOOKUP(--SUBSTITUTE(SUBSTITUTE(TRIM($K1250),"-","")," ",""),마스터시트!$A$2:$H$1946,6,FALSE),""))</f>
        <v/>
      </c>
      <c r="R1250" s="18" t="str">
        <f>IF($K1250="","",IFERROR(VLOOKUP(--SUBSTITUTE(SUBSTITUTE(TRIM($K1250),"-","")," ",""),마스터시트!$A$2:$H$1946,7,FALSE),""))</f>
        <v/>
      </c>
    </row>
    <row r="1251" spans="13:18" x14ac:dyDescent="0.3">
      <c r="M1251" s="18" t="str">
        <f>IF($K1251="","",IFERROR(VLOOKUP(--SUBSTITUTE(SUBSTITUTE(TRIM($K1251),"-","")," ",""),마스터시트!$A$2:$H$1946,2,FALSE),"미등록"))</f>
        <v/>
      </c>
      <c r="N1251" s="53" t="str">
        <f>IF($K1251="","",IFERROR(VLOOKUP(--SUBSTITUTE(SUBSTITUTE(TRIM($K1251),"-","")," ",""),마스터시트!$A$2:$H$1946,3,FALSE),"미등록"))</f>
        <v/>
      </c>
      <c r="O1251" s="18" t="str">
        <f>IF($K1251="","",IFERROR(VLOOKUP(--SUBSTITUTE(SUBSTITUTE(TRIM($K1251),"-","")," ",""),마스터시트!$A$2:$H$1946,4,FALSE),""))</f>
        <v/>
      </c>
      <c r="P1251" s="18" t="str">
        <f>IF($K1251="","",IFERROR(VLOOKUP(--SUBSTITUTE(SUBSTITUTE(TRIM($K1251),"-","")," ",""),마스터시트!$A$2:$H$1946,5,FALSE),""))</f>
        <v/>
      </c>
      <c r="Q1251" s="18" t="str">
        <f>IF($K1251="","",IFERROR(VLOOKUP(--SUBSTITUTE(SUBSTITUTE(TRIM($K1251),"-","")," ",""),마스터시트!$A$2:$H$1946,6,FALSE),""))</f>
        <v/>
      </c>
      <c r="R1251" s="18" t="str">
        <f>IF($K1251="","",IFERROR(VLOOKUP(--SUBSTITUTE(SUBSTITUTE(TRIM($K1251),"-","")," ",""),마스터시트!$A$2:$H$1946,7,FALSE),""))</f>
        <v/>
      </c>
    </row>
    <row r="1252" spans="13:18" x14ac:dyDescent="0.3">
      <c r="M1252" s="18" t="str">
        <f>IF($K1252="","",IFERROR(VLOOKUP(--SUBSTITUTE(SUBSTITUTE(TRIM($K1252),"-","")," ",""),마스터시트!$A$2:$H$1946,2,FALSE),"미등록"))</f>
        <v/>
      </c>
      <c r="N1252" s="53" t="str">
        <f>IF($K1252="","",IFERROR(VLOOKUP(--SUBSTITUTE(SUBSTITUTE(TRIM($K1252),"-","")," ",""),마스터시트!$A$2:$H$1946,3,FALSE),"미등록"))</f>
        <v/>
      </c>
      <c r="O1252" s="18" t="str">
        <f>IF($K1252="","",IFERROR(VLOOKUP(--SUBSTITUTE(SUBSTITUTE(TRIM($K1252),"-","")," ",""),마스터시트!$A$2:$H$1946,4,FALSE),""))</f>
        <v/>
      </c>
      <c r="P1252" s="18" t="str">
        <f>IF($K1252="","",IFERROR(VLOOKUP(--SUBSTITUTE(SUBSTITUTE(TRIM($K1252),"-","")," ",""),마스터시트!$A$2:$H$1946,5,FALSE),""))</f>
        <v/>
      </c>
      <c r="Q1252" s="18" t="str">
        <f>IF($K1252="","",IFERROR(VLOOKUP(--SUBSTITUTE(SUBSTITUTE(TRIM($K1252),"-","")," ",""),마스터시트!$A$2:$H$1946,6,FALSE),""))</f>
        <v/>
      </c>
      <c r="R1252" s="18" t="str">
        <f>IF($K1252="","",IFERROR(VLOOKUP(--SUBSTITUTE(SUBSTITUTE(TRIM($K1252),"-","")," ",""),마스터시트!$A$2:$H$1946,7,FALSE),""))</f>
        <v/>
      </c>
    </row>
    <row r="1253" spans="13:18" x14ac:dyDescent="0.3">
      <c r="M1253" s="18" t="str">
        <f>IF($K1253="","",IFERROR(VLOOKUP(--SUBSTITUTE(SUBSTITUTE(TRIM($K1253),"-","")," ",""),마스터시트!$A$2:$H$1946,2,FALSE),"미등록"))</f>
        <v/>
      </c>
      <c r="N1253" s="53" t="str">
        <f>IF($K1253="","",IFERROR(VLOOKUP(--SUBSTITUTE(SUBSTITUTE(TRIM($K1253),"-","")," ",""),마스터시트!$A$2:$H$1946,3,FALSE),"미등록"))</f>
        <v/>
      </c>
      <c r="O1253" s="18" t="str">
        <f>IF($K1253="","",IFERROR(VLOOKUP(--SUBSTITUTE(SUBSTITUTE(TRIM($K1253),"-","")," ",""),마스터시트!$A$2:$H$1946,4,FALSE),""))</f>
        <v/>
      </c>
      <c r="P1253" s="18" t="str">
        <f>IF($K1253="","",IFERROR(VLOOKUP(--SUBSTITUTE(SUBSTITUTE(TRIM($K1253),"-","")," ",""),마스터시트!$A$2:$H$1946,5,FALSE),""))</f>
        <v/>
      </c>
      <c r="Q1253" s="18" t="str">
        <f>IF($K1253="","",IFERROR(VLOOKUP(--SUBSTITUTE(SUBSTITUTE(TRIM($K1253),"-","")," ",""),마스터시트!$A$2:$H$1946,6,FALSE),""))</f>
        <v/>
      </c>
      <c r="R1253" s="18" t="str">
        <f>IF($K1253="","",IFERROR(VLOOKUP(--SUBSTITUTE(SUBSTITUTE(TRIM($K1253),"-","")," ",""),마스터시트!$A$2:$H$1946,7,FALSE),""))</f>
        <v/>
      </c>
    </row>
    <row r="1254" spans="13:18" x14ac:dyDescent="0.3">
      <c r="M1254" s="18" t="str">
        <f>IF($K1254="","",IFERROR(VLOOKUP(--SUBSTITUTE(SUBSTITUTE(TRIM($K1254),"-","")," ",""),마스터시트!$A$2:$H$1946,2,FALSE),"미등록"))</f>
        <v/>
      </c>
      <c r="N1254" s="53" t="str">
        <f>IF($K1254="","",IFERROR(VLOOKUP(--SUBSTITUTE(SUBSTITUTE(TRIM($K1254),"-","")," ",""),마스터시트!$A$2:$H$1946,3,FALSE),"미등록"))</f>
        <v/>
      </c>
      <c r="O1254" s="18" t="str">
        <f>IF($K1254="","",IFERROR(VLOOKUP(--SUBSTITUTE(SUBSTITUTE(TRIM($K1254),"-","")," ",""),마스터시트!$A$2:$H$1946,4,FALSE),""))</f>
        <v/>
      </c>
      <c r="P1254" s="18" t="str">
        <f>IF($K1254="","",IFERROR(VLOOKUP(--SUBSTITUTE(SUBSTITUTE(TRIM($K1254),"-","")," ",""),마스터시트!$A$2:$H$1946,5,FALSE),""))</f>
        <v/>
      </c>
      <c r="Q1254" s="18" t="str">
        <f>IF($K1254="","",IFERROR(VLOOKUP(--SUBSTITUTE(SUBSTITUTE(TRIM($K1254),"-","")," ",""),마스터시트!$A$2:$H$1946,6,FALSE),""))</f>
        <v/>
      </c>
      <c r="R1254" s="18" t="str">
        <f>IF($K1254="","",IFERROR(VLOOKUP(--SUBSTITUTE(SUBSTITUTE(TRIM($K1254),"-","")," ",""),마스터시트!$A$2:$H$1946,7,FALSE),""))</f>
        <v/>
      </c>
    </row>
    <row r="1255" spans="13:18" x14ac:dyDescent="0.3">
      <c r="M1255" s="18" t="str">
        <f>IF($K1255="","",IFERROR(VLOOKUP(--SUBSTITUTE(SUBSTITUTE(TRIM($K1255),"-","")," ",""),마스터시트!$A$2:$H$1946,2,FALSE),"미등록"))</f>
        <v/>
      </c>
      <c r="N1255" s="53" t="str">
        <f>IF($K1255="","",IFERROR(VLOOKUP(--SUBSTITUTE(SUBSTITUTE(TRIM($K1255),"-","")," ",""),마스터시트!$A$2:$H$1946,3,FALSE),"미등록"))</f>
        <v/>
      </c>
      <c r="O1255" s="18" t="str">
        <f>IF($K1255="","",IFERROR(VLOOKUP(--SUBSTITUTE(SUBSTITUTE(TRIM($K1255),"-","")," ",""),마스터시트!$A$2:$H$1946,4,FALSE),""))</f>
        <v/>
      </c>
      <c r="P1255" s="18" t="str">
        <f>IF($K1255="","",IFERROR(VLOOKUP(--SUBSTITUTE(SUBSTITUTE(TRIM($K1255),"-","")," ",""),마스터시트!$A$2:$H$1946,5,FALSE),""))</f>
        <v/>
      </c>
      <c r="Q1255" s="18" t="str">
        <f>IF($K1255="","",IFERROR(VLOOKUP(--SUBSTITUTE(SUBSTITUTE(TRIM($K1255),"-","")," ",""),마스터시트!$A$2:$H$1946,6,FALSE),""))</f>
        <v/>
      </c>
      <c r="R1255" s="18" t="str">
        <f>IF($K1255="","",IFERROR(VLOOKUP(--SUBSTITUTE(SUBSTITUTE(TRIM($K1255),"-","")," ",""),마스터시트!$A$2:$H$1946,7,FALSE),""))</f>
        <v/>
      </c>
    </row>
    <row r="1256" spans="13:18" x14ac:dyDescent="0.3">
      <c r="M1256" s="18" t="str">
        <f>IF($K1256="","",IFERROR(VLOOKUP(--SUBSTITUTE(SUBSTITUTE(TRIM($K1256),"-","")," ",""),마스터시트!$A$2:$H$1946,2,FALSE),"미등록"))</f>
        <v/>
      </c>
      <c r="N1256" s="53" t="str">
        <f>IF($K1256="","",IFERROR(VLOOKUP(--SUBSTITUTE(SUBSTITUTE(TRIM($K1256),"-","")," ",""),마스터시트!$A$2:$H$1946,3,FALSE),"미등록"))</f>
        <v/>
      </c>
      <c r="O1256" s="18" t="str">
        <f>IF($K1256="","",IFERROR(VLOOKUP(--SUBSTITUTE(SUBSTITUTE(TRIM($K1256),"-","")," ",""),마스터시트!$A$2:$H$1946,4,FALSE),""))</f>
        <v/>
      </c>
      <c r="P1256" s="18" t="str">
        <f>IF($K1256="","",IFERROR(VLOOKUP(--SUBSTITUTE(SUBSTITUTE(TRIM($K1256),"-","")," ",""),마스터시트!$A$2:$H$1946,5,FALSE),""))</f>
        <v/>
      </c>
      <c r="Q1256" s="18" t="str">
        <f>IF($K1256="","",IFERROR(VLOOKUP(--SUBSTITUTE(SUBSTITUTE(TRIM($K1256),"-","")," ",""),마스터시트!$A$2:$H$1946,6,FALSE),""))</f>
        <v/>
      </c>
      <c r="R1256" s="18" t="str">
        <f>IF($K1256="","",IFERROR(VLOOKUP(--SUBSTITUTE(SUBSTITUTE(TRIM($K1256),"-","")," ",""),마스터시트!$A$2:$H$1946,7,FALSE),""))</f>
        <v/>
      </c>
    </row>
    <row r="1257" spans="13:18" x14ac:dyDescent="0.3">
      <c r="M1257" s="18" t="str">
        <f>IF($K1257="","",IFERROR(VLOOKUP(--SUBSTITUTE(SUBSTITUTE(TRIM($K1257),"-","")," ",""),마스터시트!$A$2:$H$1946,2,FALSE),"미등록"))</f>
        <v/>
      </c>
      <c r="N1257" s="53" t="str">
        <f>IF($K1257="","",IFERROR(VLOOKUP(--SUBSTITUTE(SUBSTITUTE(TRIM($K1257),"-","")," ",""),마스터시트!$A$2:$H$1946,3,FALSE),"미등록"))</f>
        <v/>
      </c>
      <c r="O1257" s="18" t="str">
        <f>IF($K1257="","",IFERROR(VLOOKUP(--SUBSTITUTE(SUBSTITUTE(TRIM($K1257),"-","")," ",""),마스터시트!$A$2:$H$1946,4,FALSE),""))</f>
        <v/>
      </c>
      <c r="P1257" s="18" t="str">
        <f>IF($K1257="","",IFERROR(VLOOKUP(--SUBSTITUTE(SUBSTITUTE(TRIM($K1257),"-","")," ",""),마스터시트!$A$2:$H$1946,5,FALSE),""))</f>
        <v/>
      </c>
      <c r="Q1257" s="18" t="str">
        <f>IF($K1257="","",IFERROR(VLOOKUP(--SUBSTITUTE(SUBSTITUTE(TRIM($K1257),"-","")," ",""),마스터시트!$A$2:$H$1946,6,FALSE),""))</f>
        <v/>
      </c>
      <c r="R1257" s="18" t="str">
        <f>IF($K1257="","",IFERROR(VLOOKUP(--SUBSTITUTE(SUBSTITUTE(TRIM($K1257),"-","")," ",""),마스터시트!$A$2:$H$1946,7,FALSE),""))</f>
        <v/>
      </c>
    </row>
    <row r="1258" spans="13:18" x14ac:dyDescent="0.3">
      <c r="M1258" s="18" t="str">
        <f>IF($K1258="","",IFERROR(VLOOKUP(--SUBSTITUTE(SUBSTITUTE(TRIM($K1258),"-","")," ",""),마스터시트!$A$2:$H$1946,2,FALSE),"미등록"))</f>
        <v/>
      </c>
      <c r="N1258" s="53" t="str">
        <f>IF($K1258="","",IFERROR(VLOOKUP(--SUBSTITUTE(SUBSTITUTE(TRIM($K1258),"-","")," ",""),마스터시트!$A$2:$H$1946,3,FALSE),"미등록"))</f>
        <v/>
      </c>
      <c r="O1258" s="18" t="str">
        <f>IF($K1258="","",IFERROR(VLOOKUP(--SUBSTITUTE(SUBSTITUTE(TRIM($K1258),"-","")," ",""),마스터시트!$A$2:$H$1946,4,FALSE),""))</f>
        <v/>
      </c>
      <c r="P1258" s="18" t="str">
        <f>IF($K1258="","",IFERROR(VLOOKUP(--SUBSTITUTE(SUBSTITUTE(TRIM($K1258),"-","")," ",""),마스터시트!$A$2:$H$1946,5,FALSE),""))</f>
        <v/>
      </c>
      <c r="Q1258" s="18" t="str">
        <f>IF($K1258="","",IFERROR(VLOOKUP(--SUBSTITUTE(SUBSTITUTE(TRIM($K1258),"-","")," ",""),마스터시트!$A$2:$H$1946,6,FALSE),""))</f>
        <v/>
      </c>
      <c r="R1258" s="18" t="str">
        <f>IF($K1258="","",IFERROR(VLOOKUP(--SUBSTITUTE(SUBSTITUTE(TRIM($K1258),"-","")," ",""),마스터시트!$A$2:$H$1946,7,FALSE),""))</f>
        <v/>
      </c>
    </row>
    <row r="1259" spans="13:18" x14ac:dyDescent="0.3">
      <c r="M1259" s="18" t="str">
        <f>IF($K1259="","",IFERROR(VLOOKUP(--SUBSTITUTE(SUBSTITUTE(TRIM($K1259),"-","")," ",""),마스터시트!$A$2:$H$1946,2,FALSE),"미등록"))</f>
        <v/>
      </c>
      <c r="N1259" s="53" t="str">
        <f>IF($K1259="","",IFERROR(VLOOKUP(--SUBSTITUTE(SUBSTITUTE(TRIM($K1259),"-","")," ",""),마스터시트!$A$2:$H$1946,3,FALSE),"미등록"))</f>
        <v/>
      </c>
      <c r="O1259" s="18" t="str">
        <f>IF($K1259="","",IFERROR(VLOOKUP(--SUBSTITUTE(SUBSTITUTE(TRIM($K1259),"-","")," ",""),마스터시트!$A$2:$H$1946,4,FALSE),""))</f>
        <v/>
      </c>
      <c r="P1259" s="18" t="str">
        <f>IF($K1259="","",IFERROR(VLOOKUP(--SUBSTITUTE(SUBSTITUTE(TRIM($K1259),"-","")," ",""),마스터시트!$A$2:$H$1946,5,FALSE),""))</f>
        <v/>
      </c>
      <c r="Q1259" s="18" t="str">
        <f>IF($K1259="","",IFERROR(VLOOKUP(--SUBSTITUTE(SUBSTITUTE(TRIM($K1259),"-","")," ",""),마스터시트!$A$2:$H$1946,6,FALSE),""))</f>
        <v/>
      </c>
      <c r="R1259" s="18" t="str">
        <f>IF($K1259="","",IFERROR(VLOOKUP(--SUBSTITUTE(SUBSTITUTE(TRIM($K1259),"-","")," ",""),마스터시트!$A$2:$H$1946,7,FALSE),""))</f>
        <v/>
      </c>
    </row>
    <row r="1260" spans="13:18" x14ac:dyDescent="0.3">
      <c r="M1260" s="18" t="str">
        <f>IF($K1260="","",IFERROR(VLOOKUP(--SUBSTITUTE(SUBSTITUTE(TRIM($K1260),"-","")," ",""),마스터시트!$A$2:$H$1946,2,FALSE),"미등록"))</f>
        <v/>
      </c>
      <c r="N1260" s="53" t="str">
        <f>IF($K1260="","",IFERROR(VLOOKUP(--SUBSTITUTE(SUBSTITUTE(TRIM($K1260),"-","")," ",""),마스터시트!$A$2:$H$1946,3,FALSE),"미등록"))</f>
        <v/>
      </c>
      <c r="O1260" s="18" t="str">
        <f>IF($K1260="","",IFERROR(VLOOKUP(--SUBSTITUTE(SUBSTITUTE(TRIM($K1260),"-","")," ",""),마스터시트!$A$2:$H$1946,4,FALSE),""))</f>
        <v/>
      </c>
      <c r="P1260" s="18" t="str">
        <f>IF($K1260="","",IFERROR(VLOOKUP(--SUBSTITUTE(SUBSTITUTE(TRIM($K1260),"-","")," ",""),마스터시트!$A$2:$H$1946,5,FALSE),""))</f>
        <v/>
      </c>
      <c r="Q1260" s="18" t="str">
        <f>IF($K1260="","",IFERROR(VLOOKUP(--SUBSTITUTE(SUBSTITUTE(TRIM($K1260),"-","")," ",""),마스터시트!$A$2:$H$1946,6,FALSE),""))</f>
        <v/>
      </c>
      <c r="R1260" s="18" t="str">
        <f>IF($K1260="","",IFERROR(VLOOKUP(--SUBSTITUTE(SUBSTITUTE(TRIM($K1260),"-","")," ",""),마스터시트!$A$2:$H$1946,7,FALSE),""))</f>
        <v/>
      </c>
    </row>
    <row r="1261" spans="13:18" x14ac:dyDescent="0.3">
      <c r="M1261" s="18" t="str">
        <f>IF($K1261="","",IFERROR(VLOOKUP(--SUBSTITUTE(SUBSTITUTE(TRIM($K1261),"-","")," ",""),마스터시트!$A$2:$H$1946,2,FALSE),"미등록"))</f>
        <v/>
      </c>
      <c r="N1261" s="53" t="str">
        <f>IF($K1261="","",IFERROR(VLOOKUP(--SUBSTITUTE(SUBSTITUTE(TRIM($K1261),"-","")," ",""),마스터시트!$A$2:$H$1946,3,FALSE),"미등록"))</f>
        <v/>
      </c>
      <c r="O1261" s="18" t="str">
        <f>IF($K1261="","",IFERROR(VLOOKUP(--SUBSTITUTE(SUBSTITUTE(TRIM($K1261),"-","")," ",""),마스터시트!$A$2:$H$1946,4,FALSE),""))</f>
        <v/>
      </c>
      <c r="P1261" s="18" t="str">
        <f>IF($K1261="","",IFERROR(VLOOKUP(--SUBSTITUTE(SUBSTITUTE(TRIM($K1261),"-","")," ",""),마스터시트!$A$2:$H$1946,5,FALSE),""))</f>
        <v/>
      </c>
      <c r="Q1261" s="18" t="str">
        <f>IF($K1261="","",IFERROR(VLOOKUP(--SUBSTITUTE(SUBSTITUTE(TRIM($K1261),"-","")," ",""),마스터시트!$A$2:$H$1946,6,FALSE),""))</f>
        <v/>
      </c>
      <c r="R1261" s="18" t="str">
        <f>IF($K1261="","",IFERROR(VLOOKUP(--SUBSTITUTE(SUBSTITUTE(TRIM($K1261),"-","")," ",""),마스터시트!$A$2:$H$1946,7,FALSE),""))</f>
        <v/>
      </c>
    </row>
    <row r="1262" spans="13:18" x14ac:dyDescent="0.3">
      <c r="M1262" s="18" t="str">
        <f>IF($K1262="","",IFERROR(VLOOKUP(--SUBSTITUTE(SUBSTITUTE(TRIM($K1262),"-","")," ",""),마스터시트!$A$2:$H$1946,2,FALSE),"미등록"))</f>
        <v/>
      </c>
      <c r="N1262" s="53" t="str">
        <f>IF($K1262="","",IFERROR(VLOOKUP(--SUBSTITUTE(SUBSTITUTE(TRIM($K1262),"-","")," ",""),마스터시트!$A$2:$H$1946,3,FALSE),"미등록"))</f>
        <v/>
      </c>
      <c r="O1262" s="18" t="str">
        <f>IF($K1262="","",IFERROR(VLOOKUP(--SUBSTITUTE(SUBSTITUTE(TRIM($K1262),"-","")," ",""),마스터시트!$A$2:$H$1946,4,FALSE),""))</f>
        <v/>
      </c>
      <c r="P1262" s="18" t="str">
        <f>IF($K1262="","",IFERROR(VLOOKUP(--SUBSTITUTE(SUBSTITUTE(TRIM($K1262),"-","")," ",""),마스터시트!$A$2:$H$1946,5,FALSE),""))</f>
        <v/>
      </c>
      <c r="Q1262" s="18" t="str">
        <f>IF($K1262="","",IFERROR(VLOOKUP(--SUBSTITUTE(SUBSTITUTE(TRIM($K1262),"-","")," ",""),마스터시트!$A$2:$H$1946,6,FALSE),""))</f>
        <v/>
      </c>
      <c r="R1262" s="18" t="str">
        <f>IF($K1262="","",IFERROR(VLOOKUP(--SUBSTITUTE(SUBSTITUTE(TRIM($K1262),"-","")," ",""),마스터시트!$A$2:$H$1946,7,FALSE),""))</f>
        <v/>
      </c>
    </row>
    <row r="1263" spans="13:18" x14ac:dyDescent="0.3">
      <c r="M1263" s="18" t="str">
        <f>IF($K1263="","",IFERROR(VLOOKUP(--SUBSTITUTE(SUBSTITUTE(TRIM($K1263),"-","")," ",""),마스터시트!$A$2:$H$1946,2,FALSE),"미등록"))</f>
        <v/>
      </c>
      <c r="N1263" s="53" t="str">
        <f>IF($K1263="","",IFERROR(VLOOKUP(--SUBSTITUTE(SUBSTITUTE(TRIM($K1263),"-","")," ",""),마스터시트!$A$2:$H$1946,3,FALSE),"미등록"))</f>
        <v/>
      </c>
      <c r="O1263" s="18" t="str">
        <f>IF($K1263="","",IFERROR(VLOOKUP(--SUBSTITUTE(SUBSTITUTE(TRIM($K1263),"-","")," ",""),마스터시트!$A$2:$H$1946,4,FALSE),""))</f>
        <v/>
      </c>
      <c r="P1263" s="18" t="str">
        <f>IF($K1263="","",IFERROR(VLOOKUP(--SUBSTITUTE(SUBSTITUTE(TRIM($K1263),"-","")," ",""),마스터시트!$A$2:$H$1946,5,FALSE),""))</f>
        <v/>
      </c>
      <c r="Q1263" s="18" t="str">
        <f>IF($K1263="","",IFERROR(VLOOKUP(--SUBSTITUTE(SUBSTITUTE(TRIM($K1263),"-","")," ",""),마스터시트!$A$2:$H$1946,6,FALSE),""))</f>
        <v/>
      </c>
      <c r="R1263" s="18" t="str">
        <f>IF($K1263="","",IFERROR(VLOOKUP(--SUBSTITUTE(SUBSTITUTE(TRIM($K1263),"-","")," ",""),마스터시트!$A$2:$H$1946,7,FALSE),""))</f>
        <v/>
      </c>
    </row>
    <row r="1264" spans="13:18" x14ac:dyDescent="0.3">
      <c r="M1264" s="18" t="str">
        <f>IF($K1264="","",IFERROR(VLOOKUP(--SUBSTITUTE(SUBSTITUTE(TRIM($K1264),"-","")," ",""),마스터시트!$A$2:$H$1946,2,FALSE),"미등록"))</f>
        <v/>
      </c>
      <c r="N1264" s="53" t="str">
        <f>IF($K1264="","",IFERROR(VLOOKUP(--SUBSTITUTE(SUBSTITUTE(TRIM($K1264),"-","")," ",""),마스터시트!$A$2:$H$1946,3,FALSE),"미등록"))</f>
        <v/>
      </c>
      <c r="O1264" s="18" t="str">
        <f>IF($K1264="","",IFERROR(VLOOKUP(--SUBSTITUTE(SUBSTITUTE(TRIM($K1264),"-","")," ",""),마스터시트!$A$2:$H$1946,4,FALSE),""))</f>
        <v/>
      </c>
      <c r="P1264" s="18" t="str">
        <f>IF($K1264="","",IFERROR(VLOOKUP(--SUBSTITUTE(SUBSTITUTE(TRIM($K1264),"-","")," ",""),마스터시트!$A$2:$H$1946,5,FALSE),""))</f>
        <v/>
      </c>
      <c r="Q1264" s="18" t="str">
        <f>IF($K1264="","",IFERROR(VLOOKUP(--SUBSTITUTE(SUBSTITUTE(TRIM($K1264),"-","")," ",""),마스터시트!$A$2:$H$1946,6,FALSE),""))</f>
        <v/>
      </c>
      <c r="R1264" s="18" t="str">
        <f>IF($K1264="","",IFERROR(VLOOKUP(--SUBSTITUTE(SUBSTITUTE(TRIM($K1264),"-","")," ",""),마스터시트!$A$2:$H$1946,7,FALSE),""))</f>
        <v/>
      </c>
    </row>
    <row r="1265" spans="13:18" x14ac:dyDescent="0.3">
      <c r="M1265" s="18" t="str">
        <f>IF($K1265="","",IFERROR(VLOOKUP(--SUBSTITUTE(SUBSTITUTE(TRIM($K1265),"-","")," ",""),마스터시트!$A$2:$H$1946,2,FALSE),"미등록"))</f>
        <v/>
      </c>
      <c r="N1265" s="53" t="str">
        <f>IF($K1265="","",IFERROR(VLOOKUP(--SUBSTITUTE(SUBSTITUTE(TRIM($K1265),"-","")," ",""),마스터시트!$A$2:$H$1946,3,FALSE),"미등록"))</f>
        <v/>
      </c>
      <c r="O1265" s="18" t="str">
        <f>IF($K1265="","",IFERROR(VLOOKUP(--SUBSTITUTE(SUBSTITUTE(TRIM($K1265),"-","")," ",""),마스터시트!$A$2:$H$1946,4,FALSE),""))</f>
        <v/>
      </c>
      <c r="P1265" s="18" t="str">
        <f>IF($K1265="","",IFERROR(VLOOKUP(--SUBSTITUTE(SUBSTITUTE(TRIM($K1265),"-","")," ",""),마스터시트!$A$2:$H$1946,5,FALSE),""))</f>
        <v/>
      </c>
      <c r="Q1265" s="18" t="str">
        <f>IF($K1265="","",IFERROR(VLOOKUP(--SUBSTITUTE(SUBSTITUTE(TRIM($K1265),"-","")," ",""),마스터시트!$A$2:$H$1946,6,FALSE),""))</f>
        <v/>
      </c>
      <c r="R1265" s="18" t="str">
        <f>IF($K1265="","",IFERROR(VLOOKUP(--SUBSTITUTE(SUBSTITUTE(TRIM($K1265),"-","")," ",""),마스터시트!$A$2:$H$1946,7,FALSE),""))</f>
        <v/>
      </c>
    </row>
    <row r="1266" spans="13:18" x14ac:dyDescent="0.3">
      <c r="M1266" s="18" t="str">
        <f>IF($K1266="","",IFERROR(VLOOKUP(--SUBSTITUTE(SUBSTITUTE(TRIM($K1266),"-","")," ",""),마스터시트!$A$2:$H$1946,2,FALSE),"미등록"))</f>
        <v/>
      </c>
      <c r="N1266" s="53" t="str">
        <f>IF($K1266="","",IFERROR(VLOOKUP(--SUBSTITUTE(SUBSTITUTE(TRIM($K1266),"-","")," ",""),마스터시트!$A$2:$H$1946,3,FALSE),"미등록"))</f>
        <v/>
      </c>
      <c r="O1266" s="18" t="str">
        <f>IF($K1266="","",IFERROR(VLOOKUP(--SUBSTITUTE(SUBSTITUTE(TRIM($K1266),"-","")," ",""),마스터시트!$A$2:$H$1946,4,FALSE),""))</f>
        <v/>
      </c>
      <c r="P1266" s="18" t="str">
        <f>IF($K1266="","",IFERROR(VLOOKUP(--SUBSTITUTE(SUBSTITUTE(TRIM($K1266),"-","")," ",""),마스터시트!$A$2:$H$1946,5,FALSE),""))</f>
        <v/>
      </c>
      <c r="Q1266" s="18" t="str">
        <f>IF($K1266="","",IFERROR(VLOOKUP(--SUBSTITUTE(SUBSTITUTE(TRIM($K1266),"-","")," ",""),마스터시트!$A$2:$H$1946,6,FALSE),""))</f>
        <v/>
      </c>
      <c r="R1266" s="18" t="str">
        <f>IF($K1266="","",IFERROR(VLOOKUP(--SUBSTITUTE(SUBSTITUTE(TRIM($K1266),"-","")," ",""),마스터시트!$A$2:$H$1946,7,FALSE),""))</f>
        <v/>
      </c>
    </row>
    <row r="1267" spans="13:18" x14ac:dyDescent="0.3">
      <c r="M1267" s="18" t="str">
        <f>IF($K1267="","",IFERROR(VLOOKUP(--SUBSTITUTE(SUBSTITUTE(TRIM($K1267),"-","")," ",""),마스터시트!$A$2:$H$1946,2,FALSE),"미등록"))</f>
        <v/>
      </c>
      <c r="N1267" s="53" t="str">
        <f>IF($K1267="","",IFERROR(VLOOKUP(--SUBSTITUTE(SUBSTITUTE(TRIM($K1267),"-","")," ",""),마스터시트!$A$2:$H$1946,3,FALSE),"미등록"))</f>
        <v/>
      </c>
      <c r="O1267" s="18" t="str">
        <f>IF($K1267="","",IFERROR(VLOOKUP(--SUBSTITUTE(SUBSTITUTE(TRIM($K1267),"-","")," ",""),마스터시트!$A$2:$H$1946,4,FALSE),""))</f>
        <v/>
      </c>
      <c r="P1267" s="18" t="str">
        <f>IF($K1267="","",IFERROR(VLOOKUP(--SUBSTITUTE(SUBSTITUTE(TRIM($K1267),"-","")," ",""),마스터시트!$A$2:$H$1946,5,FALSE),""))</f>
        <v/>
      </c>
      <c r="Q1267" s="18" t="str">
        <f>IF($K1267="","",IFERROR(VLOOKUP(--SUBSTITUTE(SUBSTITUTE(TRIM($K1267),"-","")," ",""),마스터시트!$A$2:$H$1946,6,FALSE),""))</f>
        <v/>
      </c>
      <c r="R1267" s="18" t="str">
        <f>IF($K1267="","",IFERROR(VLOOKUP(--SUBSTITUTE(SUBSTITUTE(TRIM($K1267),"-","")," ",""),마스터시트!$A$2:$H$1946,7,FALSE),""))</f>
        <v/>
      </c>
    </row>
    <row r="1268" spans="13:18" x14ac:dyDescent="0.3">
      <c r="M1268" s="18" t="str">
        <f>IF($K1268="","",IFERROR(VLOOKUP(--SUBSTITUTE(SUBSTITUTE(TRIM($K1268),"-","")," ",""),마스터시트!$A$2:$H$1946,2,FALSE),"미등록"))</f>
        <v/>
      </c>
      <c r="N1268" s="53" t="str">
        <f>IF($K1268="","",IFERROR(VLOOKUP(--SUBSTITUTE(SUBSTITUTE(TRIM($K1268),"-","")," ",""),마스터시트!$A$2:$H$1946,3,FALSE),"미등록"))</f>
        <v/>
      </c>
      <c r="O1268" s="18" t="str">
        <f>IF($K1268="","",IFERROR(VLOOKUP(--SUBSTITUTE(SUBSTITUTE(TRIM($K1268),"-","")," ",""),마스터시트!$A$2:$H$1946,4,FALSE),""))</f>
        <v/>
      </c>
      <c r="P1268" s="18" t="str">
        <f>IF($K1268="","",IFERROR(VLOOKUP(--SUBSTITUTE(SUBSTITUTE(TRIM($K1268),"-","")," ",""),마스터시트!$A$2:$H$1946,5,FALSE),""))</f>
        <v/>
      </c>
      <c r="Q1268" s="18" t="str">
        <f>IF($K1268="","",IFERROR(VLOOKUP(--SUBSTITUTE(SUBSTITUTE(TRIM($K1268),"-","")," ",""),마스터시트!$A$2:$H$1946,6,FALSE),""))</f>
        <v/>
      </c>
      <c r="R1268" s="18" t="str">
        <f>IF($K1268="","",IFERROR(VLOOKUP(--SUBSTITUTE(SUBSTITUTE(TRIM($K1268),"-","")," ",""),마스터시트!$A$2:$H$1946,7,FALSE),""))</f>
        <v/>
      </c>
    </row>
    <row r="1269" spans="13:18" x14ac:dyDescent="0.3">
      <c r="M1269" s="18" t="str">
        <f>IF($K1269="","",IFERROR(VLOOKUP(--SUBSTITUTE(SUBSTITUTE(TRIM($K1269),"-","")," ",""),마스터시트!$A$2:$H$1946,2,FALSE),"미등록"))</f>
        <v/>
      </c>
      <c r="N1269" s="53" t="str">
        <f>IF($K1269="","",IFERROR(VLOOKUP(--SUBSTITUTE(SUBSTITUTE(TRIM($K1269),"-","")," ",""),마스터시트!$A$2:$H$1946,3,FALSE),"미등록"))</f>
        <v/>
      </c>
      <c r="O1269" s="18" t="str">
        <f>IF($K1269="","",IFERROR(VLOOKUP(--SUBSTITUTE(SUBSTITUTE(TRIM($K1269),"-","")," ",""),마스터시트!$A$2:$H$1946,4,FALSE),""))</f>
        <v/>
      </c>
      <c r="P1269" s="18" t="str">
        <f>IF($K1269="","",IFERROR(VLOOKUP(--SUBSTITUTE(SUBSTITUTE(TRIM($K1269),"-","")," ",""),마스터시트!$A$2:$H$1946,5,FALSE),""))</f>
        <v/>
      </c>
      <c r="Q1269" s="18" t="str">
        <f>IF($K1269="","",IFERROR(VLOOKUP(--SUBSTITUTE(SUBSTITUTE(TRIM($K1269),"-","")," ",""),마스터시트!$A$2:$H$1946,6,FALSE),""))</f>
        <v/>
      </c>
      <c r="R1269" s="18" t="str">
        <f>IF($K1269="","",IFERROR(VLOOKUP(--SUBSTITUTE(SUBSTITUTE(TRIM($K1269),"-","")," ",""),마스터시트!$A$2:$H$1946,7,FALSE),""))</f>
        <v/>
      </c>
    </row>
    <row r="1270" spans="13:18" x14ac:dyDescent="0.3">
      <c r="M1270" s="18" t="str">
        <f>IF($K1270="","",IFERROR(VLOOKUP(--SUBSTITUTE(SUBSTITUTE(TRIM($K1270),"-","")," ",""),마스터시트!$A$2:$H$1946,2,FALSE),"미등록"))</f>
        <v/>
      </c>
      <c r="N1270" s="53" t="str">
        <f>IF($K1270="","",IFERROR(VLOOKUP(--SUBSTITUTE(SUBSTITUTE(TRIM($K1270),"-","")," ",""),마스터시트!$A$2:$H$1946,3,FALSE),"미등록"))</f>
        <v/>
      </c>
      <c r="O1270" s="18" t="str">
        <f>IF($K1270="","",IFERROR(VLOOKUP(--SUBSTITUTE(SUBSTITUTE(TRIM($K1270),"-","")," ",""),마스터시트!$A$2:$H$1946,4,FALSE),""))</f>
        <v/>
      </c>
      <c r="P1270" s="18" t="str">
        <f>IF($K1270="","",IFERROR(VLOOKUP(--SUBSTITUTE(SUBSTITUTE(TRIM($K1270),"-","")," ",""),마스터시트!$A$2:$H$1946,5,FALSE),""))</f>
        <v/>
      </c>
      <c r="Q1270" s="18" t="str">
        <f>IF($K1270="","",IFERROR(VLOOKUP(--SUBSTITUTE(SUBSTITUTE(TRIM($K1270),"-","")," ",""),마스터시트!$A$2:$H$1946,6,FALSE),""))</f>
        <v/>
      </c>
      <c r="R1270" s="18" t="str">
        <f>IF($K1270="","",IFERROR(VLOOKUP(--SUBSTITUTE(SUBSTITUTE(TRIM($K1270),"-","")," ",""),마스터시트!$A$2:$H$1946,7,FALSE),""))</f>
        <v/>
      </c>
    </row>
    <row r="1271" spans="13:18" x14ac:dyDescent="0.3">
      <c r="M1271" s="18" t="str">
        <f>IF($K1271="","",IFERROR(VLOOKUP(--SUBSTITUTE(SUBSTITUTE(TRIM($K1271),"-","")," ",""),마스터시트!$A$2:$H$1946,2,FALSE),"미등록"))</f>
        <v/>
      </c>
      <c r="N1271" s="53" t="str">
        <f>IF($K1271="","",IFERROR(VLOOKUP(--SUBSTITUTE(SUBSTITUTE(TRIM($K1271),"-","")," ",""),마스터시트!$A$2:$H$1946,3,FALSE),"미등록"))</f>
        <v/>
      </c>
      <c r="O1271" s="18" t="str">
        <f>IF($K1271="","",IFERROR(VLOOKUP(--SUBSTITUTE(SUBSTITUTE(TRIM($K1271),"-","")," ",""),마스터시트!$A$2:$H$1946,4,FALSE),""))</f>
        <v/>
      </c>
      <c r="P1271" s="18" t="str">
        <f>IF($K1271="","",IFERROR(VLOOKUP(--SUBSTITUTE(SUBSTITUTE(TRIM($K1271),"-","")," ",""),마스터시트!$A$2:$H$1946,5,FALSE),""))</f>
        <v/>
      </c>
      <c r="Q1271" s="18" t="str">
        <f>IF($K1271="","",IFERROR(VLOOKUP(--SUBSTITUTE(SUBSTITUTE(TRIM($K1271),"-","")," ",""),마스터시트!$A$2:$H$1946,6,FALSE),""))</f>
        <v/>
      </c>
      <c r="R1271" s="18" t="str">
        <f>IF($K1271="","",IFERROR(VLOOKUP(--SUBSTITUTE(SUBSTITUTE(TRIM($K1271),"-","")," ",""),마스터시트!$A$2:$H$1946,7,FALSE),""))</f>
        <v/>
      </c>
    </row>
    <row r="1272" spans="13:18" x14ac:dyDescent="0.3">
      <c r="M1272" s="18" t="str">
        <f>IF($K1272="","",IFERROR(VLOOKUP(--SUBSTITUTE(SUBSTITUTE(TRIM($K1272),"-","")," ",""),마스터시트!$A$2:$H$1946,2,FALSE),"미등록"))</f>
        <v/>
      </c>
      <c r="N1272" s="53" t="str">
        <f>IF($K1272="","",IFERROR(VLOOKUP(--SUBSTITUTE(SUBSTITUTE(TRIM($K1272),"-","")," ",""),마스터시트!$A$2:$H$1946,3,FALSE),"미등록"))</f>
        <v/>
      </c>
      <c r="O1272" s="18" t="str">
        <f>IF($K1272="","",IFERROR(VLOOKUP(--SUBSTITUTE(SUBSTITUTE(TRIM($K1272),"-","")," ",""),마스터시트!$A$2:$H$1946,4,FALSE),""))</f>
        <v/>
      </c>
      <c r="P1272" s="18" t="str">
        <f>IF($K1272="","",IFERROR(VLOOKUP(--SUBSTITUTE(SUBSTITUTE(TRIM($K1272),"-","")," ",""),마스터시트!$A$2:$H$1946,5,FALSE),""))</f>
        <v/>
      </c>
      <c r="Q1272" s="18" t="str">
        <f>IF($K1272="","",IFERROR(VLOOKUP(--SUBSTITUTE(SUBSTITUTE(TRIM($K1272),"-","")," ",""),마스터시트!$A$2:$H$1946,6,FALSE),""))</f>
        <v/>
      </c>
      <c r="R1272" s="18" t="str">
        <f>IF($K1272="","",IFERROR(VLOOKUP(--SUBSTITUTE(SUBSTITUTE(TRIM($K1272),"-","")," ",""),마스터시트!$A$2:$H$1946,7,FALSE),""))</f>
        <v/>
      </c>
    </row>
    <row r="1273" spans="13:18" x14ac:dyDescent="0.3">
      <c r="M1273" s="18" t="str">
        <f>IF($K1273="","",IFERROR(VLOOKUP(--SUBSTITUTE(SUBSTITUTE(TRIM($K1273),"-","")," ",""),마스터시트!$A$2:$H$1946,2,FALSE),"미등록"))</f>
        <v/>
      </c>
      <c r="N1273" s="53" t="str">
        <f>IF($K1273="","",IFERROR(VLOOKUP(--SUBSTITUTE(SUBSTITUTE(TRIM($K1273),"-","")," ",""),마스터시트!$A$2:$H$1946,3,FALSE),"미등록"))</f>
        <v/>
      </c>
      <c r="O1273" s="18" t="str">
        <f>IF($K1273="","",IFERROR(VLOOKUP(--SUBSTITUTE(SUBSTITUTE(TRIM($K1273),"-","")," ",""),마스터시트!$A$2:$H$1946,4,FALSE),""))</f>
        <v/>
      </c>
      <c r="P1273" s="18" t="str">
        <f>IF($K1273="","",IFERROR(VLOOKUP(--SUBSTITUTE(SUBSTITUTE(TRIM($K1273),"-","")," ",""),마스터시트!$A$2:$H$1946,5,FALSE),""))</f>
        <v/>
      </c>
      <c r="Q1273" s="18" t="str">
        <f>IF($K1273="","",IFERROR(VLOOKUP(--SUBSTITUTE(SUBSTITUTE(TRIM($K1273),"-","")," ",""),마스터시트!$A$2:$H$1946,6,FALSE),""))</f>
        <v/>
      </c>
      <c r="R1273" s="18" t="str">
        <f>IF($K1273="","",IFERROR(VLOOKUP(--SUBSTITUTE(SUBSTITUTE(TRIM($K1273),"-","")," ",""),마스터시트!$A$2:$H$1946,7,FALSE),""))</f>
        <v/>
      </c>
    </row>
    <row r="1274" spans="13:18" x14ac:dyDescent="0.3">
      <c r="M1274" s="18" t="str">
        <f>IF($K1274="","",IFERROR(VLOOKUP(--SUBSTITUTE(SUBSTITUTE(TRIM($K1274),"-","")," ",""),마스터시트!$A$2:$H$1946,2,FALSE),"미등록"))</f>
        <v/>
      </c>
      <c r="N1274" s="53" t="str">
        <f>IF($K1274="","",IFERROR(VLOOKUP(--SUBSTITUTE(SUBSTITUTE(TRIM($K1274),"-","")," ",""),마스터시트!$A$2:$H$1946,3,FALSE),"미등록"))</f>
        <v/>
      </c>
      <c r="O1274" s="18" t="str">
        <f>IF($K1274="","",IFERROR(VLOOKUP(--SUBSTITUTE(SUBSTITUTE(TRIM($K1274),"-","")," ",""),마스터시트!$A$2:$H$1946,4,FALSE),""))</f>
        <v/>
      </c>
      <c r="P1274" s="18" t="str">
        <f>IF($K1274="","",IFERROR(VLOOKUP(--SUBSTITUTE(SUBSTITUTE(TRIM($K1274),"-","")," ",""),마스터시트!$A$2:$H$1946,5,FALSE),""))</f>
        <v/>
      </c>
      <c r="Q1274" s="18" t="str">
        <f>IF($K1274="","",IFERROR(VLOOKUP(--SUBSTITUTE(SUBSTITUTE(TRIM($K1274),"-","")," ",""),마스터시트!$A$2:$H$1946,6,FALSE),""))</f>
        <v/>
      </c>
      <c r="R1274" s="18" t="str">
        <f>IF($K1274="","",IFERROR(VLOOKUP(--SUBSTITUTE(SUBSTITUTE(TRIM($K1274),"-","")," ",""),마스터시트!$A$2:$H$1946,7,FALSE),""))</f>
        <v/>
      </c>
    </row>
    <row r="1275" spans="13:18" x14ac:dyDescent="0.3">
      <c r="M1275" s="18" t="str">
        <f>IF($K1275="","",IFERROR(VLOOKUP(--SUBSTITUTE(SUBSTITUTE(TRIM($K1275),"-","")," ",""),마스터시트!$A$2:$H$1946,2,FALSE),"미등록"))</f>
        <v/>
      </c>
      <c r="N1275" s="53" t="str">
        <f>IF($K1275="","",IFERROR(VLOOKUP(--SUBSTITUTE(SUBSTITUTE(TRIM($K1275),"-","")," ",""),마스터시트!$A$2:$H$1946,3,FALSE),"미등록"))</f>
        <v/>
      </c>
      <c r="O1275" s="18" t="str">
        <f>IF($K1275="","",IFERROR(VLOOKUP(--SUBSTITUTE(SUBSTITUTE(TRIM($K1275),"-","")," ",""),마스터시트!$A$2:$H$1946,4,FALSE),""))</f>
        <v/>
      </c>
      <c r="P1275" s="18" t="str">
        <f>IF($K1275="","",IFERROR(VLOOKUP(--SUBSTITUTE(SUBSTITUTE(TRIM($K1275),"-","")," ",""),마스터시트!$A$2:$H$1946,5,FALSE),""))</f>
        <v/>
      </c>
      <c r="Q1275" s="18" t="str">
        <f>IF($K1275="","",IFERROR(VLOOKUP(--SUBSTITUTE(SUBSTITUTE(TRIM($K1275),"-","")," ",""),마스터시트!$A$2:$H$1946,6,FALSE),""))</f>
        <v/>
      </c>
      <c r="R1275" s="18" t="str">
        <f>IF($K1275="","",IFERROR(VLOOKUP(--SUBSTITUTE(SUBSTITUTE(TRIM($K1275),"-","")," ",""),마스터시트!$A$2:$H$1946,7,FALSE),""))</f>
        <v/>
      </c>
    </row>
    <row r="1276" spans="13:18" x14ac:dyDescent="0.3">
      <c r="M1276" s="18" t="str">
        <f>IF($K1276="","",IFERROR(VLOOKUP(--SUBSTITUTE(SUBSTITUTE(TRIM($K1276),"-","")," ",""),마스터시트!$A$2:$H$1946,2,FALSE),"미등록"))</f>
        <v/>
      </c>
      <c r="N1276" s="53" t="str">
        <f>IF($K1276="","",IFERROR(VLOOKUP(--SUBSTITUTE(SUBSTITUTE(TRIM($K1276),"-","")," ",""),마스터시트!$A$2:$H$1946,3,FALSE),"미등록"))</f>
        <v/>
      </c>
      <c r="O1276" s="18" t="str">
        <f>IF($K1276="","",IFERROR(VLOOKUP(--SUBSTITUTE(SUBSTITUTE(TRIM($K1276),"-","")," ",""),마스터시트!$A$2:$H$1946,4,FALSE),""))</f>
        <v/>
      </c>
      <c r="P1276" s="18" t="str">
        <f>IF($K1276="","",IFERROR(VLOOKUP(--SUBSTITUTE(SUBSTITUTE(TRIM($K1276),"-","")," ",""),마스터시트!$A$2:$H$1946,5,FALSE),""))</f>
        <v/>
      </c>
      <c r="Q1276" s="18" t="str">
        <f>IF($K1276="","",IFERROR(VLOOKUP(--SUBSTITUTE(SUBSTITUTE(TRIM($K1276),"-","")," ",""),마스터시트!$A$2:$H$1946,6,FALSE),""))</f>
        <v/>
      </c>
      <c r="R1276" s="18" t="str">
        <f>IF($K1276="","",IFERROR(VLOOKUP(--SUBSTITUTE(SUBSTITUTE(TRIM($K1276),"-","")," ",""),마스터시트!$A$2:$H$1946,7,FALSE),""))</f>
        <v/>
      </c>
    </row>
    <row r="1277" spans="13:18" x14ac:dyDescent="0.3">
      <c r="M1277" s="18" t="str">
        <f>IF($K1277="","",IFERROR(VLOOKUP(--SUBSTITUTE(SUBSTITUTE(TRIM($K1277),"-","")," ",""),마스터시트!$A$2:$H$1946,2,FALSE),"미등록"))</f>
        <v/>
      </c>
      <c r="N1277" s="53" t="str">
        <f>IF($K1277="","",IFERROR(VLOOKUP(--SUBSTITUTE(SUBSTITUTE(TRIM($K1277),"-","")," ",""),마스터시트!$A$2:$H$1946,3,FALSE),"미등록"))</f>
        <v/>
      </c>
      <c r="O1277" s="18" t="str">
        <f>IF($K1277="","",IFERROR(VLOOKUP(--SUBSTITUTE(SUBSTITUTE(TRIM($K1277),"-","")," ",""),마스터시트!$A$2:$H$1946,4,FALSE),""))</f>
        <v/>
      </c>
      <c r="P1277" s="18" t="str">
        <f>IF($K1277="","",IFERROR(VLOOKUP(--SUBSTITUTE(SUBSTITUTE(TRIM($K1277),"-","")," ",""),마스터시트!$A$2:$H$1946,5,FALSE),""))</f>
        <v/>
      </c>
      <c r="Q1277" s="18" t="str">
        <f>IF($K1277="","",IFERROR(VLOOKUP(--SUBSTITUTE(SUBSTITUTE(TRIM($K1277),"-","")," ",""),마스터시트!$A$2:$H$1946,6,FALSE),""))</f>
        <v/>
      </c>
      <c r="R1277" s="18" t="str">
        <f>IF($K1277="","",IFERROR(VLOOKUP(--SUBSTITUTE(SUBSTITUTE(TRIM($K1277),"-","")," ",""),마스터시트!$A$2:$H$1946,7,FALSE),""))</f>
        <v/>
      </c>
    </row>
    <row r="1278" spans="13:18" x14ac:dyDescent="0.3">
      <c r="M1278" s="18" t="str">
        <f>IF($K1278="","",IFERROR(VLOOKUP(--SUBSTITUTE(SUBSTITUTE(TRIM($K1278),"-","")," ",""),마스터시트!$A$2:$H$1946,2,FALSE),"미등록"))</f>
        <v/>
      </c>
      <c r="N1278" s="53" t="str">
        <f>IF($K1278="","",IFERROR(VLOOKUP(--SUBSTITUTE(SUBSTITUTE(TRIM($K1278),"-","")," ",""),마스터시트!$A$2:$H$1946,3,FALSE),"미등록"))</f>
        <v/>
      </c>
      <c r="O1278" s="18" t="str">
        <f>IF($K1278="","",IFERROR(VLOOKUP(--SUBSTITUTE(SUBSTITUTE(TRIM($K1278),"-","")," ",""),마스터시트!$A$2:$H$1946,4,FALSE),""))</f>
        <v/>
      </c>
      <c r="P1278" s="18" t="str">
        <f>IF($K1278="","",IFERROR(VLOOKUP(--SUBSTITUTE(SUBSTITUTE(TRIM($K1278),"-","")," ",""),마스터시트!$A$2:$H$1946,5,FALSE),""))</f>
        <v/>
      </c>
      <c r="Q1278" s="18" t="str">
        <f>IF($K1278="","",IFERROR(VLOOKUP(--SUBSTITUTE(SUBSTITUTE(TRIM($K1278),"-","")," ",""),마스터시트!$A$2:$H$1946,6,FALSE),""))</f>
        <v/>
      </c>
      <c r="R1278" s="18" t="str">
        <f>IF($K1278="","",IFERROR(VLOOKUP(--SUBSTITUTE(SUBSTITUTE(TRIM($K1278),"-","")," ",""),마스터시트!$A$2:$H$1946,7,FALSE),""))</f>
        <v/>
      </c>
    </row>
    <row r="1279" spans="13:18" x14ac:dyDescent="0.3">
      <c r="M1279" s="18" t="str">
        <f>IF($K1279="","",IFERROR(VLOOKUP(--SUBSTITUTE(SUBSTITUTE(TRIM($K1279),"-","")," ",""),마스터시트!$A$2:$H$1946,2,FALSE),"미등록"))</f>
        <v/>
      </c>
      <c r="N1279" s="53" t="str">
        <f>IF($K1279="","",IFERROR(VLOOKUP(--SUBSTITUTE(SUBSTITUTE(TRIM($K1279),"-","")," ",""),마스터시트!$A$2:$H$1946,3,FALSE),"미등록"))</f>
        <v/>
      </c>
      <c r="O1279" s="18" t="str">
        <f>IF($K1279="","",IFERROR(VLOOKUP(--SUBSTITUTE(SUBSTITUTE(TRIM($K1279),"-","")," ",""),마스터시트!$A$2:$H$1946,4,FALSE),""))</f>
        <v/>
      </c>
      <c r="P1279" s="18" t="str">
        <f>IF($K1279="","",IFERROR(VLOOKUP(--SUBSTITUTE(SUBSTITUTE(TRIM($K1279),"-","")," ",""),마스터시트!$A$2:$H$1946,5,FALSE),""))</f>
        <v/>
      </c>
      <c r="Q1279" s="18" t="str">
        <f>IF($K1279="","",IFERROR(VLOOKUP(--SUBSTITUTE(SUBSTITUTE(TRIM($K1279),"-","")," ",""),마스터시트!$A$2:$H$1946,6,FALSE),""))</f>
        <v/>
      </c>
      <c r="R1279" s="18" t="str">
        <f>IF($K1279="","",IFERROR(VLOOKUP(--SUBSTITUTE(SUBSTITUTE(TRIM($K1279),"-","")," ",""),마스터시트!$A$2:$H$1946,7,FALSE),""))</f>
        <v/>
      </c>
    </row>
    <row r="1280" spans="13:18" x14ac:dyDescent="0.3">
      <c r="M1280" s="18" t="str">
        <f>IF($K1280="","",IFERROR(VLOOKUP(--SUBSTITUTE(SUBSTITUTE(TRIM($K1280),"-","")," ",""),마스터시트!$A$2:$H$1946,2,FALSE),"미등록"))</f>
        <v/>
      </c>
      <c r="N1280" s="53" t="str">
        <f>IF($K1280="","",IFERROR(VLOOKUP(--SUBSTITUTE(SUBSTITUTE(TRIM($K1280),"-","")," ",""),마스터시트!$A$2:$H$1946,3,FALSE),"미등록"))</f>
        <v/>
      </c>
      <c r="O1280" s="18" t="str">
        <f>IF($K1280="","",IFERROR(VLOOKUP(--SUBSTITUTE(SUBSTITUTE(TRIM($K1280),"-","")," ",""),마스터시트!$A$2:$H$1946,4,FALSE),""))</f>
        <v/>
      </c>
      <c r="P1280" s="18" t="str">
        <f>IF($K1280="","",IFERROR(VLOOKUP(--SUBSTITUTE(SUBSTITUTE(TRIM($K1280),"-","")," ",""),마스터시트!$A$2:$H$1946,5,FALSE),""))</f>
        <v/>
      </c>
      <c r="Q1280" s="18" t="str">
        <f>IF($K1280="","",IFERROR(VLOOKUP(--SUBSTITUTE(SUBSTITUTE(TRIM($K1280),"-","")," ",""),마스터시트!$A$2:$H$1946,6,FALSE),""))</f>
        <v/>
      </c>
      <c r="R1280" s="18" t="str">
        <f>IF($K1280="","",IFERROR(VLOOKUP(--SUBSTITUTE(SUBSTITUTE(TRIM($K1280),"-","")," ",""),마스터시트!$A$2:$H$1946,7,FALSE),""))</f>
        <v/>
      </c>
    </row>
    <row r="1281" spans="13:18" x14ac:dyDescent="0.3">
      <c r="M1281" s="18" t="str">
        <f>IF($K1281="","",IFERROR(VLOOKUP(--SUBSTITUTE(SUBSTITUTE(TRIM($K1281),"-","")," ",""),마스터시트!$A$2:$H$1946,2,FALSE),"미등록"))</f>
        <v/>
      </c>
      <c r="N1281" s="53" t="str">
        <f>IF($K1281="","",IFERROR(VLOOKUP(--SUBSTITUTE(SUBSTITUTE(TRIM($K1281),"-","")," ",""),마스터시트!$A$2:$H$1946,3,FALSE),"미등록"))</f>
        <v/>
      </c>
      <c r="O1281" s="18" t="str">
        <f>IF($K1281="","",IFERROR(VLOOKUP(--SUBSTITUTE(SUBSTITUTE(TRIM($K1281),"-","")," ",""),마스터시트!$A$2:$H$1946,4,FALSE),""))</f>
        <v/>
      </c>
      <c r="P1281" s="18" t="str">
        <f>IF($K1281="","",IFERROR(VLOOKUP(--SUBSTITUTE(SUBSTITUTE(TRIM($K1281),"-","")," ",""),마스터시트!$A$2:$H$1946,5,FALSE),""))</f>
        <v/>
      </c>
      <c r="Q1281" s="18" t="str">
        <f>IF($K1281="","",IFERROR(VLOOKUP(--SUBSTITUTE(SUBSTITUTE(TRIM($K1281),"-","")," ",""),마스터시트!$A$2:$H$1946,6,FALSE),""))</f>
        <v/>
      </c>
      <c r="R1281" s="18" t="str">
        <f>IF($K1281="","",IFERROR(VLOOKUP(--SUBSTITUTE(SUBSTITUTE(TRIM($K1281),"-","")," ",""),마스터시트!$A$2:$H$1946,7,FALSE),""))</f>
        <v/>
      </c>
    </row>
    <row r="1282" spans="13:18" x14ac:dyDescent="0.3">
      <c r="M1282" s="18" t="str">
        <f>IF($K1282="","",IFERROR(VLOOKUP(--SUBSTITUTE(SUBSTITUTE(TRIM($K1282),"-","")," ",""),마스터시트!$A$2:$H$1946,2,FALSE),"미등록"))</f>
        <v/>
      </c>
      <c r="N1282" s="53" t="str">
        <f>IF($K1282="","",IFERROR(VLOOKUP(--SUBSTITUTE(SUBSTITUTE(TRIM($K1282),"-","")," ",""),마스터시트!$A$2:$H$1946,3,FALSE),"미등록"))</f>
        <v/>
      </c>
      <c r="O1282" s="18" t="str">
        <f>IF($K1282="","",IFERROR(VLOOKUP(--SUBSTITUTE(SUBSTITUTE(TRIM($K1282),"-","")," ",""),마스터시트!$A$2:$H$1946,4,FALSE),""))</f>
        <v/>
      </c>
      <c r="P1282" s="18" t="str">
        <f>IF($K1282="","",IFERROR(VLOOKUP(--SUBSTITUTE(SUBSTITUTE(TRIM($K1282),"-","")," ",""),마스터시트!$A$2:$H$1946,5,FALSE),""))</f>
        <v/>
      </c>
      <c r="Q1282" s="18" t="str">
        <f>IF($K1282="","",IFERROR(VLOOKUP(--SUBSTITUTE(SUBSTITUTE(TRIM($K1282),"-","")," ",""),마스터시트!$A$2:$H$1946,6,FALSE),""))</f>
        <v/>
      </c>
      <c r="R1282" s="18" t="str">
        <f>IF($K1282="","",IFERROR(VLOOKUP(--SUBSTITUTE(SUBSTITUTE(TRIM($K1282),"-","")," ",""),마스터시트!$A$2:$H$1946,7,FALSE),""))</f>
        <v/>
      </c>
    </row>
    <row r="1283" spans="13:18" x14ac:dyDescent="0.3">
      <c r="M1283" s="18" t="str">
        <f>IF($K1283="","",IFERROR(VLOOKUP(--SUBSTITUTE(SUBSTITUTE(TRIM($K1283),"-","")," ",""),마스터시트!$A$2:$H$1946,2,FALSE),"미등록"))</f>
        <v/>
      </c>
      <c r="N1283" s="53" t="str">
        <f>IF($K1283="","",IFERROR(VLOOKUP(--SUBSTITUTE(SUBSTITUTE(TRIM($K1283),"-","")," ",""),마스터시트!$A$2:$H$1946,3,FALSE),"미등록"))</f>
        <v/>
      </c>
      <c r="O1283" s="18" t="str">
        <f>IF($K1283="","",IFERROR(VLOOKUP(--SUBSTITUTE(SUBSTITUTE(TRIM($K1283),"-","")," ",""),마스터시트!$A$2:$H$1946,4,FALSE),""))</f>
        <v/>
      </c>
      <c r="P1283" s="18" t="str">
        <f>IF($K1283="","",IFERROR(VLOOKUP(--SUBSTITUTE(SUBSTITUTE(TRIM($K1283),"-","")," ",""),마스터시트!$A$2:$H$1946,5,FALSE),""))</f>
        <v/>
      </c>
      <c r="Q1283" s="18" t="str">
        <f>IF($K1283="","",IFERROR(VLOOKUP(--SUBSTITUTE(SUBSTITUTE(TRIM($K1283),"-","")," ",""),마스터시트!$A$2:$H$1946,6,FALSE),""))</f>
        <v/>
      </c>
      <c r="R1283" s="18" t="str">
        <f>IF($K1283="","",IFERROR(VLOOKUP(--SUBSTITUTE(SUBSTITUTE(TRIM($K1283),"-","")," ",""),마스터시트!$A$2:$H$1946,7,FALSE),""))</f>
        <v/>
      </c>
    </row>
    <row r="1284" spans="13:18" x14ac:dyDescent="0.3">
      <c r="M1284" s="18" t="str">
        <f>IF($K1284="","",IFERROR(VLOOKUP(--SUBSTITUTE(SUBSTITUTE(TRIM($K1284),"-","")," ",""),마스터시트!$A$2:$H$1946,2,FALSE),"미등록"))</f>
        <v/>
      </c>
      <c r="N1284" s="53" t="str">
        <f>IF($K1284="","",IFERROR(VLOOKUP(--SUBSTITUTE(SUBSTITUTE(TRIM($K1284),"-","")," ",""),마스터시트!$A$2:$H$1946,3,FALSE),"미등록"))</f>
        <v/>
      </c>
      <c r="O1284" s="18" t="str">
        <f>IF($K1284="","",IFERROR(VLOOKUP(--SUBSTITUTE(SUBSTITUTE(TRIM($K1284),"-","")," ",""),마스터시트!$A$2:$H$1946,4,FALSE),""))</f>
        <v/>
      </c>
      <c r="P1284" s="18" t="str">
        <f>IF($K1284="","",IFERROR(VLOOKUP(--SUBSTITUTE(SUBSTITUTE(TRIM($K1284),"-","")," ",""),마스터시트!$A$2:$H$1946,5,FALSE),""))</f>
        <v/>
      </c>
      <c r="Q1284" s="18" t="str">
        <f>IF($K1284="","",IFERROR(VLOOKUP(--SUBSTITUTE(SUBSTITUTE(TRIM($K1284),"-","")," ",""),마스터시트!$A$2:$H$1946,6,FALSE),""))</f>
        <v/>
      </c>
      <c r="R1284" s="18" t="str">
        <f>IF($K1284="","",IFERROR(VLOOKUP(--SUBSTITUTE(SUBSTITUTE(TRIM($K1284),"-","")," ",""),마스터시트!$A$2:$H$1946,7,FALSE),""))</f>
        <v/>
      </c>
    </row>
    <row r="1285" spans="13:18" x14ac:dyDescent="0.3">
      <c r="M1285" s="18" t="str">
        <f>IF($K1285="","",IFERROR(VLOOKUP(--SUBSTITUTE(SUBSTITUTE(TRIM($K1285),"-","")," ",""),마스터시트!$A$2:$H$1946,2,FALSE),"미등록"))</f>
        <v/>
      </c>
      <c r="N1285" s="53" t="str">
        <f>IF($K1285="","",IFERROR(VLOOKUP(--SUBSTITUTE(SUBSTITUTE(TRIM($K1285),"-","")," ",""),마스터시트!$A$2:$H$1946,3,FALSE),"미등록"))</f>
        <v/>
      </c>
      <c r="O1285" s="18" t="str">
        <f>IF($K1285="","",IFERROR(VLOOKUP(--SUBSTITUTE(SUBSTITUTE(TRIM($K1285),"-","")," ",""),마스터시트!$A$2:$H$1946,4,FALSE),""))</f>
        <v/>
      </c>
      <c r="P1285" s="18" t="str">
        <f>IF($K1285="","",IFERROR(VLOOKUP(--SUBSTITUTE(SUBSTITUTE(TRIM($K1285),"-","")," ",""),마스터시트!$A$2:$H$1946,5,FALSE),""))</f>
        <v/>
      </c>
      <c r="Q1285" s="18" t="str">
        <f>IF($K1285="","",IFERROR(VLOOKUP(--SUBSTITUTE(SUBSTITUTE(TRIM($K1285),"-","")," ",""),마스터시트!$A$2:$H$1946,6,FALSE),""))</f>
        <v/>
      </c>
      <c r="R1285" s="18" t="str">
        <f>IF($K1285="","",IFERROR(VLOOKUP(--SUBSTITUTE(SUBSTITUTE(TRIM($K1285),"-","")," ",""),마스터시트!$A$2:$H$1946,7,FALSE),""))</f>
        <v/>
      </c>
    </row>
    <row r="1286" spans="13:18" x14ac:dyDescent="0.3">
      <c r="M1286" s="18" t="str">
        <f>IF($K1286="","",IFERROR(VLOOKUP(--SUBSTITUTE(SUBSTITUTE(TRIM($K1286),"-","")," ",""),마스터시트!$A$2:$H$1946,2,FALSE),"미등록"))</f>
        <v/>
      </c>
      <c r="N1286" s="53" t="str">
        <f>IF($K1286="","",IFERROR(VLOOKUP(--SUBSTITUTE(SUBSTITUTE(TRIM($K1286),"-","")," ",""),마스터시트!$A$2:$H$1946,3,FALSE),"미등록"))</f>
        <v/>
      </c>
      <c r="O1286" s="18" t="str">
        <f>IF($K1286="","",IFERROR(VLOOKUP(--SUBSTITUTE(SUBSTITUTE(TRIM($K1286),"-","")," ",""),마스터시트!$A$2:$H$1946,4,FALSE),""))</f>
        <v/>
      </c>
      <c r="P1286" s="18" t="str">
        <f>IF($K1286="","",IFERROR(VLOOKUP(--SUBSTITUTE(SUBSTITUTE(TRIM($K1286),"-","")," ",""),마스터시트!$A$2:$H$1946,5,FALSE),""))</f>
        <v/>
      </c>
      <c r="Q1286" s="18" t="str">
        <f>IF($K1286="","",IFERROR(VLOOKUP(--SUBSTITUTE(SUBSTITUTE(TRIM($K1286),"-","")," ",""),마스터시트!$A$2:$H$1946,6,FALSE),""))</f>
        <v/>
      </c>
      <c r="R1286" s="18" t="str">
        <f>IF($K1286="","",IFERROR(VLOOKUP(--SUBSTITUTE(SUBSTITUTE(TRIM($K1286),"-","")," ",""),마스터시트!$A$2:$H$1946,7,FALSE),""))</f>
        <v/>
      </c>
    </row>
    <row r="1287" spans="13:18" x14ac:dyDescent="0.3">
      <c r="M1287" s="18" t="str">
        <f>IF($K1287="","",IFERROR(VLOOKUP(--SUBSTITUTE(SUBSTITUTE(TRIM($K1287),"-","")," ",""),마스터시트!$A$2:$H$1946,2,FALSE),"미등록"))</f>
        <v/>
      </c>
      <c r="N1287" s="53" t="str">
        <f>IF($K1287="","",IFERROR(VLOOKUP(--SUBSTITUTE(SUBSTITUTE(TRIM($K1287),"-","")," ",""),마스터시트!$A$2:$H$1946,3,FALSE),"미등록"))</f>
        <v/>
      </c>
      <c r="O1287" s="18" t="str">
        <f>IF($K1287="","",IFERROR(VLOOKUP(--SUBSTITUTE(SUBSTITUTE(TRIM($K1287),"-","")," ",""),마스터시트!$A$2:$H$1946,4,FALSE),""))</f>
        <v/>
      </c>
      <c r="P1287" s="18" t="str">
        <f>IF($K1287="","",IFERROR(VLOOKUP(--SUBSTITUTE(SUBSTITUTE(TRIM($K1287),"-","")," ",""),마스터시트!$A$2:$H$1946,5,FALSE),""))</f>
        <v/>
      </c>
      <c r="Q1287" s="18" t="str">
        <f>IF($K1287="","",IFERROR(VLOOKUP(--SUBSTITUTE(SUBSTITUTE(TRIM($K1287),"-","")," ",""),마스터시트!$A$2:$H$1946,6,FALSE),""))</f>
        <v/>
      </c>
      <c r="R1287" s="18" t="str">
        <f>IF($K1287="","",IFERROR(VLOOKUP(--SUBSTITUTE(SUBSTITUTE(TRIM($K1287),"-","")," ",""),마스터시트!$A$2:$H$1946,7,FALSE),""))</f>
        <v/>
      </c>
    </row>
    <row r="1288" spans="13:18" x14ac:dyDescent="0.3">
      <c r="M1288" s="18" t="str">
        <f>IF($K1288="","",IFERROR(VLOOKUP(--SUBSTITUTE(SUBSTITUTE(TRIM($K1288),"-","")," ",""),마스터시트!$A$2:$H$1946,2,FALSE),"미등록"))</f>
        <v/>
      </c>
      <c r="N1288" s="53" t="str">
        <f>IF($K1288="","",IFERROR(VLOOKUP(--SUBSTITUTE(SUBSTITUTE(TRIM($K1288),"-","")," ",""),마스터시트!$A$2:$H$1946,3,FALSE),"미등록"))</f>
        <v/>
      </c>
      <c r="O1288" s="18" t="str">
        <f>IF($K1288="","",IFERROR(VLOOKUP(--SUBSTITUTE(SUBSTITUTE(TRIM($K1288),"-","")," ",""),마스터시트!$A$2:$H$1946,4,FALSE),""))</f>
        <v/>
      </c>
      <c r="P1288" s="18" t="str">
        <f>IF($K1288="","",IFERROR(VLOOKUP(--SUBSTITUTE(SUBSTITUTE(TRIM($K1288),"-","")," ",""),마스터시트!$A$2:$H$1946,5,FALSE),""))</f>
        <v/>
      </c>
      <c r="Q1288" s="18" t="str">
        <f>IF($K1288="","",IFERROR(VLOOKUP(--SUBSTITUTE(SUBSTITUTE(TRIM($K1288),"-","")," ",""),마스터시트!$A$2:$H$1946,6,FALSE),""))</f>
        <v/>
      </c>
      <c r="R1288" s="18" t="str">
        <f>IF($K1288="","",IFERROR(VLOOKUP(--SUBSTITUTE(SUBSTITUTE(TRIM($K1288),"-","")," ",""),마스터시트!$A$2:$H$1946,7,FALSE),""))</f>
        <v/>
      </c>
    </row>
    <row r="1289" spans="13:18" x14ac:dyDescent="0.3">
      <c r="M1289" s="18" t="str">
        <f>IF($K1289="","",IFERROR(VLOOKUP(--SUBSTITUTE(SUBSTITUTE(TRIM($K1289),"-","")," ",""),마스터시트!$A$2:$H$1946,2,FALSE),"미등록"))</f>
        <v/>
      </c>
      <c r="N1289" s="53" t="str">
        <f>IF($K1289="","",IFERROR(VLOOKUP(--SUBSTITUTE(SUBSTITUTE(TRIM($K1289),"-","")," ",""),마스터시트!$A$2:$H$1946,3,FALSE),"미등록"))</f>
        <v/>
      </c>
      <c r="O1289" s="18" t="str">
        <f>IF($K1289="","",IFERROR(VLOOKUP(--SUBSTITUTE(SUBSTITUTE(TRIM($K1289),"-","")," ",""),마스터시트!$A$2:$H$1946,4,FALSE),""))</f>
        <v/>
      </c>
      <c r="P1289" s="18" t="str">
        <f>IF($K1289="","",IFERROR(VLOOKUP(--SUBSTITUTE(SUBSTITUTE(TRIM($K1289),"-","")," ",""),마스터시트!$A$2:$H$1946,5,FALSE),""))</f>
        <v/>
      </c>
      <c r="Q1289" s="18" t="str">
        <f>IF($K1289="","",IFERROR(VLOOKUP(--SUBSTITUTE(SUBSTITUTE(TRIM($K1289),"-","")," ",""),마스터시트!$A$2:$H$1946,6,FALSE),""))</f>
        <v/>
      </c>
      <c r="R1289" s="18" t="str">
        <f>IF($K1289="","",IFERROR(VLOOKUP(--SUBSTITUTE(SUBSTITUTE(TRIM($K1289),"-","")," ",""),마스터시트!$A$2:$H$1946,7,FALSE),""))</f>
        <v/>
      </c>
    </row>
    <row r="1290" spans="13:18" x14ac:dyDescent="0.3">
      <c r="M1290" s="18" t="str">
        <f>IF($K1290="","",IFERROR(VLOOKUP(--SUBSTITUTE(SUBSTITUTE(TRIM($K1290),"-","")," ",""),마스터시트!$A$2:$H$1946,2,FALSE),"미등록"))</f>
        <v/>
      </c>
      <c r="N1290" s="53" t="str">
        <f>IF($K1290="","",IFERROR(VLOOKUP(--SUBSTITUTE(SUBSTITUTE(TRIM($K1290),"-","")," ",""),마스터시트!$A$2:$H$1946,3,FALSE),"미등록"))</f>
        <v/>
      </c>
      <c r="O1290" s="18" t="str">
        <f>IF($K1290="","",IFERROR(VLOOKUP(--SUBSTITUTE(SUBSTITUTE(TRIM($K1290),"-","")," ",""),마스터시트!$A$2:$H$1946,4,FALSE),""))</f>
        <v/>
      </c>
      <c r="P1290" s="18" t="str">
        <f>IF($K1290="","",IFERROR(VLOOKUP(--SUBSTITUTE(SUBSTITUTE(TRIM($K1290),"-","")," ",""),마스터시트!$A$2:$H$1946,5,FALSE),""))</f>
        <v/>
      </c>
      <c r="Q1290" s="18" t="str">
        <f>IF($K1290="","",IFERROR(VLOOKUP(--SUBSTITUTE(SUBSTITUTE(TRIM($K1290),"-","")," ",""),마스터시트!$A$2:$H$1946,6,FALSE),""))</f>
        <v/>
      </c>
      <c r="R1290" s="18" t="str">
        <f>IF($K1290="","",IFERROR(VLOOKUP(--SUBSTITUTE(SUBSTITUTE(TRIM($K1290),"-","")," ",""),마스터시트!$A$2:$H$1946,7,FALSE),""))</f>
        <v/>
      </c>
    </row>
    <row r="1291" spans="13:18" x14ac:dyDescent="0.3">
      <c r="M1291" s="18" t="str">
        <f>IF($K1291="","",IFERROR(VLOOKUP(--SUBSTITUTE(SUBSTITUTE(TRIM($K1291),"-","")," ",""),마스터시트!$A$2:$H$1946,2,FALSE),"미등록"))</f>
        <v/>
      </c>
      <c r="N1291" s="53" t="str">
        <f>IF($K1291="","",IFERROR(VLOOKUP(--SUBSTITUTE(SUBSTITUTE(TRIM($K1291),"-","")," ",""),마스터시트!$A$2:$H$1946,3,FALSE),"미등록"))</f>
        <v/>
      </c>
      <c r="O1291" s="18" t="str">
        <f>IF($K1291="","",IFERROR(VLOOKUP(--SUBSTITUTE(SUBSTITUTE(TRIM($K1291),"-","")," ",""),마스터시트!$A$2:$H$1946,4,FALSE),""))</f>
        <v/>
      </c>
      <c r="P1291" s="18" t="str">
        <f>IF($K1291="","",IFERROR(VLOOKUP(--SUBSTITUTE(SUBSTITUTE(TRIM($K1291),"-","")," ",""),마스터시트!$A$2:$H$1946,5,FALSE),""))</f>
        <v/>
      </c>
      <c r="Q1291" s="18" t="str">
        <f>IF($K1291="","",IFERROR(VLOOKUP(--SUBSTITUTE(SUBSTITUTE(TRIM($K1291),"-","")," ",""),마스터시트!$A$2:$H$1946,6,FALSE),""))</f>
        <v/>
      </c>
      <c r="R1291" s="18" t="str">
        <f>IF($K1291="","",IFERROR(VLOOKUP(--SUBSTITUTE(SUBSTITUTE(TRIM($K1291),"-","")," ",""),마스터시트!$A$2:$H$1946,7,FALSE),""))</f>
        <v/>
      </c>
    </row>
    <row r="1292" spans="13:18" x14ac:dyDescent="0.3">
      <c r="M1292" s="18" t="str">
        <f>IF($K1292="","",IFERROR(VLOOKUP(--SUBSTITUTE(SUBSTITUTE(TRIM($K1292),"-","")," ",""),마스터시트!$A$2:$H$1946,2,FALSE),"미등록"))</f>
        <v/>
      </c>
      <c r="N1292" s="53" t="str">
        <f>IF($K1292="","",IFERROR(VLOOKUP(--SUBSTITUTE(SUBSTITUTE(TRIM($K1292),"-","")," ",""),마스터시트!$A$2:$H$1946,3,FALSE),"미등록"))</f>
        <v/>
      </c>
      <c r="O1292" s="18" t="str">
        <f>IF($K1292="","",IFERROR(VLOOKUP(--SUBSTITUTE(SUBSTITUTE(TRIM($K1292),"-","")," ",""),마스터시트!$A$2:$H$1946,4,FALSE),""))</f>
        <v/>
      </c>
      <c r="P1292" s="18" t="str">
        <f>IF($K1292="","",IFERROR(VLOOKUP(--SUBSTITUTE(SUBSTITUTE(TRIM($K1292),"-","")," ",""),마스터시트!$A$2:$H$1946,5,FALSE),""))</f>
        <v/>
      </c>
      <c r="Q1292" s="18" t="str">
        <f>IF($K1292="","",IFERROR(VLOOKUP(--SUBSTITUTE(SUBSTITUTE(TRIM($K1292),"-","")," ",""),마스터시트!$A$2:$H$1946,6,FALSE),""))</f>
        <v/>
      </c>
      <c r="R1292" s="18" t="str">
        <f>IF($K1292="","",IFERROR(VLOOKUP(--SUBSTITUTE(SUBSTITUTE(TRIM($K1292),"-","")," ",""),마스터시트!$A$2:$H$1946,7,FALSE),""))</f>
        <v/>
      </c>
    </row>
    <row r="1293" spans="13:18" x14ac:dyDescent="0.3">
      <c r="M1293" s="18" t="str">
        <f>IF($K1293="","",IFERROR(VLOOKUP(--SUBSTITUTE(SUBSTITUTE(TRIM($K1293),"-","")," ",""),마스터시트!$A$2:$H$1946,2,FALSE),"미등록"))</f>
        <v/>
      </c>
      <c r="N1293" s="53" t="str">
        <f>IF($K1293="","",IFERROR(VLOOKUP(--SUBSTITUTE(SUBSTITUTE(TRIM($K1293),"-","")," ",""),마스터시트!$A$2:$H$1946,3,FALSE),"미등록"))</f>
        <v/>
      </c>
      <c r="O1293" s="18" t="str">
        <f>IF($K1293="","",IFERROR(VLOOKUP(--SUBSTITUTE(SUBSTITUTE(TRIM($K1293),"-","")," ",""),마스터시트!$A$2:$H$1946,4,FALSE),""))</f>
        <v/>
      </c>
      <c r="P1293" s="18" t="str">
        <f>IF($K1293="","",IFERROR(VLOOKUP(--SUBSTITUTE(SUBSTITUTE(TRIM($K1293),"-","")," ",""),마스터시트!$A$2:$H$1946,5,FALSE),""))</f>
        <v/>
      </c>
      <c r="Q1293" s="18" t="str">
        <f>IF($K1293="","",IFERROR(VLOOKUP(--SUBSTITUTE(SUBSTITUTE(TRIM($K1293),"-","")," ",""),마스터시트!$A$2:$H$1946,6,FALSE),""))</f>
        <v/>
      </c>
      <c r="R1293" s="18" t="str">
        <f>IF($K1293="","",IFERROR(VLOOKUP(--SUBSTITUTE(SUBSTITUTE(TRIM($K1293),"-","")," ",""),마스터시트!$A$2:$H$1946,7,FALSE),""))</f>
        <v/>
      </c>
    </row>
    <row r="1294" spans="13:18" x14ac:dyDescent="0.3">
      <c r="M1294" s="18" t="str">
        <f>IF($K1294="","",IFERROR(VLOOKUP(--SUBSTITUTE(SUBSTITUTE(TRIM($K1294),"-","")," ",""),마스터시트!$A$2:$H$1946,2,FALSE),"미등록"))</f>
        <v/>
      </c>
      <c r="N1294" s="53" t="str">
        <f>IF($K1294="","",IFERROR(VLOOKUP(--SUBSTITUTE(SUBSTITUTE(TRIM($K1294),"-","")," ",""),마스터시트!$A$2:$H$1946,3,FALSE),"미등록"))</f>
        <v/>
      </c>
      <c r="O1294" s="18" t="str">
        <f>IF($K1294="","",IFERROR(VLOOKUP(--SUBSTITUTE(SUBSTITUTE(TRIM($K1294),"-","")," ",""),마스터시트!$A$2:$H$1946,4,FALSE),""))</f>
        <v/>
      </c>
      <c r="P1294" s="18" t="str">
        <f>IF($K1294="","",IFERROR(VLOOKUP(--SUBSTITUTE(SUBSTITUTE(TRIM($K1294),"-","")," ",""),마스터시트!$A$2:$H$1946,5,FALSE),""))</f>
        <v/>
      </c>
      <c r="Q1294" s="18" t="str">
        <f>IF($K1294="","",IFERROR(VLOOKUP(--SUBSTITUTE(SUBSTITUTE(TRIM($K1294),"-","")," ",""),마스터시트!$A$2:$H$1946,6,FALSE),""))</f>
        <v/>
      </c>
      <c r="R1294" s="18" t="str">
        <f>IF($K1294="","",IFERROR(VLOOKUP(--SUBSTITUTE(SUBSTITUTE(TRIM($K1294),"-","")," ",""),마스터시트!$A$2:$H$1946,7,FALSE),""))</f>
        <v/>
      </c>
    </row>
    <row r="1295" spans="13:18" x14ac:dyDescent="0.3">
      <c r="M1295" s="18" t="str">
        <f>IF($K1295="","",IFERROR(VLOOKUP(--SUBSTITUTE(SUBSTITUTE(TRIM($K1295),"-","")," ",""),마스터시트!$A$2:$H$1946,2,FALSE),"미등록"))</f>
        <v/>
      </c>
      <c r="N1295" s="53" t="str">
        <f>IF($K1295="","",IFERROR(VLOOKUP(--SUBSTITUTE(SUBSTITUTE(TRIM($K1295),"-","")," ",""),마스터시트!$A$2:$H$1946,3,FALSE),"미등록"))</f>
        <v/>
      </c>
      <c r="O1295" s="18" t="str">
        <f>IF($K1295="","",IFERROR(VLOOKUP(--SUBSTITUTE(SUBSTITUTE(TRIM($K1295),"-","")," ",""),마스터시트!$A$2:$H$1946,4,FALSE),""))</f>
        <v/>
      </c>
      <c r="P1295" s="18" t="str">
        <f>IF($K1295="","",IFERROR(VLOOKUP(--SUBSTITUTE(SUBSTITUTE(TRIM($K1295),"-","")," ",""),마스터시트!$A$2:$H$1946,5,FALSE),""))</f>
        <v/>
      </c>
      <c r="Q1295" s="18" t="str">
        <f>IF($K1295="","",IFERROR(VLOOKUP(--SUBSTITUTE(SUBSTITUTE(TRIM($K1295),"-","")," ",""),마스터시트!$A$2:$H$1946,6,FALSE),""))</f>
        <v/>
      </c>
      <c r="R1295" s="18" t="str">
        <f>IF($K1295="","",IFERROR(VLOOKUP(--SUBSTITUTE(SUBSTITUTE(TRIM($K1295),"-","")," ",""),마스터시트!$A$2:$H$1946,7,FALSE),""))</f>
        <v/>
      </c>
    </row>
    <row r="1296" spans="13:18" x14ac:dyDescent="0.3">
      <c r="M1296" s="18" t="str">
        <f>IF($K1296="","",IFERROR(VLOOKUP(--SUBSTITUTE(SUBSTITUTE(TRIM($K1296),"-","")," ",""),마스터시트!$A$2:$H$1946,2,FALSE),"미등록"))</f>
        <v/>
      </c>
      <c r="N1296" s="53" t="str">
        <f>IF($K1296="","",IFERROR(VLOOKUP(--SUBSTITUTE(SUBSTITUTE(TRIM($K1296),"-","")," ",""),마스터시트!$A$2:$H$1946,3,FALSE),"미등록"))</f>
        <v/>
      </c>
      <c r="O1296" s="18" t="str">
        <f>IF($K1296="","",IFERROR(VLOOKUP(--SUBSTITUTE(SUBSTITUTE(TRIM($K1296),"-","")," ",""),마스터시트!$A$2:$H$1946,4,FALSE),""))</f>
        <v/>
      </c>
      <c r="P1296" s="18" t="str">
        <f>IF($K1296="","",IFERROR(VLOOKUP(--SUBSTITUTE(SUBSTITUTE(TRIM($K1296),"-","")," ",""),마스터시트!$A$2:$H$1946,5,FALSE),""))</f>
        <v/>
      </c>
      <c r="Q1296" s="18" t="str">
        <f>IF($K1296="","",IFERROR(VLOOKUP(--SUBSTITUTE(SUBSTITUTE(TRIM($K1296),"-","")," ",""),마스터시트!$A$2:$H$1946,6,FALSE),""))</f>
        <v/>
      </c>
      <c r="R1296" s="18" t="str">
        <f>IF($K1296="","",IFERROR(VLOOKUP(--SUBSTITUTE(SUBSTITUTE(TRIM($K1296),"-","")," ",""),마스터시트!$A$2:$H$1946,7,FALSE),""))</f>
        <v/>
      </c>
    </row>
    <row r="1297" spans="13:18" x14ac:dyDescent="0.3">
      <c r="M1297" s="18" t="str">
        <f>IF($K1297="","",IFERROR(VLOOKUP(--SUBSTITUTE(SUBSTITUTE(TRIM($K1297),"-","")," ",""),마스터시트!$A$2:$H$1946,2,FALSE),"미등록"))</f>
        <v/>
      </c>
      <c r="N1297" s="53" t="str">
        <f>IF($K1297="","",IFERROR(VLOOKUP(--SUBSTITUTE(SUBSTITUTE(TRIM($K1297),"-","")," ",""),마스터시트!$A$2:$H$1946,3,FALSE),"미등록"))</f>
        <v/>
      </c>
      <c r="O1297" s="18" t="str">
        <f>IF($K1297="","",IFERROR(VLOOKUP(--SUBSTITUTE(SUBSTITUTE(TRIM($K1297),"-","")," ",""),마스터시트!$A$2:$H$1946,4,FALSE),""))</f>
        <v/>
      </c>
      <c r="P1297" s="18" t="str">
        <f>IF($K1297="","",IFERROR(VLOOKUP(--SUBSTITUTE(SUBSTITUTE(TRIM($K1297),"-","")," ",""),마스터시트!$A$2:$H$1946,5,FALSE),""))</f>
        <v/>
      </c>
      <c r="Q1297" s="18" t="str">
        <f>IF($K1297="","",IFERROR(VLOOKUP(--SUBSTITUTE(SUBSTITUTE(TRIM($K1297),"-","")," ",""),마스터시트!$A$2:$H$1946,6,FALSE),""))</f>
        <v/>
      </c>
      <c r="R1297" s="18" t="str">
        <f>IF($K1297="","",IFERROR(VLOOKUP(--SUBSTITUTE(SUBSTITUTE(TRIM($K1297),"-","")," ",""),마스터시트!$A$2:$H$1946,7,FALSE),""))</f>
        <v/>
      </c>
    </row>
    <row r="1298" spans="13:18" x14ac:dyDescent="0.3">
      <c r="M1298" s="18" t="str">
        <f>IF($K1298="","",IFERROR(VLOOKUP(--SUBSTITUTE(SUBSTITUTE(TRIM($K1298),"-","")," ",""),마스터시트!$A$2:$H$1946,2,FALSE),"미등록"))</f>
        <v/>
      </c>
      <c r="N1298" s="53" t="str">
        <f>IF($K1298="","",IFERROR(VLOOKUP(--SUBSTITUTE(SUBSTITUTE(TRIM($K1298),"-","")," ",""),마스터시트!$A$2:$H$1946,3,FALSE),"미등록"))</f>
        <v/>
      </c>
      <c r="O1298" s="18" t="str">
        <f>IF($K1298="","",IFERROR(VLOOKUP(--SUBSTITUTE(SUBSTITUTE(TRIM($K1298),"-","")," ",""),마스터시트!$A$2:$H$1946,4,FALSE),""))</f>
        <v/>
      </c>
      <c r="P1298" s="18" t="str">
        <f>IF($K1298="","",IFERROR(VLOOKUP(--SUBSTITUTE(SUBSTITUTE(TRIM($K1298),"-","")," ",""),마스터시트!$A$2:$H$1946,5,FALSE),""))</f>
        <v/>
      </c>
      <c r="Q1298" s="18" t="str">
        <f>IF($K1298="","",IFERROR(VLOOKUP(--SUBSTITUTE(SUBSTITUTE(TRIM($K1298),"-","")," ",""),마스터시트!$A$2:$H$1946,6,FALSE),""))</f>
        <v/>
      </c>
      <c r="R1298" s="18" t="str">
        <f>IF($K1298="","",IFERROR(VLOOKUP(--SUBSTITUTE(SUBSTITUTE(TRIM($K1298),"-","")," ",""),마스터시트!$A$2:$H$1946,7,FALSE),""))</f>
        <v/>
      </c>
    </row>
    <row r="1299" spans="13:18" x14ac:dyDescent="0.3">
      <c r="M1299" s="18" t="str">
        <f>IF($K1299="","",IFERROR(VLOOKUP(--SUBSTITUTE(SUBSTITUTE(TRIM($K1299),"-","")," ",""),마스터시트!$A$2:$H$1946,2,FALSE),"미등록"))</f>
        <v/>
      </c>
      <c r="N1299" s="53" t="str">
        <f>IF($K1299="","",IFERROR(VLOOKUP(--SUBSTITUTE(SUBSTITUTE(TRIM($K1299),"-","")," ",""),마스터시트!$A$2:$H$1946,3,FALSE),"미등록"))</f>
        <v/>
      </c>
      <c r="O1299" s="18" t="str">
        <f>IF($K1299="","",IFERROR(VLOOKUP(--SUBSTITUTE(SUBSTITUTE(TRIM($K1299),"-","")," ",""),마스터시트!$A$2:$H$1946,4,FALSE),""))</f>
        <v/>
      </c>
      <c r="P1299" s="18" t="str">
        <f>IF($K1299="","",IFERROR(VLOOKUP(--SUBSTITUTE(SUBSTITUTE(TRIM($K1299),"-","")," ",""),마스터시트!$A$2:$H$1946,5,FALSE),""))</f>
        <v/>
      </c>
      <c r="Q1299" s="18" t="str">
        <f>IF($K1299="","",IFERROR(VLOOKUP(--SUBSTITUTE(SUBSTITUTE(TRIM($K1299),"-","")," ",""),마스터시트!$A$2:$H$1946,6,FALSE),""))</f>
        <v/>
      </c>
      <c r="R1299" s="18" t="str">
        <f>IF($K1299="","",IFERROR(VLOOKUP(--SUBSTITUTE(SUBSTITUTE(TRIM($K1299),"-","")," ",""),마스터시트!$A$2:$H$1946,7,FALSE),""))</f>
        <v/>
      </c>
    </row>
    <row r="1300" spans="13:18" x14ac:dyDescent="0.3">
      <c r="M1300" s="18" t="str">
        <f>IF($K1300="","",IFERROR(VLOOKUP(--SUBSTITUTE(SUBSTITUTE(TRIM($K1300),"-","")," ",""),마스터시트!$A$2:$H$1946,2,FALSE),"미등록"))</f>
        <v/>
      </c>
      <c r="N1300" s="53" t="str">
        <f>IF($K1300="","",IFERROR(VLOOKUP(--SUBSTITUTE(SUBSTITUTE(TRIM($K1300),"-","")," ",""),마스터시트!$A$2:$H$1946,3,FALSE),"미등록"))</f>
        <v/>
      </c>
      <c r="O1300" s="18" t="str">
        <f>IF($K1300="","",IFERROR(VLOOKUP(--SUBSTITUTE(SUBSTITUTE(TRIM($K1300),"-","")," ",""),마스터시트!$A$2:$H$1946,4,FALSE),""))</f>
        <v/>
      </c>
      <c r="P1300" s="18" t="str">
        <f>IF($K1300="","",IFERROR(VLOOKUP(--SUBSTITUTE(SUBSTITUTE(TRIM($K1300),"-","")," ",""),마스터시트!$A$2:$H$1946,5,FALSE),""))</f>
        <v/>
      </c>
      <c r="Q1300" s="18" t="str">
        <f>IF($K1300="","",IFERROR(VLOOKUP(--SUBSTITUTE(SUBSTITUTE(TRIM($K1300),"-","")," ",""),마스터시트!$A$2:$H$1946,6,FALSE),""))</f>
        <v/>
      </c>
      <c r="R1300" s="18" t="str">
        <f>IF($K1300="","",IFERROR(VLOOKUP(--SUBSTITUTE(SUBSTITUTE(TRIM($K1300),"-","")," ",""),마스터시트!$A$2:$H$1946,7,FALSE),""))</f>
        <v/>
      </c>
    </row>
    <row r="1301" spans="13:18" x14ac:dyDescent="0.3">
      <c r="M1301" s="18" t="str">
        <f>IF($K1301="","",IFERROR(VLOOKUP(--SUBSTITUTE(SUBSTITUTE(TRIM($K1301),"-","")," ",""),마스터시트!$A$2:$H$1946,2,FALSE),"미등록"))</f>
        <v/>
      </c>
      <c r="N1301" s="53" t="str">
        <f>IF($K1301="","",IFERROR(VLOOKUP(--SUBSTITUTE(SUBSTITUTE(TRIM($K1301),"-","")," ",""),마스터시트!$A$2:$H$1946,3,FALSE),"미등록"))</f>
        <v/>
      </c>
      <c r="O1301" s="18" t="str">
        <f>IF($K1301="","",IFERROR(VLOOKUP(--SUBSTITUTE(SUBSTITUTE(TRIM($K1301),"-","")," ",""),마스터시트!$A$2:$H$1946,4,FALSE),""))</f>
        <v/>
      </c>
      <c r="P1301" s="18" t="str">
        <f>IF($K1301="","",IFERROR(VLOOKUP(--SUBSTITUTE(SUBSTITUTE(TRIM($K1301),"-","")," ",""),마스터시트!$A$2:$H$1946,5,FALSE),""))</f>
        <v/>
      </c>
      <c r="Q1301" s="18" t="str">
        <f>IF($K1301="","",IFERROR(VLOOKUP(--SUBSTITUTE(SUBSTITUTE(TRIM($K1301),"-","")," ",""),마스터시트!$A$2:$H$1946,6,FALSE),""))</f>
        <v/>
      </c>
      <c r="R1301" s="18" t="str">
        <f>IF($K1301="","",IFERROR(VLOOKUP(--SUBSTITUTE(SUBSTITUTE(TRIM($K1301),"-","")," ",""),마스터시트!$A$2:$H$1946,7,FALSE),""))</f>
        <v/>
      </c>
    </row>
    <row r="1302" spans="13:18" x14ac:dyDescent="0.3">
      <c r="M1302" s="18" t="str">
        <f>IF($K1302="","",IFERROR(VLOOKUP(--SUBSTITUTE(SUBSTITUTE(TRIM($K1302),"-","")," ",""),마스터시트!$A$2:$H$1946,2,FALSE),"미등록"))</f>
        <v/>
      </c>
      <c r="N1302" s="53" t="str">
        <f>IF($K1302="","",IFERROR(VLOOKUP(--SUBSTITUTE(SUBSTITUTE(TRIM($K1302),"-","")," ",""),마스터시트!$A$2:$H$1946,3,FALSE),"미등록"))</f>
        <v/>
      </c>
      <c r="O1302" s="18" t="str">
        <f>IF($K1302="","",IFERROR(VLOOKUP(--SUBSTITUTE(SUBSTITUTE(TRIM($K1302),"-","")," ",""),마스터시트!$A$2:$H$1946,4,FALSE),""))</f>
        <v/>
      </c>
      <c r="P1302" s="18" t="str">
        <f>IF($K1302="","",IFERROR(VLOOKUP(--SUBSTITUTE(SUBSTITUTE(TRIM($K1302),"-","")," ",""),마스터시트!$A$2:$H$1946,5,FALSE),""))</f>
        <v/>
      </c>
      <c r="Q1302" s="18" t="str">
        <f>IF($K1302="","",IFERROR(VLOOKUP(--SUBSTITUTE(SUBSTITUTE(TRIM($K1302),"-","")," ",""),마스터시트!$A$2:$H$1946,6,FALSE),""))</f>
        <v/>
      </c>
      <c r="R1302" s="18" t="str">
        <f>IF($K1302="","",IFERROR(VLOOKUP(--SUBSTITUTE(SUBSTITUTE(TRIM($K1302),"-","")," ",""),마스터시트!$A$2:$H$1946,7,FALSE),""))</f>
        <v/>
      </c>
    </row>
    <row r="1303" spans="13:18" x14ac:dyDescent="0.3">
      <c r="M1303" s="18" t="str">
        <f>IF($K1303="","",IFERROR(VLOOKUP(--SUBSTITUTE(SUBSTITUTE(TRIM($K1303),"-","")," ",""),마스터시트!$A$2:$H$1946,2,FALSE),"미등록"))</f>
        <v/>
      </c>
      <c r="N1303" s="53" t="str">
        <f>IF($K1303="","",IFERROR(VLOOKUP(--SUBSTITUTE(SUBSTITUTE(TRIM($K1303),"-","")," ",""),마스터시트!$A$2:$H$1946,3,FALSE),"미등록"))</f>
        <v/>
      </c>
      <c r="O1303" s="18" t="str">
        <f>IF($K1303="","",IFERROR(VLOOKUP(--SUBSTITUTE(SUBSTITUTE(TRIM($K1303),"-","")," ",""),마스터시트!$A$2:$H$1946,4,FALSE),""))</f>
        <v/>
      </c>
      <c r="P1303" s="18" t="str">
        <f>IF($K1303="","",IFERROR(VLOOKUP(--SUBSTITUTE(SUBSTITUTE(TRIM($K1303),"-","")," ",""),마스터시트!$A$2:$H$1946,5,FALSE),""))</f>
        <v/>
      </c>
      <c r="Q1303" s="18" t="str">
        <f>IF($K1303="","",IFERROR(VLOOKUP(--SUBSTITUTE(SUBSTITUTE(TRIM($K1303),"-","")," ",""),마스터시트!$A$2:$H$1946,6,FALSE),""))</f>
        <v/>
      </c>
      <c r="R1303" s="18" t="str">
        <f>IF($K1303="","",IFERROR(VLOOKUP(--SUBSTITUTE(SUBSTITUTE(TRIM($K1303),"-","")," ",""),마스터시트!$A$2:$H$1946,7,FALSE),""))</f>
        <v/>
      </c>
    </row>
    <row r="1304" spans="13:18" x14ac:dyDescent="0.3">
      <c r="M1304" s="18" t="str">
        <f>IF($K1304="","",IFERROR(VLOOKUP(--SUBSTITUTE(SUBSTITUTE(TRIM($K1304),"-","")," ",""),마스터시트!$A$2:$H$1946,2,FALSE),"미등록"))</f>
        <v/>
      </c>
      <c r="N1304" s="53" t="str">
        <f>IF($K1304="","",IFERROR(VLOOKUP(--SUBSTITUTE(SUBSTITUTE(TRIM($K1304),"-","")," ",""),마스터시트!$A$2:$H$1946,3,FALSE),"미등록"))</f>
        <v/>
      </c>
      <c r="O1304" s="18" t="str">
        <f>IF($K1304="","",IFERROR(VLOOKUP(--SUBSTITUTE(SUBSTITUTE(TRIM($K1304),"-","")," ",""),마스터시트!$A$2:$H$1946,4,FALSE),""))</f>
        <v/>
      </c>
      <c r="P1304" s="18" t="str">
        <f>IF($K1304="","",IFERROR(VLOOKUP(--SUBSTITUTE(SUBSTITUTE(TRIM($K1304),"-","")," ",""),마스터시트!$A$2:$H$1946,5,FALSE),""))</f>
        <v/>
      </c>
      <c r="Q1304" s="18" t="str">
        <f>IF($K1304="","",IFERROR(VLOOKUP(--SUBSTITUTE(SUBSTITUTE(TRIM($K1304),"-","")," ",""),마스터시트!$A$2:$H$1946,6,FALSE),""))</f>
        <v/>
      </c>
      <c r="R1304" s="18" t="str">
        <f>IF($K1304="","",IFERROR(VLOOKUP(--SUBSTITUTE(SUBSTITUTE(TRIM($K1304),"-","")," ",""),마스터시트!$A$2:$H$1946,7,FALSE),""))</f>
        <v/>
      </c>
    </row>
    <row r="1305" spans="13:18" x14ac:dyDescent="0.3">
      <c r="M1305" s="18" t="str">
        <f>IF($K1305="","",IFERROR(VLOOKUP(--SUBSTITUTE(SUBSTITUTE(TRIM($K1305),"-","")," ",""),마스터시트!$A$2:$H$1946,2,FALSE),"미등록"))</f>
        <v/>
      </c>
      <c r="N1305" s="53" t="str">
        <f>IF($K1305="","",IFERROR(VLOOKUP(--SUBSTITUTE(SUBSTITUTE(TRIM($K1305),"-","")," ",""),마스터시트!$A$2:$H$1946,3,FALSE),"미등록"))</f>
        <v/>
      </c>
      <c r="O1305" s="18" t="str">
        <f>IF($K1305="","",IFERROR(VLOOKUP(--SUBSTITUTE(SUBSTITUTE(TRIM($K1305),"-","")," ",""),마스터시트!$A$2:$H$1946,4,FALSE),""))</f>
        <v/>
      </c>
      <c r="P1305" s="18" t="str">
        <f>IF($K1305="","",IFERROR(VLOOKUP(--SUBSTITUTE(SUBSTITUTE(TRIM($K1305),"-","")," ",""),마스터시트!$A$2:$H$1946,5,FALSE),""))</f>
        <v/>
      </c>
      <c r="Q1305" s="18" t="str">
        <f>IF($K1305="","",IFERROR(VLOOKUP(--SUBSTITUTE(SUBSTITUTE(TRIM($K1305),"-","")," ",""),마스터시트!$A$2:$H$1946,6,FALSE),""))</f>
        <v/>
      </c>
      <c r="R1305" s="18" t="str">
        <f>IF($K1305="","",IFERROR(VLOOKUP(--SUBSTITUTE(SUBSTITUTE(TRIM($K1305),"-","")," ",""),마스터시트!$A$2:$H$1946,7,FALSE),""))</f>
        <v/>
      </c>
    </row>
    <row r="1306" spans="13:18" x14ac:dyDescent="0.3">
      <c r="M1306" s="18" t="str">
        <f>IF($K1306="","",IFERROR(VLOOKUP(--SUBSTITUTE(SUBSTITUTE(TRIM($K1306),"-","")," ",""),마스터시트!$A$2:$H$1946,2,FALSE),"미등록"))</f>
        <v/>
      </c>
      <c r="N1306" s="53" t="str">
        <f>IF($K1306="","",IFERROR(VLOOKUP(--SUBSTITUTE(SUBSTITUTE(TRIM($K1306),"-","")," ",""),마스터시트!$A$2:$H$1946,3,FALSE),"미등록"))</f>
        <v/>
      </c>
      <c r="O1306" s="18" t="str">
        <f>IF($K1306="","",IFERROR(VLOOKUP(--SUBSTITUTE(SUBSTITUTE(TRIM($K1306),"-","")," ",""),마스터시트!$A$2:$H$1946,4,FALSE),""))</f>
        <v/>
      </c>
      <c r="P1306" s="18" t="str">
        <f>IF($K1306="","",IFERROR(VLOOKUP(--SUBSTITUTE(SUBSTITUTE(TRIM($K1306),"-","")," ",""),마스터시트!$A$2:$H$1946,5,FALSE),""))</f>
        <v/>
      </c>
      <c r="Q1306" s="18" t="str">
        <f>IF($K1306="","",IFERROR(VLOOKUP(--SUBSTITUTE(SUBSTITUTE(TRIM($K1306),"-","")," ",""),마스터시트!$A$2:$H$1946,6,FALSE),""))</f>
        <v/>
      </c>
      <c r="R1306" s="18" t="str">
        <f>IF($K1306="","",IFERROR(VLOOKUP(--SUBSTITUTE(SUBSTITUTE(TRIM($K1306),"-","")," ",""),마스터시트!$A$2:$H$1946,7,FALSE),""))</f>
        <v/>
      </c>
    </row>
    <row r="1307" spans="13:18" x14ac:dyDescent="0.3">
      <c r="M1307" s="18" t="str">
        <f>IF($K1307="","",IFERROR(VLOOKUP(--SUBSTITUTE(SUBSTITUTE(TRIM($K1307),"-","")," ",""),마스터시트!$A$2:$H$1946,2,FALSE),"미등록"))</f>
        <v/>
      </c>
      <c r="N1307" s="53" t="str">
        <f>IF($K1307="","",IFERROR(VLOOKUP(--SUBSTITUTE(SUBSTITUTE(TRIM($K1307),"-","")," ",""),마스터시트!$A$2:$H$1946,3,FALSE),"미등록"))</f>
        <v/>
      </c>
      <c r="O1307" s="18" t="str">
        <f>IF($K1307="","",IFERROR(VLOOKUP(--SUBSTITUTE(SUBSTITUTE(TRIM($K1307),"-","")," ",""),마스터시트!$A$2:$H$1946,4,FALSE),""))</f>
        <v/>
      </c>
      <c r="P1307" s="18" t="str">
        <f>IF($K1307="","",IFERROR(VLOOKUP(--SUBSTITUTE(SUBSTITUTE(TRIM($K1307),"-","")," ",""),마스터시트!$A$2:$H$1946,5,FALSE),""))</f>
        <v/>
      </c>
      <c r="Q1307" s="18" t="str">
        <f>IF($K1307="","",IFERROR(VLOOKUP(--SUBSTITUTE(SUBSTITUTE(TRIM($K1307),"-","")," ",""),마스터시트!$A$2:$H$1946,6,FALSE),""))</f>
        <v/>
      </c>
      <c r="R1307" s="18" t="str">
        <f>IF($K1307="","",IFERROR(VLOOKUP(--SUBSTITUTE(SUBSTITUTE(TRIM($K1307),"-","")," ",""),마스터시트!$A$2:$H$1946,7,FALSE),""))</f>
        <v/>
      </c>
    </row>
    <row r="1308" spans="13:18" x14ac:dyDescent="0.3">
      <c r="M1308" s="18" t="str">
        <f>IF($K1308="","",IFERROR(VLOOKUP(--SUBSTITUTE(SUBSTITUTE(TRIM($K1308),"-","")," ",""),마스터시트!$A$2:$H$1946,2,FALSE),"미등록"))</f>
        <v/>
      </c>
      <c r="N1308" s="53" t="str">
        <f>IF($K1308="","",IFERROR(VLOOKUP(--SUBSTITUTE(SUBSTITUTE(TRIM($K1308),"-","")," ",""),마스터시트!$A$2:$H$1946,3,FALSE),"미등록"))</f>
        <v/>
      </c>
      <c r="O1308" s="18" t="str">
        <f>IF($K1308="","",IFERROR(VLOOKUP(--SUBSTITUTE(SUBSTITUTE(TRIM($K1308),"-","")," ",""),마스터시트!$A$2:$H$1946,4,FALSE),""))</f>
        <v/>
      </c>
      <c r="P1308" s="18" t="str">
        <f>IF($K1308="","",IFERROR(VLOOKUP(--SUBSTITUTE(SUBSTITUTE(TRIM($K1308),"-","")," ",""),마스터시트!$A$2:$H$1946,5,FALSE),""))</f>
        <v/>
      </c>
      <c r="Q1308" s="18" t="str">
        <f>IF($K1308="","",IFERROR(VLOOKUP(--SUBSTITUTE(SUBSTITUTE(TRIM($K1308),"-","")," ",""),마스터시트!$A$2:$H$1946,6,FALSE),""))</f>
        <v/>
      </c>
      <c r="R1308" s="18" t="str">
        <f>IF($K1308="","",IFERROR(VLOOKUP(--SUBSTITUTE(SUBSTITUTE(TRIM($K1308),"-","")," ",""),마스터시트!$A$2:$H$1946,7,FALSE),""))</f>
        <v/>
      </c>
    </row>
    <row r="1309" spans="13:18" x14ac:dyDescent="0.3">
      <c r="M1309" s="18" t="str">
        <f>IF($K1309="","",IFERROR(VLOOKUP(--SUBSTITUTE(SUBSTITUTE(TRIM($K1309),"-","")," ",""),마스터시트!$A$2:$H$1946,2,FALSE),"미등록"))</f>
        <v/>
      </c>
      <c r="N1309" s="53" t="str">
        <f>IF($K1309="","",IFERROR(VLOOKUP(--SUBSTITUTE(SUBSTITUTE(TRIM($K1309),"-","")," ",""),마스터시트!$A$2:$H$1946,3,FALSE),"미등록"))</f>
        <v/>
      </c>
      <c r="O1309" s="18" t="str">
        <f>IF($K1309="","",IFERROR(VLOOKUP(--SUBSTITUTE(SUBSTITUTE(TRIM($K1309),"-","")," ",""),마스터시트!$A$2:$H$1946,4,FALSE),""))</f>
        <v/>
      </c>
      <c r="P1309" s="18" t="str">
        <f>IF($K1309="","",IFERROR(VLOOKUP(--SUBSTITUTE(SUBSTITUTE(TRIM($K1309),"-","")," ",""),마스터시트!$A$2:$H$1946,5,FALSE),""))</f>
        <v/>
      </c>
      <c r="Q1309" s="18" t="str">
        <f>IF($K1309="","",IFERROR(VLOOKUP(--SUBSTITUTE(SUBSTITUTE(TRIM($K1309),"-","")," ",""),마스터시트!$A$2:$H$1946,6,FALSE),""))</f>
        <v/>
      </c>
      <c r="R1309" s="18" t="str">
        <f>IF($K1309="","",IFERROR(VLOOKUP(--SUBSTITUTE(SUBSTITUTE(TRIM($K1309),"-","")," ",""),마스터시트!$A$2:$H$1946,7,FALSE),""))</f>
        <v/>
      </c>
    </row>
    <row r="1310" spans="13:18" x14ac:dyDescent="0.3">
      <c r="M1310" s="18" t="str">
        <f>IF($K1310="","",IFERROR(VLOOKUP(--SUBSTITUTE(SUBSTITUTE(TRIM($K1310),"-","")," ",""),마스터시트!$A$2:$H$1946,2,FALSE),"미등록"))</f>
        <v/>
      </c>
      <c r="N1310" s="53" t="str">
        <f>IF($K1310="","",IFERROR(VLOOKUP(--SUBSTITUTE(SUBSTITUTE(TRIM($K1310),"-","")," ",""),마스터시트!$A$2:$H$1946,3,FALSE),"미등록"))</f>
        <v/>
      </c>
      <c r="O1310" s="18" t="str">
        <f>IF($K1310="","",IFERROR(VLOOKUP(--SUBSTITUTE(SUBSTITUTE(TRIM($K1310),"-","")," ",""),마스터시트!$A$2:$H$1946,4,FALSE),""))</f>
        <v/>
      </c>
      <c r="P1310" s="18" t="str">
        <f>IF($K1310="","",IFERROR(VLOOKUP(--SUBSTITUTE(SUBSTITUTE(TRIM($K1310),"-","")," ",""),마스터시트!$A$2:$H$1946,5,FALSE),""))</f>
        <v/>
      </c>
      <c r="Q1310" s="18" t="str">
        <f>IF($K1310="","",IFERROR(VLOOKUP(--SUBSTITUTE(SUBSTITUTE(TRIM($K1310),"-","")," ",""),마스터시트!$A$2:$H$1946,6,FALSE),""))</f>
        <v/>
      </c>
      <c r="R1310" s="18" t="str">
        <f>IF($K1310="","",IFERROR(VLOOKUP(--SUBSTITUTE(SUBSTITUTE(TRIM($K1310),"-","")," ",""),마스터시트!$A$2:$H$1946,7,FALSE),""))</f>
        <v/>
      </c>
    </row>
    <row r="1311" spans="13:18" x14ac:dyDescent="0.3">
      <c r="M1311" s="18" t="str">
        <f>IF($K1311="","",IFERROR(VLOOKUP(--SUBSTITUTE(SUBSTITUTE(TRIM($K1311),"-","")," ",""),마스터시트!$A$2:$H$1946,2,FALSE),"미등록"))</f>
        <v/>
      </c>
      <c r="N1311" s="53" t="str">
        <f>IF($K1311="","",IFERROR(VLOOKUP(--SUBSTITUTE(SUBSTITUTE(TRIM($K1311),"-","")," ",""),마스터시트!$A$2:$H$1946,3,FALSE),"미등록"))</f>
        <v/>
      </c>
      <c r="O1311" s="18" t="str">
        <f>IF($K1311="","",IFERROR(VLOOKUP(--SUBSTITUTE(SUBSTITUTE(TRIM($K1311),"-","")," ",""),마스터시트!$A$2:$H$1946,4,FALSE),""))</f>
        <v/>
      </c>
      <c r="P1311" s="18" t="str">
        <f>IF($K1311="","",IFERROR(VLOOKUP(--SUBSTITUTE(SUBSTITUTE(TRIM($K1311),"-","")," ",""),마스터시트!$A$2:$H$1946,5,FALSE),""))</f>
        <v/>
      </c>
      <c r="Q1311" s="18" t="str">
        <f>IF($K1311="","",IFERROR(VLOOKUP(--SUBSTITUTE(SUBSTITUTE(TRIM($K1311),"-","")," ",""),마스터시트!$A$2:$H$1946,6,FALSE),""))</f>
        <v/>
      </c>
      <c r="R1311" s="18" t="str">
        <f>IF($K1311="","",IFERROR(VLOOKUP(--SUBSTITUTE(SUBSTITUTE(TRIM($K1311),"-","")," ",""),마스터시트!$A$2:$H$1946,7,FALSE),""))</f>
        <v/>
      </c>
    </row>
    <row r="1312" spans="13:18" x14ac:dyDescent="0.3">
      <c r="M1312" s="18" t="str">
        <f>IF($K1312="","",IFERROR(VLOOKUP(--SUBSTITUTE(SUBSTITUTE(TRIM($K1312),"-","")," ",""),마스터시트!$A$2:$H$1946,2,FALSE),"미등록"))</f>
        <v/>
      </c>
      <c r="N1312" s="53" t="str">
        <f>IF($K1312="","",IFERROR(VLOOKUP(--SUBSTITUTE(SUBSTITUTE(TRIM($K1312),"-","")," ",""),마스터시트!$A$2:$H$1946,3,FALSE),"미등록"))</f>
        <v/>
      </c>
      <c r="O1312" s="18" t="str">
        <f>IF($K1312="","",IFERROR(VLOOKUP(--SUBSTITUTE(SUBSTITUTE(TRIM($K1312),"-","")," ",""),마스터시트!$A$2:$H$1946,4,FALSE),""))</f>
        <v/>
      </c>
      <c r="P1312" s="18" t="str">
        <f>IF($K1312="","",IFERROR(VLOOKUP(--SUBSTITUTE(SUBSTITUTE(TRIM($K1312),"-","")," ",""),마스터시트!$A$2:$H$1946,5,FALSE),""))</f>
        <v/>
      </c>
      <c r="Q1312" s="18" t="str">
        <f>IF($K1312="","",IFERROR(VLOOKUP(--SUBSTITUTE(SUBSTITUTE(TRIM($K1312),"-","")," ",""),마스터시트!$A$2:$H$1946,6,FALSE),""))</f>
        <v/>
      </c>
      <c r="R1312" s="18" t="str">
        <f>IF($K1312="","",IFERROR(VLOOKUP(--SUBSTITUTE(SUBSTITUTE(TRIM($K1312),"-","")," ",""),마스터시트!$A$2:$H$1946,7,FALSE),""))</f>
        <v/>
      </c>
    </row>
    <row r="1313" spans="13:18" x14ac:dyDescent="0.3">
      <c r="M1313" s="18" t="str">
        <f>IF($K1313="","",IFERROR(VLOOKUP(--SUBSTITUTE(SUBSTITUTE(TRIM($K1313),"-","")," ",""),마스터시트!$A$2:$H$1946,2,FALSE),"미등록"))</f>
        <v/>
      </c>
      <c r="N1313" s="53" t="str">
        <f>IF($K1313="","",IFERROR(VLOOKUP(--SUBSTITUTE(SUBSTITUTE(TRIM($K1313),"-","")," ",""),마스터시트!$A$2:$H$1946,3,FALSE),"미등록"))</f>
        <v/>
      </c>
      <c r="O1313" s="18" t="str">
        <f>IF($K1313="","",IFERROR(VLOOKUP(--SUBSTITUTE(SUBSTITUTE(TRIM($K1313),"-","")," ",""),마스터시트!$A$2:$H$1946,4,FALSE),""))</f>
        <v/>
      </c>
      <c r="P1313" s="18" t="str">
        <f>IF($K1313="","",IFERROR(VLOOKUP(--SUBSTITUTE(SUBSTITUTE(TRIM($K1313),"-","")," ",""),마스터시트!$A$2:$H$1946,5,FALSE),""))</f>
        <v/>
      </c>
      <c r="Q1313" s="18" t="str">
        <f>IF($K1313="","",IFERROR(VLOOKUP(--SUBSTITUTE(SUBSTITUTE(TRIM($K1313),"-","")," ",""),마스터시트!$A$2:$H$1946,6,FALSE),""))</f>
        <v/>
      </c>
      <c r="R1313" s="18" t="str">
        <f>IF($K1313="","",IFERROR(VLOOKUP(--SUBSTITUTE(SUBSTITUTE(TRIM($K1313),"-","")," ",""),마스터시트!$A$2:$H$1946,7,FALSE),""))</f>
        <v/>
      </c>
    </row>
    <row r="1314" spans="13:18" x14ac:dyDescent="0.3">
      <c r="M1314" s="18" t="str">
        <f>IF($K1314="","",IFERROR(VLOOKUP(--SUBSTITUTE(SUBSTITUTE(TRIM($K1314),"-","")," ",""),마스터시트!$A$2:$H$1946,2,FALSE),"미등록"))</f>
        <v/>
      </c>
      <c r="N1314" s="53" t="str">
        <f>IF($K1314="","",IFERROR(VLOOKUP(--SUBSTITUTE(SUBSTITUTE(TRIM($K1314),"-","")," ",""),마스터시트!$A$2:$H$1946,3,FALSE),"미등록"))</f>
        <v/>
      </c>
      <c r="O1314" s="18" t="str">
        <f>IF($K1314="","",IFERROR(VLOOKUP(--SUBSTITUTE(SUBSTITUTE(TRIM($K1314),"-","")," ",""),마스터시트!$A$2:$H$1946,4,FALSE),""))</f>
        <v/>
      </c>
      <c r="P1314" s="18" t="str">
        <f>IF($K1314="","",IFERROR(VLOOKUP(--SUBSTITUTE(SUBSTITUTE(TRIM($K1314),"-","")," ",""),마스터시트!$A$2:$H$1946,5,FALSE),""))</f>
        <v/>
      </c>
      <c r="Q1314" s="18" t="str">
        <f>IF($K1314="","",IFERROR(VLOOKUP(--SUBSTITUTE(SUBSTITUTE(TRIM($K1314),"-","")," ",""),마스터시트!$A$2:$H$1946,6,FALSE),""))</f>
        <v/>
      </c>
      <c r="R1314" s="18" t="str">
        <f>IF($K1314="","",IFERROR(VLOOKUP(--SUBSTITUTE(SUBSTITUTE(TRIM($K1314),"-","")," ",""),마스터시트!$A$2:$H$1946,7,FALSE),""))</f>
        <v/>
      </c>
    </row>
    <row r="1315" spans="13:18" x14ac:dyDescent="0.3">
      <c r="M1315" s="18" t="str">
        <f>IF($K1315="","",IFERROR(VLOOKUP(--SUBSTITUTE(SUBSTITUTE(TRIM($K1315),"-","")," ",""),마스터시트!$A$2:$H$1946,2,FALSE),"미등록"))</f>
        <v/>
      </c>
      <c r="N1315" s="53" t="str">
        <f>IF($K1315="","",IFERROR(VLOOKUP(--SUBSTITUTE(SUBSTITUTE(TRIM($K1315),"-","")," ",""),마스터시트!$A$2:$H$1946,3,FALSE),"미등록"))</f>
        <v/>
      </c>
      <c r="O1315" s="18" t="str">
        <f>IF($K1315="","",IFERROR(VLOOKUP(--SUBSTITUTE(SUBSTITUTE(TRIM($K1315),"-","")," ",""),마스터시트!$A$2:$H$1946,4,FALSE),""))</f>
        <v/>
      </c>
      <c r="P1315" s="18" t="str">
        <f>IF($K1315="","",IFERROR(VLOOKUP(--SUBSTITUTE(SUBSTITUTE(TRIM($K1315),"-","")," ",""),마스터시트!$A$2:$H$1946,5,FALSE),""))</f>
        <v/>
      </c>
      <c r="Q1315" s="18" t="str">
        <f>IF($K1315="","",IFERROR(VLOOKUP(--SUBSTITUTE(SUBSTITUTE(TRIM($K1315),"-","")," ",""),마스터시트!$A$2:$H$1946,6,FALSE),""))</f>
        <v/>
      </c>
      <c r="R1315" s="18" t="str">
        <f>IF($K1315="","",IFERROR(VLOOKUP(--SUBSTITUTE(SUBSTITUTE(TRIM($K1315),"-","")," ",""),마스터시트!$A$2:$H$1946,7,FALSE),""))</f>
        <v/>
      </c>
    </row>
    <row r="1316" spans="13:18" x14ac:dyDescent="0.3">
      <c r="M1316" s="18" t="str">
        <f>IF($K1316="","",IFERROR(VLOOKUP(--SUBSTITUTE(SUBSTITUTE(TRIM($K1316),"-","")," ",""),마스터시트!$A$2:$H$1946,2,FALSE),"미등록"))</f>
        <v/>
      </c>
      <c r="N1316" s="53" t="str">
        <f>IF($K1316="","",IFERROR(VLOOKUP(--SUBSTITUTE(SUBSTITUTE(TRIM($K1316),"-","")," ",""),마스터시트!$A$2:$H$1946,3,FALSE),"미등록"))</f>
        <v/>
      </c>
      <c r="O1316" s="18" t="str">
        <f>IF($K1316="","",IFERROR(VLOOKUP(--SUBSTITUTE(SUBSTITUTE(TRIM($K1316),"-","")," ",""),마스터시트!$A$2:$H$1946,4,FALSE),""))</f>
        <v/>
      </c>
      <c r="P1316" s="18" t="str">
        <f>IF($K1316="","",IFERROR(VLOOKUP(--SUBSTITUTE(SUBSTITUTE(TRIM($K1316),"-","")," ",""),마스터시트!$A$2:$H$1946,5,FALSE),""))</f>
        <v/>
      </c>
      <c r="Q1316" s="18" t="str">
        <f>IF($K1316="","",IFERROR(VLOOKUP(--SUBSTITUTE(SUBSTITUTE(TRIM($K1316),"-","")," ",""),마스터시트!$A$2:$H$1946,6,FALSE),""))</f>
        <v/>
      </c>
      <c r="R1316" s="18" t="str">
        <f>IF($K1316="","",IFERROR(VLOOKUP(--SUBSTITUTE(SUBSTITUTE(TRIM($K1316),"-","")," ",""),마스터시트!$A$2:$H$1946,7,FALSE),""))</f>
        <v/>
      </c>
    </row>
    <row r="1317" spans="13:18" x14ac:dyDescent="0.3">
      <c r="M1317" s="18" t="str">
        <f>IF($K1317="","",IFERROR(VLOOKUP(--SUBSTITUTE(SUBSTITUTE(TRIM($K1317),"-","")," ",""),마스터시트!$A$2:$H$1946,2,FALSE),"미등록"))</f>
        <v/>
      </c>
      <c r="N1317" s="53" t="str">
        <f>IF($K1317="","",IFERROR(VLOOKUP(--SUBSTITUTE(SUBSTITUTE(TRIM($K1317),"-","")," ",""),마스터시트!$A$2:$H$1946,3,FALSE),"미등록"))</f>
        <v/>
      </c>
      <c r="O1317" s="18" t="str">
        <f>IF($K1317="","",IFERROR(VLOOKUP(--SUBSTITUTE(SUBSTITUTE(TRIM($K1317),"-","")," ",""),마스터시트!$A$2:$H$1946,4,FALSE),""))</f>
        <v/>
      </c>
      <c r="P1317" s="18" t="str">
        <f>IF($K1317="","",IFERROR(VLOOKUP(--SUBSTITUTE(SUBSTITUTE(TRIM($K1317),"-","")," ",""),마스터시트!$A$2:$H$1946,5,FALSE),""))</f>
        <v/>
      </c>
      <c r="Q1317" s="18" t="str">
        <f>IF($K1317="","",IFERROR(VLOOKUP(--SUBSTITUTE(SUBSTITUTE(TRIM($K1317),"-","")," ",""),마스터시트!$A$2:$H$1946,6,FALSE),""))</f>
        <v/>
      </c>
      <c r="R1317" s="18" t="str">
        <f>IF($K1317="","",IFERROR(VLOOKUP(--SUBSTITUTE(SUBSTITUTE(TRIM($K1317),"-","")," ",""),마스터시트!$A$2:$H$1946,7,FALSE),""))</f>
        <v/>
      </c>
    </row>
    <row r="1318" spans="13:18" x14ac:dyDescent="0.3">
      <c r="M1318" s="18" t="str">
        <f>IF($K1318="","",IFERROR(VLOOKUP(--SUBSTITUTE(SUBSTITUTE(TRIM($K1318),"-","")," ",""),마스터시트!$A$2:$H$1946,2,FALSE),"미등록"))</f>
        <v/>
      </c>
      <c r="N1318" s="53" t="str">
        <f>IF($K1318="","",IFERROR(VLOOKUP(--SUBSTITUTE(SUBSTITUTE(TRIM($K1318),"-","")," ",""),마스터시트!$A$2:$H$1946,3,FALSE),"미등록"))</f>
        <v/>
      </c>
      <c r="O1318" s="18" t="str">
        <f>IF($K1318="","",IFERROR(VLOOKUP(--SUBSTITUTE(SUBSTITUTE(TRIM($K1318),"-","")," ",""),마스터시트!$A$2:$H$1946,4,FALSE),""))</f>
        <v/>
      </c>
      <c r="P1318" s="18" t="str">
        <f>IF($K1318="","",IFERROR(VLOOKUP(--SUBSTITUTE(SUBSTITUTE(TRIM($K1318),"-","")," ",""),마스터시트!$A$2:$H$1946,5,FALSE),""))</f>
        <v/>
      </c>
      <c r="Q1318" s="18" t="str">
        <f>IF($K1318="","",IFERROR(VLOOKUP(--SUBSTITUTE(SUBSTITUTE(TRIM($K1318),"-","")," ",""),마스터시트!$A$2:$H$1946,6,FALSE),""))</f>
        <v/>
      </c>
      <c r="R1318" s="18" t="str">
        <f>IF($K1318="","",IFERROR(VLOOKUP(--SUBSTITUTE(SUBSTITUTE(TRIM($K1318),"-","")," ",""),마스터시트!$A$2:$H$1946,7,FALSE),""))</f>
        <v/>
      </c>
    </row>
    <row r="1319" spans="13:18" x14ac:dyDescent="0.3">
      <c r="M1319" s="18" t="str">
        <f>IF($K1319="","",IFERROR(VLOOKUP(--SUBSTITUTE(SUBSTITUTE(TRIM($K1319),"-","")," ",""),마스터시트!$A$2:$H$1946,2,FALSE),"미등록"))</f>
        <v/>
      </c>
      <c r="N1319" s="53" t="str">
        <f>IF($K1319="","",IFERROR(VLOOKUP(--SUBSTITUTE(SUBSTITUTE(TRIM($K1319),"-","")," ",""),마스터시트!$A$2:$H$1946,3,FALSE),"미등록"))</f>
        <v/>
      </c>
      <c r="O1319" s="18" t="str">
        <f>IF($K1319="","",IFERROR(VLOOKUP(--SUBSTITUTE(SUBSTITUTE(TRIM($K1319),"-","")," ",""),마스터시트!$A$2:$H$1946,4,FALSE),""))</f>
        <v/>
      </c>
      <c r="P1319" s="18" t="str">
        <f>IF($K1319="","",IFERROR(VLOOKUP(--SUBSTITUTE(SUBSTITUTE(TRIM($K1319),"-","")," ",""),마스터시트!$A$2:$H$1946,5,FALSE),""))</f>
        <v/>
      </c>
      <c r="Q1319" s="18" t="str">
        <f>IF($K1319="","",IFERROR(VLOOKUP(--SUBSTITUTE(SUBSTITUTE(TRIM($K1319),"-","")," ",""),마스터시트!$A$2:$H$1946,6,FALSE),""))</f>
        <v/>
      </c>
      <c r="R1319" s="18" t="str">
        <f>IF($K1319="","",IFERROR(VLOOKUP(--SUBSTITUTE(SUBSTITUTE(TRIM($K1319),"-","")," ",""),마스터시트!$A$2:$H$1946,7,FALSE),""))</f>
        <v/>
      </c>
    </row>
    <row r="1320" spans="13:18" x14ac:dyDescent="0.3">
      <c r="M1320" s="18" t="str">
        <f>IF($K1320="","",IFERROR(VLOOKUP(--SUBSTITUTE(SUBSTITUTE(TRIM($K1320),"-","")," ",""),마스터시트!$A$2:$H$1946,2,FALSE),"미등록"))</f>
        <v/>
      </c>
      <c r="N1320" s="53" t="str">
        <f>IF($K1320="","",IFERROR(VLOOKUP(--SUBSTITUTE(SUBSTITUTE(TRIM($K1320),"-","")," ",""),마스터시트!$A$2:$H$1946,3,FALSE),"미등록"))</f>
        <v/>
      </c>
      <c r="O1320" s="18" t="str">
        <f>IF($K1320="","",IFERROR(VLOOKUP(--SUBSTITUTE(SUBSTITUTE(TRIM($K1320),"-","")," ",""),마스터시트!$A$2:$H$1946,4,FALSE),""))</f>
        <v/>
      </c>
      <c r="P1320" s="18" t="str">
        <f>IF($K1320="","",IFERROR(VLOOKUP(--SUBSTITUTE(SUBSTITUTE(TRIM($K1320),"-","")," ",""),마스터시트!$A$2:$H$1946,5,FALSE),""))</f>
        <v/>
      </c>
      <c r="Q1320" s="18" t="str">
        <f>IF($K1320="","",IFERROR(VLOOKUP(--SUBSTITUTE(SUBSTITUTE(TRIM($K1320),"-","")," ",""),마스터시트!$A$2:$H$1946,6,FALSE),""))</f>
        <v/>
      </c>
      <c r="R1320" s="18" t="str">
        <f>IF($K1320="","",IFERROR(VLOOKUP(--SUBSTITUTE(SUBSTITUTE(TRIM($K1320),"-","")," ",""),마스터시트!$A$2:$H$1946,7,FALSE),""))</f>
        <v/>
      </c>
    </row>
    <row r="1321" spans="13:18" x14ac:dyDescent="0.3">
      <c r="M1321" s="18" t="str">
        <f>IF($K1321="","",IFERROR(VLOOKUP(--SUBSTITUTE(SUBSTITUTE(TRIM($K1321),"-","")," ",""),마스터시트!$A$2:$H$1946,2,FALSE),"미등록"))</f>
        <v/>
      </c>
      <c r="N1321" s="53" t="str">
        <f>IF($K1321="","",IFERROR(VLOOKUP(--SUBSTITUTE(SUBSTITUTE(TRIM($K1321),"-","")," ",""),마스터시트!$A$2:$H$1946,3,FALSE),"미등록"))</f>
        <v/>
      </c>
      <c r="O1321" s="18" t="str">
        <f>IF($K1321="","",IFERROR(VLOOKUP(--SUBSTITUTE(SUBSTITUTE(TRIM($K1321),"-","")," ",""),마스터시트!$A$2:$H$1946,4,FALSE),""))</f>
        <v/>
      </c>
      <c r="P1321" s="18" t="str">
        <f>IF($K1321="","",IFERROR(VLOOKUP(--SUBSTITUTE(SUBSTITUTE(TRIM($K1321),"-","")," ",""),마스터시트!$A$2:$H$1946,5,FALSE),""))</f>
        <v/>
      </c>
      <c r="Q1321" s="18" t="str">
        <f>IF($K1321="","",IFERROR(VLOOKUP(--SUBSTITUTE(SUBSTITUTE(TRIM($K1321),"-","")," ",""),마스터시트!$A$2:$H$1946,6,FALSE),""))</f>
        <v/>
      </c>
      <c r="R1321" s="18" t="str">
        <f>IF($K1321="","",IFERROR(VLOOKUP(--SUBSTITUTE(SUBSTITUTE(TRIM($K1321),"-","")," ",""),마스터시트!$A$2:$H$1946,7,FALSE),""))</f>
        <v/>
      </c>
    </row>
    <row r="1322" spans="13:18" x14ac:dyDescent="0.3">
      <c r="M1322" s="18" t="str">
        <f>IF($K1322="","",IFERROR(VLOOKUP(--SUBSTITUTE(SUBSTITUTE(TRIM($K1322),"-","")," ",""),마스터시트!$A$2:$H$1946,2,FALSE),"미등록"))</f>
        <v/>
      </c>
      <c r="N1322" s="53" t="str">
        <f>IF($K1322="","",IFERROR(VLOOKUP(--SUBSTITUTE(SUBSTITUTE(TRIM($K1322),"-","")," ",""),마스터시트!$A$2:$H$1946,3,FALSE),"미등록"))</f>
        <v/>
      </c>
      <c r="O1322" s="18" t="str">
        <f>IF($K1322="","",IFERROR(VLOOKUP(--SUBSTITUTE(SUBSTITUTE(TRIM($K1322),"-","")," ",""),마스터시트!$A$2:$H$1946,4,FALSE),""))</f>
        <v/>
      </c>
      <c r="P1322" s="18" t="str">
        <f>IF($K1322="","",IFERROR(VLOOKUP(--SUBSTITUTE(SUBSTITUTE(TRIM($K1322),"-","")," ",""),마스터시트!$A$2:$H$1946,5,FALSE),""))</f>
        <v/>
      </c>
      <c r="Q1322" s="18" t="str">
        <f>IF($K1322="","",IFERROR(VLOOKUP(--SUBSTITUTE(SUBSTITUTE(TRIM($K1322),"-","")," ",""),마스터시트!$A$2:$H$1946,6,FALSE),""))</f>
        <v/>
      </c>
      <c r="R1322" s="18" t="str">
        <f>IF($K1322="","",IFERROR(VLOOKUP(--SUBSTITUTE(SUBSTITUTE(TRIM($K1322),"-","")," ",""),마스터시트!$A$2:$H$1946,7,FALSE),""))</f>
        <v/>
      </c>
    </row>
    <row r="1323" spans="13:18" x14ac:dyDescent="0.3">
      <c r="M1323" s="18" t="str">
        <f>IF($K1323="","",IFERROR(VLOOKUP(--SUBSTITUTE(SUBSTITUTE(TRIM($K1323),"-","")," ",""),마스터시트!$A$2:$H$1946,2,FALSE),"미등록"))</f>
        <v/>
      </c>
      <c r="N1323" s="53" t="str">
        <f>IF($K1323="","",IFERROR(VLOOKUP(--SUBSTITUTE(SUBSTITUTE(TRIM($K1323),"-","")," ",""),마스터시트!$A$2:$H$1946,3,FALSE),"미등록"))</f>
        <v/>
      </c>
      <c r="O1323" s="18" t="str">
        <f>IF($K1323="","",IFERROR(VLOOKUP(--SUBSTITUTE(SUBSTITUTE(TRIM($K1323),"-","")," ",""),마스터시트!$A$2:$H$1946,4,FALSE),""))</f>
        <v/>
      </c>
      <c r="P1323" s="18" t="str">
        <f>IF($K1323="","",IFERROR(VLOOKUP(--SUBSTITUTE(SUBSTITUTE(TRIM($K1323),"-","")," ",""),마스터시트!$A$2:$H$1946,5,FALSE),""))</f>
        <v/>
      </c>
      <c r="Q1323" s="18" t="str">
        <f>IF($K1323="","",IFERROR(VLOOKUP(--SUBSTITUTE(SUBSTITUTE(TRIM($K1323),"-","")," ",""),마스터시트!$A$2:$H$1946,6,FALSE),""))</f>
        <v/>
      </c>
      <c r="R1323" s="18" t="str">
        <f>IF($K1323="","",IFERROR(VLOOKUP(--SUBSTITUTE(SUBSTITUTE(TRIM($K1323),"-","")," ",""),마스터시트!$A$2:$H$1946,7,FALSE),""))</f>
        <v/>
      </c>
    </row>
    <row r="1324" spans="13:18" x14ac:dyDescent="0.3">
      <c r="M1324" s="18" t="str">
        <f>IF($K1324="","",IFERROR(VLOOKUP(--SUBSTITUTE(SUBSTITUTE(TRIM($K1324),"-","")," ",""),마스터시트!$A$2:$H$1946,2,FALSE),"미등록"))</f>
        <v/>
      </c>
      <c r="N1324" s="53" t="str">
        <f>IF($K1324="","",IFERROR(VLOOKUP(--SUBSTITUTE(SUBSTITUTE(TRIM($K1324),"-","")," ",""),마스터시트!$A$2:$H$1946,3,FALSE),"미등록"))</f>
        <v/>
      </c>
      <c r="O1324" s="18" t="str">
        <f>IF($K1324="","",IFERROR(VLOOKUP(--SUBSTITUTE(SUBSTITUTE(TRIM($K1324),"-","")," ",""),마스터시트!$A$2:$H$1946,4,FALSE),""))</f>
        <v/>
      </c>
      <c r="P1324" s="18" t="str">
        <f>IF($K1324="","",IFERROR(VLOOKUP(--SUBSTITUTE(SUBSTITUTE(TRIM($K1324),"-","")," ",""),마스터시트!$A$2:$H$1946,5,FALSE),""))</f>
        <v/>
      </c>
      <c r="Q1324" s="18" t="str">
        <f>IF($K1324="","",IFERROR(VLOOKUP(--SUBSTITUTE(SUBSTITUTE(TRIM($K1324),"-","")," ",""),마스터시트!$A$2:$H$1946,6,FALSE),""))</f>
        <v/>
      </c>
      <c r="R1324" s="18" t="str">
        <f>IF($K1324="","",IFERROR(VLOOKUP(--SUBSTITUTE(SUBSTITUTE(TRIM($K1324),"-","")," ",""),마스터시트!$A$2:$H$1946,7,FALSE),""))</f>
        <v/>
      </c>
    </row>
    <row r="1325" spans="13:18" x14ac:dyDescent="0.3">
      <c r="M1325" s="18" t="str">
        <f>IF($K1325="","",IFERROR(VLOOKUP(--SUBSTITUTE(SUBSTITUTE(TRIM($K1325),"-","")," ",""),마스터시트!$A$2:$H$1946,2,FALSE),"미등록"))</f>
        <v/>
      </c>
      <c r="N1325" s="53" t="str">
        <f>IF($K1325="","",IFERROR(VLOOKUP(--SUBSTITUTE(SUBSTITUTE(TRIM($K1325),"-","")," ",""),마스터시트!$A$2:$H$1946,3,FALSE),"미등록"))</f>
        <v/>
      </c>
      <c r="O1325" s="18" t="str">
        <f>IF($K1325="","",IFERROR(VLOOKUP(--SUBSTITUTE(SUBSTITUTE(TRIM($K1325),"-","")," ",""),마스터시트!$A$2:$H$1946,4,FALSE),""))</f>
        <v/>
      </c>
      <c r="P1325" s="18" t="str">
        <f>IF($K1325="","",IFERROR(VLOOKUP(--SUBSTITUTE(SUBSTITUTE(TRIM($K1325),"-","")," ",""),마스터시트!$A$2:$H$1946,5,FALSE),""))</f>
        <v/>
      </c>
      <c r="Q1325" s="18" t="str">
        <f>IF($K1325="","",IFERROR(VLOOKUP(--SUBSTITUTE(SUBSTITUTE(TRIM($K1325),"-","")," ",""),마스터시트!$A$2:$H$1946,6,FALSE),""))</f>
        <v/>
      </c>
      <c r="R1325" s="18" t="str">
        <f>IF($K1325="","",IFERROR(VLOOKUP(--SUBSTITUTE(SUBSTITUTE(TRIM($K1325),"-","")," ",""),마스터시트!$A$2:$H$1946,7,FALSE),""))</f>
        <v/>
      </c>
    </row>
    <row r="1326" spans="13:18" x14ac:dyDescent="0.3">
      <c r="M1326" s="18" t="str">
        <f>IF($K1326="","",IFERROR(VLOOKUP(--SUBSTITUTE(SUBSTITUTE(TRIM($K1326),"-","")," ",""),마스터시트!$A$2:$H$1946,2,FALSE),"미등록"))</f>
        <v/>
      </c>
      <c r="N1326" s="53" t="str">
        <f>IF($K1326="","",IFERROR(VLOOKUP(--SUBSTITUTE(SUBSTITUTE(TRIM($K1326),"-","")," ",""),마스터시트!$A$2:$H$1946,3,FALSE),"미등록"))</f>
        <v/>
      </c>
      <c r="O1326" s="18" t="str">
        <f>IF($K1326="","",IFERROR(VLOOKUP(--SUBSTITUTE(SUBSTITUTE(TRIM($K1326),"-","")," ",""),마스터시트!$A$2:$H$1946,4,FALSE),""))</f>
        <v/>
      </c>
      <c r="P1326" s="18" t="str">
        <f>IF($K1326="","",IFERROR(VLOOKUP(--SUBSTITUTE(SUBSTITUTE(TRIM($K1326),"-","")," ",""),마스터시트!$A$2:$H$1946,5,FALSE),""))</f>
        <v/>
      </c>
      <c r="Q1326" s="18" t="str">
        <f>IF($K1326="","",IFERROR(VLOOKUP(--SUBSTITUTE(SUBSTITUTE(TRIM($K1326),"-","")," ",""),마스터시트!$A$2:$H$1946,6,FALSE),""))</f>
        <v/>
      </c>
      <c r="R1326" s="18" t="str">
        <f>IF($K1326="","",IFERROR(VLOOKUP(--SUBSTITUTE(SUBSTITUTE(TRIM($K1326),"-","")," ",""),마스터시트!$A$2:$H$1946,7,FALSE),""))</f>
        <v/>
      </c>
    </row>
    <row r="1327" spans="13:18" x14ac:dyDescent="0.3">
      <c r="M1327" s="18" t="str">
        <f>IF($K1327="","",IFERROR(VLOOKUP(--SUBSTITUTE(SUBSTITUTE(TRIM($K1327),"-","")," ",""),마스터시트!$A$2:$H$1946,2,FALSE),"미등록"))</f>
        <v/>
      </c>
      <c r="N1327" s="53" t="str">
        <f>IF($K1327="","",IFERROR(VLOOKUP(--SUBSTITUTE(SUBSTITUTE(TRIM($K1327),"-","")," ",""),마스터시트!$A$2:$H$1946,3,FALSE),"미등록"))</f>
        <v/>
      </c>
      <c r="O1327" s="18" t="str">
        <f>IF($K1327="","",IFERROR(VLOOKUP(--SUBSTITUTE(SUBSTITUTE(TRIM($K1327),"-","")," ",""),마스터시트!$A$2:$H$1946,4,FALSE),""))</f>
        <v/>
      </c>
      <c r="P1327" s="18" t="str">
        <f>IF($K1327="","",IFERROR(VLOOKUP(--SUBSTITUTE(SUBSTITUTE(TRIM($K1327),"-","")," ",""),마스터시트!$A$2:$H$1946,5,FALSE),""))</f>
        <v/>
      </c>
      <c r="Q1327" s="18" t="str">
        <f>IF($K1327="","",IFERROR(VLOOKUP(--SUBSTITUTE(SUBSTITUTE(TRIM($K1327),"-","")," ",""),마스터시트!$A$2:$H$1946,6,FALSE),""))</f>
        <v/>
      </c>
      <c r="R1327" s="18" t="str">
        <f>IF($K1327="","",IFERROR(VLOOKUP(--SUBSTITUTE(SUBSTITUTE(TRIM($K1327),"-","")," ",""),마스터시트!$A$2:$H$1946,7,FALSE),""))</f>
        <v/>
      </c>
    </row>
    <row r="1328" spans="13:18" x14ac:dyDescent="0.3">
      <c r="M1328" s="18" t="str">
        <f>IF($K1328="","",IFERROR(VLOOKUP(--SUBSTITUTE(SUBSTITUTE(TRIM($K1328),"-","")," ",""),마스터시트!$A$2:$H$1946,2,FALSE),"미등록"))</f>
        <v/>
      </c>
      <c r="N1328" s="53" t="str">
        <f>IF($K1328="","",IFERROR(VLOOKUP(--SUBSTITUTE(SUBSTITUTE(TRIM($K1328),"-","")," ",""),마스터시트!$A$2:$H$1946,3,FALSE),"미등록"))</f>
        <v/>
      </c>
      <c r="O1328" s="18" t="str">
        <f>IF($K1328="","",IFERROR(VLOOKUP(--SUBSTITUTE(SUBSTITUTE(TRIM($K1328),"-","")," ",""),마스터시트!$A$2:$H$1946,4,FALSE),""))</f>
        <v/>
      </c>
      <c r="P1328" s="18" t="str">
        <f>IF($K1328="","",IFERROR(VLOOKUP(--SUBSTITUTE(SUBSTITUTE(TRIM($K1328),"-","")," ",""),마스터시트!$A$2:$H$1946,5,FALSE),""))</f>
        <v/>
      </c>
      <c r="Q1328" s="18" t="str">
        <f>IF($K1328="","",IFERROR(VLOOKUP(--SUBSTITUTE(SUBSTITUTE(TRIM($K1328),"-","")," ",""),마스터시트!$A$2:$H$1946,6,FALSE),""))</f>
        <v/>
      </c>
      <c r="R1328" s="18" t="str">
        <f>IF($K1328="","",IFERROR(VLOOKUP(--SUBSTITUTE(SUBSTITUTE(TRIM($K1328),"-","")," ",""),마스터시트!$A$2:$H$1946,7,FALSE),""))</f>
        <v/>
      </c>
    </row>
    <row r="1329" spans="13:18" x14ac:dyDescent="0.3">
      <c r="M1329" s="18" t="str">
        <f>IF($K1329="","",IFERROR(VLOOKUP(--SUBSTITUTE(SUBSTITUTE(TRIM($K1329),"-","")," ",""),마스터시트!$A$2:$H$1946,2,FALSE),"미등록"))</f>
        <v/>
      </c>
      <c r="N1329" s="53" t="str">
        <f>IF($K1329="","",IFERROR(VLOOKUP(--SUBSTITUTE(SUBSTITUTE(TRIM($K1329),"-","")," ",""),마스터시트!$A$2:$H$1946,3,FALSE),"미등록"))</f>
        <v/>
      </c>
      <c r="O1329" s="18" t="str">
        <f>IF($K1329="","",IFERROR(VLOOKUP(--SUBSTITUTE(SUBSTITUTE(TRIM($K1329),"-","")," ",""),마스터시트!$A$2:$H$1946,4,FALSE),""))</f>
        <v/>
      </c>
      <c r="P1329" s="18" t="str">
        <f>IF($K1329="","",IFERROR(VLOOKUP(--SUBSTITUTE(SUBSTITUTE(TRIM($K1329),"-","")," ",""),마스터시트!$A$2:$H$1946,5,FALSE),""))</f>
        <v/>
      </c>
      <c r="Q1329" s="18" t="str">
        <f>IF($K1329="","",IFERROR(VLOOKUP(--SUBSTITUTE(SUBSTITUTE(TRIM($K1329),"-","")," ",""),마스터시트!$A$2:$H$1946,6,FALSE),""))</f>
        <v/>
      </c>
      <c r="R1329" s="18" t="str">
        <f>IF($K1329="","",IFERROR(VLOOKUP(--SUBSTITUTE(SUBSTITUTE(TRIM($K1329),"-","")," ",""),마스터시트!$A$2:$H$1946,7,FALSE),""))</f>
        <v/>
      </c>
    </row>
    <row r="1330" spans="13:18" x14ac:dyDescent="0.3">
      <c r="M1330" s="18" t="str">
        <f>IF($K1330="","",IFERROR(VLOOKUP(--SUBSTITUTE(SUBSTITUTE(TRIM($K1330),"-","")," ",""),마스터시트!$A$2:$H$1946,2,FALSE),"미등록"))</f>
        <v/>
      </c>
      <c r="N1330" s="53" t="str">
        <f>IF($K1330="","",IFERROR(VLOOKUP(--SUBSTITUTE(SUBSTITUTE(TRIM($K1330),"-","")," ",""),마스터시트!$A$2:$H$1946,3,FALSE),"미등록"))</f>
        <v/>
      </c>
      <c r="O1330" s="18" t="str">
        <f>IF($K1330="","",IFERROR(VLOOKUP(--SUBSTITUTE(SUBSTITUTE(TRIM($K1330),"-","")," ",""),마스터시트!$A$2:$H$1946,4,FALSE),""))</f>
        <v/>
      </c>
      <c r="P1330" s="18" t="str">
        <f>IF($K1330="","",IFERROR(VLOOKUP(--SUBSTITUTE(SUBSTITUTE(TRIM($K1330),"-","")," ",""),마스터시트!$A$2:$H$1946,5,FALSE),""))</f>
        <v/>
      </c>
      <c r="Q1330" s="18" t="str">
        <f>IF($K1330="","",IFERROR(VLOOKUP(--SUBSTITUTE(SUBSTITUTE(TRIM($K1330),"-","")," ",""),마스터시트!$A$2:$H$1946,6,FALSE),""))</f>
        <v/>
      </c>
      <c r="R1330" s="18" t="str">
        <f>IF($K1330="","",IFERROR(VLOOKUP(--SUBSTITUTE(SUBSTITUTE(TRIM($K1330),"-","")," ",""),마스터시트!$A$2:$H$1946,7,FALSE),""))</f>
        <v/>
      </c>
    </row>
    <row r="1331" spans="13:18" x14ac:dyDescent="0.3">
      <c r="M1331" s="18" t="str">
        <f>IF($K1331="","",IFERROR(VLOOKUP(--SUBSTITUTE(SUBSTITUTE(TRIM($K1331),"-","")," ",""),마스터시트!$A$2:$H$1946,2,FALSE),"미등록"))</f>
        <v/>
      </c>
      <c r="N1331" s="53" t="str">
        <f>IF($K1331="","",IFERROR(VLOOKUP(--SUBSTITUTE(SUBSTITUTE(TRIM($K1331),"-","")," ",""),마스터시트!$A$2:$H$1946,3,FALSE),"미등록"))</f>
        <v/>
      </c>
      <c r="O1331" s="18" t="str">
        <f>IF($K1331="","",IFERROR(VLOOKUP(--SUBSTITUTE(SUBSTITUTE(TRIM($K1331),"-","")," ",""),마스터시트!$A$2:$H$1946,4,FALSE),""))</f>
        <v/>
      </c>
      <c r="P1331" s="18" t="str">
        <f>IF($K1331="","",IFERROR(VLOOKUP(--SUBSTITUTE(SUBSTITUTE(TRIM($K1331),"-","")," ",""),마스터시트!$A$2:$H$1946,5,FALSE),""))</f>
        <v/>
      </c>
      <c r="Q1331" s="18" t="str">
        <f>IF($K1331="","",IFERROR(VLOOKUP(--SUBSTITUTE(SUBSTITUTE(TRIM($K1331),"-","")," ",""),마스터시트!$A$2:$H$1946,6,FALSE),""))</f>
        <v/>
      </c>
      <c r="R1331" s="18" t="str">
        <f>IF($K1331="","",IFERROR(VLOOKUP(--SUBSTITUTE(SUBSTITUTE(TRIM($K1331),"-","")," ",""),마스터시트!$A$2:$H$1946,7,FALSE),""))</f>
        <v/>
      </c>
    </row>
    <row r="1332" spans="13:18" x14ac:dyDescent="0.3">
      <c r="M1332" s="18" t="str">
        <f>IF($K1332="","",IFERROR(VLOOKUP(--SUBSTITUTE(SUBSTITUTE(TRIM($K1332),"-","")," ",""),마스터시트!$A$2:$H$1946,2,FALSE),"미등록"))</f>
        <v/>
      </c>
      <c r="N1332" s="53" t="str">
        <f>IF($K1332="","",IFERROR(VLOOKUP(--SUBSTITUTE(SUBSTITUTE(TRIM($K1332),"-","")," ",""),마스터시트!$A$2:$H$1946,3,FALSE),"미등록"))</f>
        <v/>
      </c>
      <c r="O1332" s="18" t="str">
        <f>IF($K1332="","",IFERROR(VLOOKUP(--SUBSTITUTE(SUBSTITUTE(TRIM($K1332),"-","")," ",""),마스터시트!$A$2:$H$1946,4,FALSE),""))</f>
        <v/>
      </c>
      <c r="P1332" s="18" t="str">
        <f>IF($K1332="","",IFERROR(VLOOKUP(--SUBSTITUTE(SUBSTITUTE(TRIM($K1332),"-","")," ",""),마스터시트!$A$2:$H$1946,5,FALSE),""))</f>
        <v/>
      </c>
      <c r="Q1332" s="18" t="str">
        <f>IF($K1332="","",IFERROR(VLOOKUP(--SUBSTITUTE(SUBSTITUTE(TRIM($K1332),"-","")," ",""),마스터시트!$A$2:$H$1946,6,FALSE),""))</f>
        <v/>
      </c>
      <c r="R1332" s="18" t="str">
        <f>IF($K1332="","",IFERROR(VLOOKUP(--SUBSTITUTE(SUBSTITUTE(TRIM($K1332),"-","")," ",""),마스터시트!$A$2:$H$1946,7,FALSE),""))</f>
        <v/>
      </c>
    </row>
    <row r="1333" spans="13:18" x14ac:dyDescent="0.3">
      <c r="M1333" s="18" t="str">
        <f>IF($K1333="","",IFERROR(VLOOKUP(--SUBSTITUTE(SUBSTITUTE(TRIM($K1333),"-","")," ",""),마스터시트!$A$2:$H$1946,2,FALSE),"미등록"))</f>
        <v/>
      </c>
      <c r="N1333" s="53" t="str">
        <f>IF($K1333="","",IFERROR(VLOOKUP(--SUBSTITUTE(SUBSTITUTE(TRIM($K1333),"-","")," ",""),마스터시트!$A$2:$H$1946,3,FALSE),"미등록"))</f>
        <v/>
      </c>
      <c r="O1333" s="18" t="str">
        <f>IF($K1333="","",IFERROR(VLOOKUP(--SUBSTITUTE(SUBSTITUTE(TRIM($K1333),"-","")," ",""),마스터시트!$A$2:$H$1946,4,FALSE),""))</f>
        <v/>
      </c>
      <c r="P1333" s="18" t="str">
        <f>IF($K1333="","",IFERROR(VLOOKUP(--SUBSTITUTE(SUBSTITUTE(TRIM($K1333),"-","")," ",""),마스터시트!$A$2:$H$1946,5,FALSE),""))</f>
        <v/>
      </c>
      <c r="Q1333" s="18" t="str">
        <f>IF($K1333="","",IFERROR(VLOOKUP(--SUBSTITUTE(SUBSTITUTE(TRIM($K1333),"-","")," ",""),마스터시트!$A$2:$H$1946,6,FALSE),""))</f>
        <v/>
      </c>
      <c r="R1333" s="18" t="str">
        <f>IF($K1333="","",IFERROR(VLOOKUP(--SUBSTITUTE(SUBSTITUTE(TRIM($K1333),"-","")," ",""),마스터시트!$A$2:$H$1946,7,FALSE),""))</f>
        <v/>
      </c>
    </row>
    <row r="1334" spans="13:18" x14ac:dyDescent="0.3">
      <c r="M1334" s="18" t="str">
        <f>IF($K1334="","",IFERROR(VLOOKUP(--SUBSTITUTE(SUBSTITUTE(TRIM($K1334),"-","")," ",""),마스터시트!$A$2:$H$1946,2,FALSE),"미등록"))</f>
        <v/>
      </c>
      <c r="N1334" s="53" t="str">
        <f>IF($K1334="","",IFERROR(VLOOKUP(--SUBSTITUTE(SUBSTITUTE(TRIM($K1334),"-","")," ",""),마스터시트!$A$2:$H$1946,3,FALSE),"미등록"))</f>
        <v/>
      </c>
      <c r="O1334" s="18" t="str">
        <f>IF($K1334="","",IFERROR(VLOOKUP(--SUBSTITUTE(SUBSTITUTE(TRIM($K1334),"-","")," ",""),마스터시트!$A$2:$H$1946,4,FALSE),""))</f>
        <v/>
      </c>
      <c r="P1334" s="18" t="str">
        <f>IF($K1334="","",IFERROR(VLOOKUP(--SUBSTITUTE(SUBSTITUTE(TRIM($K1334),"-","")," ",""),마스터시트!$A$2:$H$1946,5,FALSE),""))</f>
        <v/>
      </c>
      <c r="Q1334" s="18" t="str">
        <f>IF($K1334="","",IFERROR(VLOOKUP(--SUBSTITUTE(SUBSTITUTE(TRIM($K1334),"-","")," ",""),마스터시트!$A$2:$H$1946,6,FALSE),""))</f>
        <v/>
      </c>
      <c r="R1334" s="18" t="str">
        <f>IF($K1334="","",IFERROR(VLOOKUP(--SUBSTITUTE(SUBSTITUTE(TRIM($K1334),"-","")," ",""),마스터시트!$A$2:$H$1946,7,FALSE),""))</f>
        <v/>
      </c>
    </row>
    <row r="1335" spans="13:18" x14ac:dyDescent="0.3">
      <c r="M1335" s="18" t="str">
        <f>IF($K1335="","",IFERROR(VLOOKUP(--SUBSTITUTE(SUBSTITUTE(TRIM($K1335),"-","")," ",""),마스터시트!$A$2:$H$1946,2,FALSE),"미등록"))</f>
        <v/>
      </c>
      <c r="N1335" s="53" t="str">
        <f>IF($K1335="","",IFERROR(VLOOKUP(--SUBSTITUTE(SUBSTITUTE(TRIM($K1335),"-","")," ",""),마스터시트!$A$2:$H$1946,3,FALSE),"미등록"))</f>
        <v/>
      </c>
      <c r="O1335" s="18" t="str">
        <f>IF($K1335="","",IFERROR(VLOOKUP(--SUBSTITUTE(SUBSTITUTE(TRIM($K1335),"-","")," ",""),마스터시트!$A$2:$H$1946,4,FALSE),""))</f>
        <v/>
      </c>
      <c r="P1335" s="18" t="str">
        <f>IF($K1335="","",IFERROR(VLOOKUP(--SUBSTITUTE(SUBSTITUTE(TRIM($K1335),"-","")," ",""),마스터시트!$A$2:$H$1946,5,FALSE),""))</f>
        <v/>
      </c>
      <c r="Q1335" s="18" t="str">
        <f>IF($K1335="","",IFERROR(VLOOKUP(--SUBSTITUTE(SUBSTITUTE(TRIM($K1335),"-","")," ",""),마스터시트!$A$2:$H$1946,6,FALSE),""))</f>
        <v/>
      </c>
      <c r="R1335" s="18" t="str">
        <f>IF($K1335="","",IFERROR(VLOOKUP(--SUBSTITUTE(SUBSTITUTE(TRIM($K1335),"-","")," ",""),마스터시트!$A$2:$H$1946,7,FALSE),""))</f>
        <v/>
      </c>
    </row>
    <row r="1336" spans="13:18" x14ac:dyDescent="0.3">
      <c r="M1336" s="18" t="str">
        <f>IF($K1336="","",IFERROR(VLOOKUP(--SUBSTITUTE(SUBSTITUTE(TRIM($K1336),"-","")," ",""),마스터시트!$A$2:$H$1946,2,FALSE),"미등록"))</f>
        <v/>
      </c>
      <c r="N1336" s="53" t="str">
        <f>IF($K1336="","",IFERROR(VLOOKUP(--SUBSTITUTE(SUBSTITUTE(TRIM($K1336),"-","")," ",""),마스터시트!$A$2:$H$1946,3,FALSE),"미등록"))</f>
        <v/>
      </c>
      <c r="O1336" s="18" t="str">
        <f>IF($K1336="","",IFERROR(VLOOKUP(--SUBSTITUTE(SUBSTITUTE(TRIM($K1336),"-","")," ",""),마스터시트!$A$2:$H$1946,4,FALSE),""))</f>
        <v/>
      </c>
      <c r="P1336" s="18" t="str">
        <f>IF($K1336="","",IFERROR(VLOOKUP(--SUBSTITUTE(SUBSTITUTE(TRIM($K1336),"-","")," ",""),마스터시트!$A$2:$H$1946,5,FALSE),""))</f>
        <v/>
      </c>
      <c r="Q1336" s="18" t="str">
        <f>IF($K1336="","",IFERROR(VLOOKUP(--SUBSTITUTE(SUBSTITUTE(TRIM($K1336),"-","")," ",""),마스터시트!$A$2:$H$1946,6,FALSE),""))</f>
        <v/>
      </c>
      <c r="R1336" s="18" t="str">
        <f>IF($K1336="","",IFERROR(VLOOKUP(--SUBSTITUTE(SUBSTITUTE(TRIM($K1336),"-","")," ",""),마스터시트!$A$2:$H$1946,7,FALSE),""))</f>
        <v/>
      </c>
    </row>
    <row r="1337" spans="13:18" x14ac:dyDescent="0.3">
      <c r="M1337" s="18" t="str">
        <f>IF($K1337="","",IFERROR(VLOOKUP(--SUBSTITUTE(SUBSTITUTE(TRIM($K1337),"-","")," ",""),마스터시트!$A$2:$H$1946,2,FALSE),"미등록"))</f>
        <v/>
      </c>
      <c r="N1337" s="53" t="str">
        <f>IF($K1337="","",IFERROR(VLOOKUP(--SUBSTITUTE(SUBSTITUTE(TRIM($K1337),"-","")," ",""),마스터시트!$A$2:$H$1946,3,FALSE),"미등록"))</f>
        <v/>
      </c>
      <c r="O1337" s="18" t="str">
        <f>IF($K1337="","",IFERROR(VLOOKUP(--SUBSTITUTE(SUBSTITUTE(TRIM($K1337),"-","")," ",""),마스터시트!$A$2:$H$1946,4,FALSE),""))</f>
        <v/>
      </c>
      <c r="P1337" s="18" t="str">
        <f>IF($K1337="","",IFERROR(VLOOKUP(--SUBSTITUTE(SUBSTITUTE(TRIM($K1337),"-","")," ",""),마스터시트!$A$2:$H$1946,5,FALSE),""))</f>
        <v/>
      </c>
      <c r="Q1337" s="18" t="str">
        <f>IF($K1337="","",IFERROR(VLOOKUP(--SUBSTITUTE(SUBSTITUTE(TRIM($K1337),"-","")," ",""),마스터시트!$A$2:$H$1946,6,FALSE),""))</f>
        <v/>
      </c>
      <c r="R1337" s="18" t="str">
        <f>IF($K1337="","",IFERROR(VLOOKUP(--SUBSTITUTE(SUBSTITUTE(TRIM($K1337),"-","")," ",""),마스터시트!$A$2:$H$1946,7,FALSE),""))</f>
        <v/>
      </c>
    </row>
    <row r="1338" spans="13:18" x14ac:dyDescent="0.3">
      <c r="M1338" s="18" t="str">
        <f>IF($K1338="","",IFERROR(VLOOKUP(--SUBSTITUTE(SUBSTITUTE(TRIM($K1338),"-","")," ",""),마스터시트!$A$2:$H$1946,2,FALSE),"미등록"))</f>
        <v/>
      </c>
      <c r="N1338" s="53" t="str">
        <f>IF($K1338="","",IFERROR(VLOOKUP(--SUBSTITUTE(SUBSTITUTE(TRIM($K1338),"-","")," ",""),마스터시트!$A$2:$H$1946,3,FALSE),"미등록"))</f>
        <v/>
      </c>
      <c r="O1338" s="18" t="str">
        <f>IF($K1338="","",IFERROR(VLOOKUP(--SUBSTITUTE(SUBSTITUTE(TRIM($K1338),"-","")," ",""),마스터시트!$A$2:$H$1946,4,FALSE),""))</f>
        <v/>
      </c>
      <c r="P1338" s="18" t="str">
        <f>IF($K1338="","",IFERROR(VLOOKUP(--SUBSTITUTE(SUBSTITUTE(TRIM($K1338),"-","")," ",""),마스터시트!$A$2:$H$1946,5,FALSE),""))</f>
        <v/>
      </c>
      <c r="Q1338" s="18" t="str">
        <f>IF($K1338="","",IFERROR(VLOOKUP(--SUBSTITUTE(SUBSTITUTE(TRIM($K1338),"-","")," ",""),마스터시트!$A$2:$H$1946,6,FALSE),""))</f>
        <v/>
      </c>
      <c r="R1338" s="18" t="str">
        <f>IF($K1338="","",IFERROR(VLOOKUP(--SUBSTITUTE(SUBSTITUTE(TRIM($K1338),"-","")," ",""),마스터시트!$A$2:$H$1946,7,FALSE),""))</f>
        <v/>
      </c>
    </row>
    <row r="1339" spans="13:18" x14ac:dyDescent="0.3">
      <c r="M1339" s="18" t="str">
        <f>IF($K1339="","",IFERROR(VLOOKUP(--SUBSTITUTE(SUBSTITUTE(TRIM($K1339),"-","")," ",""),마스터시트!$A$2:$H$1946,2,FALSE),"미등록"))</f>
        <v/>
      </c>
      <c r="N1339" s="53" t="str">
        <f>IF($K1339="","",IFERROR(VLOOKUP(--SUBSTITUTE(SUBSTITUTE(TRIM($K1339),"-","")," ",""),마스터시트!$A$2:$H$1946,3,FALSE),"미등록"))</f>
        <v/>
      </c>
      <c r="O1339" s="18" t="str">
        <f>IF($K1339="","",IFERROR(VLOOKUP(--SUBSTITUTE(SUBSTITUTE(TRIM($K1339),"-","")," ",""),마스터시트!$A$2:$H$1946,4,FALSE),""))</f>
        <v/>
      </c>
      <c r="P1339" s="18" t="str">
        <f>IF($K1339="","",IFERROR(VLOOKUP(--SUBSTITUTE(SUBSTITUTE(TRIM($K1339),"-","")," ",""),마스터시트!$A$2:$H$1946,5,FALSE),""))</f>
        <v/>
      </c>
      <c r="Q1339" s="18" t="str">
        <f>IF($K1339="","",IFERROR(VLOOKUP(--SUBSTITUTE(SUBSTITUTE(TRIM($K1339),"-","")," ",""),마스터시트!$A$2:$H$1946,6,FALSE),""))</f>
        <v/>
      </c>
      <c r="R1339" s="18" t="str">
        <f>IF($K1339="","",IFERROR(VLOOKUP(--SUBSTITUTE(SUBSTITUTE(TRIM($K1339),"-","")," ",""),마스터시트!$A$2:$H$1946,7,FALSE),""))</f>
        <v/>
      </c>
    </row>
    <row r="1340" spans="13:18" x14ac:dyDescent="0.3">
      <c r="M1340" s="18" t="str">
        <f>IF($K1340="","",IFERROR(VLOOKUP(--SUBSTITUTE(SUBSTITUTE(TRIM($K1340),"-","")," ",""),마스터시트!$A$2:$H$1946,2,FALSE),"미등록"))</f>
        <v/>
      </c>
      <c r="N1340" s="53" t="str">
        <f>IF($K1340="","",IFERROR(VLOOKUP(--SUBSTITUTE(SUBSTITUTE(TRIM($K1340),"-","")," ",""),마스터시트!$A$2:$H$1946,3,FALSE),"미등록"))</f>
        <v/>
      </c>
      <c r="O1340" s="18" t="str">
        <f>IF($K1340="","",IFERROR(VLOOKUP(--SUBSTITUTE(SUBSTITUTE(TRIM($K1340),"-","")," ",""),마스터시트!$A$2:$H$1946,4,FALSE),""))</f>
        <v/>
      </c>
      <c r="P1340" s="18" t="str">
        <f>IF($K1340="","",IFERROR(VLOOKUP(--SUBSTITUTE(SUBSTITUTE(TRIM($K1340),"-","")," ",""),마스터시트!$A$2:$H$1946,5,FALSE),""))</f>
        <v/>
      </c>
      <c r="Q1340" s="18" t="str">
        <f>IF($K1340="","",IFERROR(VLOOKUP(--SUBSTITUTE(SUBSTITUTE(TRIM($K1340),"-","")," ",""),마스터시트!$A$2:$H$1946,6,FALSE),""))</f>
        <v/>
      </c>
      <c r="R1340" s="18" t="str">
        <f>IF($K1340="","",IFERROR(VLOOKUP(--SUBSTITUTE(SUBSTITUTE(TRIM($K1340),"-","")," ",""),마스터시트!$A$2:$H$1946,7,FALSE),""))</f>
        <v/>
      </c>
    </row>
    <row r="1341" spans="13:18" x14ac:dyDescent="0.3">
      <c r="M1341" s="18" t="str">
        <f>IF($K1341="","",IFERROR(VLOOKUP(--SUBSTITUTE(SUBSTITUTE(TRIM($K1341),"-","")," ",""),마스터시트!$A$2:$H$1946,2,FALSE),"미등록"))</f>
        <v/>
      </c>
      <c r="N1341" s="53" t="str">
        <f>IF($K1341="","",IFERROR(VLOOKUP(--SUBSTITUTE(SUBSTITUTE(TRIM($K1341),"-","")," ",""),마스터시트!$A$2:$H$1946,3,FALSE),"미등록"))</f>
        <v/>
      </c>
      <c r="O1341" s="18" t="str">
        <f>IF($K1341="","",IFERROR(VLOOKUP(--SUBSTITUTE(SUBSTITUTE(TRIM($K1341),"-","")," ",""),마스터시트!$A$2:$H$1946,4,FALSE),""))</f>
        <v/>
      </c>
      <c r="P1341" s="18" t="str">
        <f>IF($K1341="","",IFERROR(VLOOKUP(--SUBSTITUTE(SUBSTITUTE(TRIM($K1341),"-","")," ",""),마스터시트!$A$2:$H$1946,5,FALSE),""))</f>
        <v/>
      </c>
      <c r="Q1341" s="18" t="str">
        <f>IF($K1341="","",IFERROR(VLOOKUP(--SUBSTITUTE(SUBSTITUTE(TRIM($K1341),"-","")," ",""),마스터시트!$A$2:$H$1946,6,FALSE),""))</f>
        <v/>
      </c>
      <c r="R1341" s="18" t="str">
        <f>IF($K1341="","",IFERROR(VLOOKUP(--SUBSTITUTE(SUBSTITUTE(TRIM($K1341),"-","")," ",""),마스터시트!$A$2:$H$1946,7,FALSE),""))</f>
        <v/>
      </c>
    </row>
    <row r="1342" spans="13:18" x14ac:dyDescent="0.3">
      <c r="M1342" s="18" t="str">
        <f>IF($K1342="","",IFERROR(VLOOKUP(--SUBSTITUTE(SUBSTITUTE(TRIM($K1342),"-","")," ",""),마스터시트!$A$2:$H$1946,2,FALSE),"미등록"))</f>
        <v/>
      </c>
      <c r="N1342" s="53" t="str">
        <f>IF($K1342="","",IFERROR(VLOOKUP(--SUBSTITUTE(SUBSTITUTE(TRIM($K1342),"-","")," ",""),마스터시트!$A$2:$H$1946,3,FALSE),"미등록"))</f>
        <v/>
      </c>
      <c r="O1342" s="18" t="str">
        <f>IF($K1342="","",IFERROR(VLOOKUP(--SUBSTITUTE(SUBSTITUTE(TRIM($K1342),"-","")," ",""),마스터시트!$A$2:$H$1946,4,FALSE),""))</f>
        <v/>
      </c>
      <c r="P1342" s="18" t="str">
        <f>IF($K1342="","",IFERROR(VLOOKUP(--SUBSTITUTE(SUBSTITUTE(TRIM($K1342),"-","")," ",""),마스터시트!$A$2:$H$1946,5,FALSE),""))</f>
        <v/>
      </c>
      <c r="Q1342" s="18" t="str">
        <f>IF($K1342="","",IFERROR(VLOOKUP(--SUBSTITUTE(SUBSTITUTE(TRIM($K1342),"-","")," ",""),마스터시트!$A$2:$H$1946,6,FALSE),""))</f>
        <v/>
      </c>
      <c r="R1342" s="18" t="str">
        <f>IF($K1342="","",IFERROR(VLOOKUP(--SUBSTITUTE(SUBSTITUTE(TRIM($K1342),"-","")," ",""),마스터시트!$A$2:$H$1946,7,FALSE),""))</f>
        <v/>
      </c>
    </row>
    <row r="1343" spans="13:18" x14ac:dyDescent="0.3">
      <c r="M1343" s="18" t="str">
        <f>IF($K1343="","",IFERROR(VLOOKUP(--SUBSTITUTE(SUBSTITUTE(TRIM($K1343),"-","")," ",""),마스터시트!$A$2:$H$1946,2,FALSE),"미등록"))</f>
        <v/>
      </c>
      <c r="N1343" s="53" t="str">
        <f>IF($K1343="","",IFERROR(VLOOKUP(--SUBSTITUTE(SUBSTITUTE(TRIM($K1343),"-","")," ",""),마스터시트!$A$2:$H$1946,3,FALSE),"미등록"))</f>
        <v/>
      </c>
      <c r="O1343" s="18" t="str">
        <f>IF($K1343="","",IFERROR(VLOOKUP(--SUBSTITUTE(SUBSTITUTE(TRIM($K1343),"-","")," ",""),마스터시트!$A$2:$H$1946,4,FALSE),""))</f>
        <v/>
      </c>
      <c r="P1343" s="18" t="str">
        <f>IF($K1343="","",IFERROR(VLOOKUP(--SUBSTITUTE(SUBSTITUTE(TRIM($K1343),"-","")," ",""),마스터시트!$A$2:$H$1946,5,FALSE),""))</f>
        <v/>
      </c>
      <c r="Q1343" s="18" t="str">
        <f>IF($K1343="","",IFERROR(VLOOKUP(--SUBSTITUTE(SUBSTITUTE(TRIM($K1343),"-","")," ",""),마스터시트!$A$2:$H$1946,6,FALSE),""))</f>
        <v/>
      </c>
      <c r="R1343" s="18" t="str">
        <f>IF($K1343="","",IFERROR(VLOOKUP(--SUBSTITUTE(SUBSTITUTE(TRIM($K1343),"-","")," ",""),마스터시트!$A$2:$H$1946,7,FALSE),""))</f>
        <v/>
      </c>
    </row>
    <row r="1344" spans="13:18" x14ac:dyDescent="0.3">
      <c r="M1344" s="18" t="str">
        <f>IF($K1344="","",IFERROR(VLOOKUP(--SUBSTITUTE(SUBSTITUTE(TRIM($K1344),"-","")," ",""),마스터시트!$A$2:$H$1946,2,FALSE),"미등록"))</f>
        <v/>
      </c>
      <c r="N1344" s="53" t="str">
        <f>IF($K1344="","",IFERROR(VLOOKUP(--SUBSTITUTE(SUBSTITUTE(TRIM($K1344),"-","")," ",""),마스터시트!$A$2:$H$1946,3,FALSE),"미등록"))</f>
        <v/>
      </c>
      <c r="O1344" s="18" t="str">
        <f>IF($K1344="","",IFERROR(VLOOKUP(--SUBSTITUTE(SUBSTITUTE(TRIM($K1344),"-","")," ",""),마스터시트!$A$2:$H$1946,4,FALSE),""))</f>
        <v/>
      </c>
      <c r="P1344" s="18" t="str">
        <f>IF($K1344="","",IFERROR(VLOOKUP(--SUBSTITUTE(SUBSTITUTE(TRIM($K1344),"-","")," ",""),마스터시트!$A$2:$H$1946,5,FALSE),""))</f>
        <v/>
      </c>
      <c r="Q1344" s="18" t="str">
        <f>IF($K1344="","",IFERROR(VLOOKUP(--SUBSTITUTE(SUBSTITUTE(TRIM($K1344),"-","")," ",""),마스터시트!$A$2:$H$1946,6,FALSE),""))</f>
        <v/>
      </c>
      <c r="R1344" s="18" t="str">
        <f>IF($K1344="","",IFERROR(VLOOKUP(--SUBSTITUTE(SUBSTITUTE(TRIM($K1344),"-","")," ",""),마스터시트!$A$2:$H$1946,7,FALSE),""))</f>
        <v/>
      </c>
    </row>
    <row r="1345" spans="13:18" x14ac:dyDescent="0.3">
      <c r="M1345" s="18" t="str">
        <f>IF($K1345="","",IFERROR(VLOOKUP(--SUBSTITUTE(SUBSTITUTE(TRIM($K1345),"-","")," ",""),마스터시트!$A$2:$H$1946,2,FALSE),"미등록"))</f>
        <v/>
      </c>
      <c r="N1345" s="53" t="str">
        <f>IF($K1345="","",IFERROR(VLOOKUP(--SUBSTITUTE(SUBSTITUTE(TRIM($K1345),"-","")," ",""),마스터시트!$A$2:$H$1946,3,FALSE),"미등록"))</f>
        <v/>
      </c>
      <c r="O1345" s="18" t="str">
        <f>IF($K1345="","",IFERROR(VLOOKUP(--SUBSTITUTE(SUBSTITUTE(TRIM($K1345),"-","")," ",""),마스터시트!$A$2:$H$1946,4,FALSE),""))</f>
        <v/>
      </c>
      <c r="P1345" s="18" t="str">
        <f>IF($K1345="","",IFERROR(VLOOKUP(--SUBSTITUTE(SUBSTITUTE(TRIM($K1345),"-","")," ",""),마스터시트!$A$2:$H$1946,5,FALSE),""))</f>
        <v/>
      </c>
      <c r="Q1345" s="18" t="str">
        <f>IF($K1345="","",IFERROR(VLOOKUP(--SUBSTITUTE(SUBSTITUTE(TRIM($K1345),"-","")," ",""),마스터시트!$A$2:$H$1946,6,FALSE),""))</f>
        <v/>
      </c>
      <c r="R1345" s="18" t="str">
        <f>IF($K1345="","",IFERROR(VLOOKUP(--SUBSTITUTE(SUBSTITUTE(TRIM($K1345),"-","")," ",""),마스터시트!$A$2:$H$1946,7,FALSE),""))</f>
        <v/>
      </c>
    </row>
    <row r="1346" spans="13:18" x14ac:dyDescent="0.3">
      <c r="M1346" s="18" t="str">
        <f>IF($K1346="","",IFERROR(VLOOKUP(--SUBSTITUTE(SUBSTITUTE(TRIM($K1346),"-","")," ",""),마스터시트!$A$2:$H$1946,2,FALSE),"미등록"))</f>
        <v/>
      </c>
      <c r="N1346" s="53" t="str">
        <f>IF($K1346="","",IFERROR(VLOOKUP(--SUBSTITUTE(SUBSTITUTE(TRIM($K1346),"-","")," ",""),마스터시트!$A$2:$H$1946,3,FALSE),"미등록"))</f>
        <v/>
      </c>
      <c r="O1346" s="18" t="str">
        <f>IF($K1346="","",IFERROR(VLOOKUP(--SUBSTITUTE(SUBSTITUTE(TRIM($K1346),"-","")," ",""),마스터시트!$A$2:$H$1946,4,FALSE),""))</f>
        <v/>
      </c>
      <c r="P1346" s="18" t="str">
        <f>IF($K1346="","",IFERROR(VLOOKUP(--SUBSTITUTE(SUBSTITUTE(TRIM($K1346),"-","")," ",""),마스터시트!$A$2:$H$1946,5,FALSE),""))</f>
        <v/>
      </c>
      <c r="Q1346" s="18" t="str">
        <f>IF($K1346="","",IFERROR(VLOOKUP(--SUBSTITUTE(SUBSTITUTE(TRIM($K1346),"-","")," ",""),마스터시트!$A$2:$H$1946,6,FALSE),""))</f>
        <v/>
      </c>
      <c r="R1346" s="18" t="str">
        <f>IF($K1346="","",IFERROR(VLOOKUP(--SUBSTITUTE(SUBSTITUTE(TRIM($K1346),"-","")," ",""),마스터시트!$A$2:$H$1946,7,FALSE),""))</f>
        <v/>
      </c>
    </row>
    <row r="1347" spans="13:18" x14ac:dyDescent="0.3">
      <c r="M1347" s="18" t="str">
        <f>IF($K1347="","",IFERROR(VLOOKUP(--SUBSTITUTE(SUBSTITUTE(TRIM($K1347),"-","")," ",""),마스터시트!$A$2:$H$1946,2,FALSE),"미등록"))</f>
        <v/>
      </c>
      <c r="N1347" s="53" t="str">
        <f>IF($K1347="","",IFERROR(VLOOKUP(--SUBSTITUTE(SUBSTITUTE(TRIM($K1347),"-","")," ",""),마스터시트!$A$2:$H$1946,3,FALSE),"미등록"))</f>
        <v/>
      </c>
      <c r="O1347" s="18" t="str">
        <f>IF($K1347="","",IFERROR(VLOOKUP(--SUBSTITUTE(SUBSTITUTE(TRIM($K1347),"-","")," ",""),마스터시트!$A$2:$H$1946,4,FALSE),""))</f>
        <v/>
      </c>
      <c r="P1347" s="18" t="str">
        <f>IF($K1347="","",IFERROR(VLOOKUP(--SUBSTITUTE(SUBSTITUTE(TRIM($K1347),"-","")," ",""),마스터시트!$A$2:$H$1946,5,FALSE),""))</f>
        <v/>
      </c>
      <c r="Q1347" s="18" t="str">
        <f>IF($K1347="","",IFERROR(VLOOKUP(--SUBSTITUTE(SUBSTITUTE(TRIM($K1347),"-","")," ",""),마스터시트!$A$2:$H$1946,6,FALSE),""))</f>
        <v/>
      </c>
      <c r="R1347" s="18" t="str">
        <f>IF($K1347="","",IFERROR(VLOOKUP(--SUBSTITUTE(SUBSTITUTE(TRIM($K1347),"-","")," ",""),마스터시트!$A$2:$H$1946,7,FALSE),""))</f>
        <v/>
      </c>
    </row>
    <row r="1348" spans="13:18" x14ac:dyDescent="0.3">
      <c r="M1348" s="18" t="str">
        <f>IF($K1348="","",IFERROR(VLOOKUP(--SUBSTITUTE(SUBSTITUTE(TRIM($K1348),"-","")," ",""),마스터시트!$A$2:$H$1946,2,FALSE),"미등록"))</f>
        <v/>
      </c>
      <c r="N1348" s="53" t="str">
        <f>IF($K1348="","",IFERROR(VLOOKUP(--SUBSTITUTE(SUBSTITUTE(TRIM($K1348),"-","")," ",""),마스터시트!$A$2:$H$1946,3,FALSE),"미등록"))</f>
        <v/>
      </c>
      <c r="O1348" s="18" t="str">
        <f>IF($K1348="","",IFERROR(VLOOKUP(--SUBSTITUTE(SUBSTITUTE(TRIM($K1348),"-","")," ",""),마스터시트!$A$2:$H$1946,4,FALSE),""))</f>
        <v/>
      </c>
      <c r="P1348" s="18" t="str">
        <f>IF($K1348="","",IFERROR(VLOOKUP(--SUBSTITUTE(SUBSTITUTE(TRIM($K1348),"-","")," ",""),마스터시트!$A$2:$H$1946,5,FALSE),""))</f>
        <v/>
      </c>
      <c r="Q1348" s="18" t="str">
        <f>IF($K1348="","",IFERROR(VLOOKUP(--SUBSTITUTE(SUBSTITUTE(TRIM($K1348),"-","")," ",""),마스터시트!$A$2:$H$1946,6,FALSE),""))</f>
        <v/>
      </c>
      <c r="R1348" s="18" t="str">
        <f>IF($K1348="","",IFERROR(VLOOKUP(--SUBSTITUTE(SUBSTITUTE(TRIM($K1348),"-","")," ",""),마스터시트!$A$2:$H$1946,7,FALSE),""))</f>
        <v/>
      </c>
    </row>
    <row r="1349" spans="13:18" x14ac:dyDescent="0.3">
      <c r="M1349" s="18" t="str">
        <f>IF($K1349="","",IFERROR(VLOOKUP(--SUBSTITUTE(SUBSTITUTE(TRIM($K1349),"-","")," ",""),마스터시트!$A$2:$H$1946,2,FALSE),"미등록"))</f>
        <v/>
      </c>
      <c r="N1349" s="53" t="str">
        <f>IF($K1349="","",IFERROR(VLOOKUP(--SUBSTITUTE(SUBSTITUTE(TRIM($K1349),"-","")," ",""),마스터시트!$A$2:$H$1946,3,FALSE),"미등록"))</f>
        <v/>
      </c>
      <c r="O1349" s="18" t="str">
        <f>IF($K1349="","",IFERROR(VLOOKUP(--SUBSTITUTE(SUBSTITUTE(TRIM($K1349),"-","")," ",""),마스터시트!$A$2:$H$1946,4,FALSE),""))</f>
        <v/>
      </c>
      <c r="P1349" s="18" t="str">
        <f>IF($K1349="","",IFERROR(VLOOKUP(--SUBSTITUTE(SUBSTITUTE(TRIM($K1349),"-","")," ",""),마스터시트!$A$2:$H$1946,5,FALSE),""))</f>
        <v/>
      </c>
      <c r="Q1349" s="18" t="str">
        <f>IF($K1349="","",IFERROR(VLOOKUP(--SUBSTITUTE(SUBSTITUTE(TRIM($K1349),"-","")," ",""),마스터시트!$A$2:$H$1946,6,FALSE),""))</f>
        <v/>
      </c>
      <c r="R1349" s="18" t="str">
        <f>IF($K1349="","",IFERROR(VLOOKUP(--SUBSTITUTE(SUBSTITUTE(TRIM($K1349),"-","")," ",""),마스터시트!$A$2:$H$1946,7,FALSE),""))</f>
        <v/>
      </c>
    </row>
    <row r="1350" spans="13:18" x14ac:dyDescent="0.3">
      <c r="M1350" s="18" t="str">
        <f>IF($K1350="","",IFERROR(VLOOKUP(--SUBSTITUTE(SUBSTITUTE(TRIM($K1350),"-","")," ",""),마스터시트!$A$2:$H$1946,2,FALSE),"미등록"))</f>
        <v/>
      </c>
      <c r="N1350" s="53" t="str">
        <f>IF($K1350="","",IFERROR(VLOOKUP(--SUBSTITUTE(SUBSTITUTE(TRIM($K1350),"-","")," ",""),마스터시트!$A$2:$H$1946,3,FALSE),"미등록"))</f>
        <v/>
      </c>
      <c r="O1350" s="18" t="str">
        <f>IF($K1350="","",IFERROR(VLOOKUP(--SUBSTITUTE(SUBSTITUTE(TRIM($K1350),"-","")," ",""),마스터시트!$A$2:$H$1946,4,FALSE),""))</f>
        <v/>
      </c>
      <c r="P1350" s="18" t="str">
        <f>IF($K1350="","",IFERROR(VLOOKUP(--SUBSTITUTE(SUBSTITUTE(TRIM($K1350),"-","")," ",""),마스터시트!$A$2:$H$1946,5,FALSE),""))</f>
        <v/>
      </c>
      <c r="Q1350" s="18" t="str">
        <f>IF($K1350="","",IFERROR(VLOOKUP(--SUBSTITUTE(SUBSTITUTE(TRIM($K1350),"-","")," ",""),마스터시트!$A$2:$H$1946,6,FALSE),""))</f>
        <v/>
      </c>
      <c r="R1350" s="18" t="str">
        <f>IF($K1350="","",IFERROR(VLOOKUP(--SUBSTITUTE(SUBSTITUTE(TRIM($K1350),"-","")," ",""),마스터시트!$A$2:$H$1946,7,FALSE),""))</f>
        <v/>
      </c>
    </row>
    <row r="1351" spans="13:18" x14ac:dyDescent="0.3">
      <c r="M1351" s="18" t="str">
        <f>IF($K1351="","",IFERROR(VLOOKUP(--SUBSTITUTE(SUBSTITUTE(TRIM($K1351),"-","")," ",""),마스터시트!$A$2:$H$1946,2,FALSE),"미등록"))</f>
        <v/>
      </c>
      <c r="N1351" s="53" t="str">
        <f>IF($K1351="","",IFERROR(VLOOKUP(--SUBSTITUTE(SUBSTITUTE(TRIM($K1351),"-","")," ",""),마스터시트!$A$2:$H$1946,3,FALSE),"미등록"))</f>
        <v/>
      </c>
      <c r="O1351" s="18" t="str">
        <f>IF($K1351="","",IFERROR(VLOOKUP(--SUBSTITUTE(SUBSTITUTE(TRIM($K1351),"-","")," ",""),마스터시트!$A$2:$H$1946,4,FALSE),""))</f>
        <v/>
      </c>
      <c r="P1351" s="18" t="str">
        <f>IF($K1351="","",IFERROR(VLOOKUP(--SUBSTITUTE(SUBSTITUTE(TRIM($K1351),"-","")," ",""),마스터시트!$A$2:$H$1946,5,FALSE),""))</f>
        <v/>
      </c>
      <c r="Q1351" s="18" t="str">
        <f>IF($K1351="","",IFERROR(VLOOKUP(--SUBSTITUTE(SUBSTITUTE(TRIM($K1351),"-","")," ",""),마스터시트!$A$2:$H$1946,6,FALSE),""))</f>
        <v/>
      </c>
      <c r="R1351" s="18" t="str">
        <f>IF($K1351="","",IFERROR(VLOOKUP(--SUBSTITUTE(SUBSTITUTE(TRIM($K1351),"-","")," ",""),마스터시트!$A$2:$H$1946,7,FALSE),""))</f>
        <v/>
      </c>
    </row>
    <row r="1352" spans="13:18" x14ac:dyDescent="0.3">
      <c r="M1352" s="18" t="str">
        <f>IF($K1352="","",IFERROR(VLOOKUP(--SUBSTITUTE(SUBSTITUTE(TRIM($K1352),"-","")," ",""),마스터시트!$A$2:$H$1946,2,FALSE),"미등록"))</f>
        <v/>
      </c>
      <c r="N1352" s="53" t="str">
        <f>IF($K1352="","",IFERROR(VLOOKUP(--SUBSTITUTE(SUBSTITUTE(TRIM($K1352),"-","")," ",""),마스터시트!$A$2:$H$1946,3,FALSE),"미등록"))</f>
        <v/>
      </c>
      <c r="O1352" s="18" t="str">
        <f>IF($K1352="","",IFERROR(VLOOKUP(--SUBSTITUTE(SUBSTITUTE(TRIM($K1352),"-","")," ",""),마스터시트!$A$2:$H$1946,4,FALSE),""))</f>
        <v/>
      </c>
      <c r="P1352" s="18" t="str">
        <f>IF($K1352="","",IFERROR(VLOOKUP(--SUBSTITUTE(SUBSTITUTE(TRIM($K1352),"-","")," ",""),마스터시트!$A$2:$H$1946,5,FALSE),""))</f>
        <v/>
      </c>
      <c r="Q1352" s="18" t="str">
        <f>IF($K1352="","",IFERROR(VLOOKUP(--SUBSTITUTE(SUBSTITUTE(TRIM($K1352),"-","")," ",""),마스터시트!$A$2:$H$1946,6,FALSE),""))</f>
        <v/>
      </c>
      <c r="R1352" s="18" t="str">
        <f>IF($K1352="","",IFERROR(VLOOKUP(--SUBSTITUTE(SUBSTITUTE(TRIM($K1352),"-","")," ",""),마스터시트!$A$2:$H$1946,7,FALSE),""))</f>
        <v/>
      </c>
    </row>
    <row r="1353" spans="13:18" x14ac:dyDescent="0.3">
      <c r="M1353" s="18" t="str">
        <f>IF($K1353="","",IFERROR(VLOOKUP(--SUBSTITUTE(SUBSTITUTE(TRIM($K1353),"-","")," ",""),마스터시트!$A$2:$H$1946,2,FALSE),"미등록"))</f>
        <v/>
      </c>
      <c r="N1353" s="53" t="str">
        <f>IF($K1353="","",IFERROR(VLOOKUP(--SUBSTITUTE(SUBSTITUTE(TRIM($K1353),"-","")," ",""),마스터시트!$A$2:$H$1946,3,FALSE),"미등록"))</f>
        <v/>
      </c>
      <c r="O1353" s="18" t="str">
        <f>IF($K1353="","",IFERROR(VLOOKUP(--SUBSTITUTE(SUBSTITUTE(TRIM($K1353),"-","")," ",""),마스터시트!$A$2:$H$1946,4,FALSE),""))</f>
        <v/>
      </c>
      <c r="P1353" s="18" t="str">
        <f>IF($K1353="","",IFERROR(VLOOKUP(--SUBSTITUTE(SUBSTITUTE(TRIM($K1353),"-","")," ",""),마스터시트!$A$2:$H$1946,5,FALSE),""))</f>
        <v/>
      </c>
      <c r="Q1353" s="18" t="str">
        <f>IF($K1353="","",IFERROR(VLOOKUP(--SUBSTITUTE(SUBSTITUTE(TRIM($K1353),"-","")," ",""),마스터시트!$A$2:$H$1946,6,FALSE),""))</f>
        <v/>
      </c>
      <c r="R1353" s="18" t="str">
        <f>IF($K1353="","",IFERROR(VLOOKUP(--SUBSTITUTE(SUBSTITUTE(TRIM($K1353),"-","")," ",""),마스터시트!$A$2:$H$1946,7,FALSE),""))</f>
        <v/>
      </c>
    </row>
    <row r="1354" spans="13:18" x14ac:dyDescent="0.3">
      <c r="M1354" s="18" t="str">
        <f>IF($K1354="","",IFERROR(VLOOKUP(--SUBSTITUTE(SUBSTITUTE(TRIM($K1354),"-","")," ",""),마스터시트!$A$2:$H$1946,2,FALSE),"미등록"))</f>
        <v/>
      </c>
      <c r="N1354" s="53" t="str">
        <f>IF($K1354="","",IFERROR(VLOOKUP(--SUBSTITUTE(SUBSTITUTE(TRIM($K1354),"-","")," ",""),마스터시트!$A$2:$H$1946,3,FALSE),"미등록"))</f>
        <v/>
      </c>
      <c r="O1354" s="18" t="str">
        <f>IF($K1354="","",IFERROR(VLOOKUP(--SUBSTITUTE(SUBSTITUTE(TRIM($K1354),"-","")," ",""),마스터시트!$A$2:$H$1946,4,FALSE),""))</f>
        <v/>
      </c>
      <c r="P1354" s="18" t="str">
        <f>IF($K1354="","",IFERROR(VLOOKUP(--SUBSTITUTE(SUBSTITUTE(TRIM($K1354),"-","")," ",""),마스터시트!$A$2:$H$1946,5,FALSE),""))</f>
        <v/>
      </c>
      <c r="Q1354" s="18" t="str">
        <f>IF($K1354="","",IFERROR(VLOOKUP(--SUBSTITUTE(SUBSTITUTE(TRIM($K1354),"-","")," ",""),마스터시트!$A$2:$H$1946,6,FALSE),""))</f>
        <v/>
      </c>
      <c r="R1354" s="18" t="str">
        <f>IF($K1354="","",IFERROR(VLOOKUP(--SUBSTITUTE(SUBSTITUTE(TRIM($K1354),"-","")," ",""),마스터시트!$A$2:$H$1946,7,FALSE),""))</f>
        <v/>
      </c>
    </row>
    <row r="1355" spans="13:18" x14ac:dyDescent="0.3">
      <c r="M1355" s="18" t="str">
        <f>IF($K1355="","",IFERROR(VLOOKUP(--SUBSTITUTE(SUBSTITUTE(TRIM($K1355),"-","")," ",""),마스터시트!$A$2:$H$1946,2,FALSE),"미등록"))</f>
        <v/>
      </c>
      <c r="N1355" s="53" t="str">
        <f>IF($K1355="","",IFERROR(VLOOKUP(--SUBSTITUTE(SUBSTITUTE(TRIM($K1355),"-","")," ",""),마스터시트!$A$2:$H$1946,3,FALSE),"미등록"))</f>
        <v/>
      </c>
      <c r="O1355" s="18" t="str">
        <f>IF($K1355="","",IFERROR(VLOOKUP(--SUBSTITUTE(SUBSTITUTE(TRIM($K1355),"-","")," ",""),마스터시트!$A$2:$H$1946,4,FALSE),""))</f>
        <v/>
      </c>
      <c r="P1355" s="18" t="str">
        <f>IF($K1355="","",IFERROR(VLOOKUP(--SUBSTITUTE(SUBSTITUTE(TRIM($K1355),"-","")," ",""),마스터시트!$A$2:$H$1946,5,FALSE),""))</f>
        <v/>
      </c>
      <c r="Q1355" s="18" t="str">
        <f>IF($K1355="","",IFERROR(VLOOKUP(--SUBSTITUTE(SUBSTITUTE(TRIM($K1355),"-","")," ",""),마스터시트!$A$2:$H$1946,6,FALSE),""))</f>
        <v/>
      </c>
      <c r="R1355" s="18" t="str">
        <f>IF($K1355="","",IFERROR(VLOOKUP(--SUBSTITUTE(SUBSTITUTE(TRIM($K1355),"-","")," ",""),마스터시트!$A$2:$H$1946,7,FALSE),""))</f>
        <v/>
      </c>
    </row>
    <row r="1356" spans="13:18" x14ac:dyDescent="0.3">
      <c r="M1356" s="18" t="str">
        <f>IF($K1356="","",IFERROR(VLOOKUP(--SUBSTITUTE(SUBSTITUTE(TRIM($K1356),"-","")," ",""),마스터시트!$A$2:$H$1946,2,FALSE),"미등록"))</f>
        <v/>
      </c>
      <c r="N1356" s="53" t="str">
        <f>IF($K1356="","",IFERROR(VLOOKUP(--SUBSTITUTE(SUBSTITUTE(TRIM($K1356),"-","")," ",""),마스터시트!$A$2:$H$1946,3,FALSE),"미등록"))</f>
        <v/>
      </c>
      <c r="O1356" s="18" t="str">
        <f>IF($K1356="","",IFERROR(VLOOKUP(--SUBSTITUTE(SUBSTITUTE(TRIM($K1356),"-","")," ",""),마스터시트!$A$2:$H$1946,4,FALSE),""))</f>
        <v/>
      </c>
      <c r="P1356" s="18" t="str">
        <f>IF($K1356="","",IFERROR(VLOOKUP(--SUBSTITUTE(SUBSTITUTE(TRIM($K1356),"-","")," ",""),마스터시트!$A$2:$H$1946,5,FALSE),""))</f>
        <v/>
      </c>
      <c r="Q1356" s="18" t="str">
        <f>IF($K1356="","",IFERROR(VLOOKUP(--SUBSTITUTE(SUBSTITUTE(TRIM($K1356),"-","")," ",""),마스터시트!$A$2:$H$1946,6,FALSE),""))</f>
        <v/>
      </c>
      <c r="R1356" s="18" t="str">
        <f>IF($K1356="","",IFERROR(VLOOKUP(--SUBSTITUTE(SUBSTITUTE(TRIM($K1356),"-","")," ",""),마스터시트!$A$2:$H$1946,7,FALSE),""))</f>
        <v/>
      </c>
    </row>
    <row r="1357" spans="13:18" x14ac:dyDescent="0.3">
      <c r="M1357" s="18" t="str">
        <f>IF($K1357="","",IFERROR(VLOOKUP(--SUBSTITUTE(SUBSTITUTE(TRIM($K1357),"-","")," ",""),마스터시트!$A$2:$H$1946,2,FALSE),"미등록"))</f>
        <v/>
      </c>
      <c r="N1357" s="53" t="str">
        <f>IF($K1357="","",IFERROR(VLOOKUP(--SUBSTITUTE(SUBSTITUTE(TRIM($K1357),"-","")," ",""),마스터시트!$A$2:$H$1946,3,FALSE),"미등록"))</f>
        <v/>
      </c>
      <c r="O1357" s="18" t="str">
        <f>IF($K1357="","",IFERROR(VLOOKUP(--SUBSTITUTE(SUBSTITUTE(TRIM($K1357),"-","")," ",""),마스터시트!$A$2:$H$1946,4,FALSE),""))</f>
        <v/>
      </c>
      <c r="P1357" s="18" t="str">
        <f>IF($K1357="","",IFERROR(VLOOKUP(--SUBSTITUTE(SUBSTITUTE(TRIM($K1357),"-","")," ",""),마스터시트!$A$2:$H$1946,5,FALSE),""))</f>
        <v/>
      </c>
      <c r="Q1357" s="18" t="str">
        <f>IF($K1357="","",IFERROR(VLOOKUP(--SUBSTITUTE(SUBSTITUTE(TRIM($K1357),"-","")," ",""),마스터시트!$A$2:$H$1946,6,FALSE),""))</f>
        <v/>
      </c>
      <c r="R1357" s="18" t="str">
        <f>IF($K1357="","",IFERROR(VLOOKUP(--SUBSTITUTE(SUBSTITUTE(TRIM($K1357),"-","")," ",""),마스터시트!$A$2:$H$1946,7,FALSE),""))</f>
        <v/>
      </c>
    </row>
    <row r="1358" spans="13:18" x14ac:dyDescent="0.3">
      <c r="M1358" s="18" t="str">
        <f>IF($K1358="","",IFERROR(VLOOKUP(--SUBSTITUTE(SUBSTITUTE(TRIM($K1358),"-","")," ",""),마스터시트!$A$2:$H$1946,2,FALSE),"미등록"))</f>
        <v/>
      </c>
      <c r="N1358" s="53" t="str">
        <f>IF($K1358="","",IFERROR(VLOOKUP(--SUBSTITUTE(SUBSTITUTE(TRIM($K1358),"-","")," ",""),마스터시트!$A$2:$H$1946,3,FALSE),"미등록"))</f>
        <v/>
      </c>
      <c r="O1358" s="18" t="str">
        <f>IF($K1358="","",IFERROR(VLOOKUP(--SUBSTITUTE(SUBSTITUTE(TRIM($K1358),"-","")," ",""),마스터시트!$A$2:$H$1946,4,FALSE),""))</f>
        <v/>
      </c>
      <c r="P1358" s="18" t="str">
        <f>IF($K1358="","",IFERROR(VLOOKUP(--SUBSTITUTE(SUBSTITUTE(TRIM($K1358),"-","")," ",""),마스터시트!$A$2:$H$1946,5,FALSE),""))</f>
        <v/>
      </c>
      <c r="Q1358" s="18" t="str">
        <f>IF($K1358="","",IFERROR(VLOOKUP(--SUBSTITUTE(SUBSTITUTE(TRIM($K1358),"-","")," ",""),마스터시트!$A$2:$H$1946,6,FALSE),""))</f>
        <v/>
      </c>
      <c r="R1358" s="18" t="str">
        <f>IF($K1358="","",IFERROR(VLOOKUP(--SUBSTITUTE(SUBSTITUTE(TRIM($K1358),"-","")," ",""),마스터시트!$A$2:$H$1946,7,FALSE),""))</f>
        <v/>
      </c>
    </row>
    <row r="1359" spans="13:18" x14ac:dyDescent="0.3">
      <c r="M1359" s="18" t="str">
        <f>IF($K1359="","",IFERROR(VLOOKUP(--SUBSTITUTE(SUBSTITUTE(TRIM($K1359),"-","")," ",""),마스터시트!$A$2:$H$1946,2,FALSE),"미등록"))</f>
        <v/>
      </c>
      <c r="N1359" s="53" t="str">
        <f>IF($K1359="","",IFERROR(VLOOKUP(--SUBSTITUTE(SUBSTITUTE(TRIM($K1359),"-","")," ",""),마스터시트!$A$2:$H$1946,3,FALSE),"미등록"))</f>
        <v/>
      </c>
      <c r="O1359" s="18" t="str">
        <f>IF($K1359="","",IFERROR(VLOOKUP(--SUBSTITUTE(SUBSTITUTE(TRIM($K1359),"-","")," ",""),마스터시트!$A$2:$H$1946,4,FALSE),""))</f>
        <v/>
      </c>
      <c r="P1359" s="18" t="str">
        <f>IF($K1359="","",IFERROR(VLOOKUP(--SUBSTITUTE(SUBSTITUTE(TRIM($K1359),"-","")," ",""),마스터시트!$A$2:$H$1946,5,FALSE),""))</f>
        <v/>
      </c>
      <c r="Q1359" s="18" t="str">
        <f>IF($K1359="","",IFERROR(VLOOKUP(--SUBSTITUTE(SUBSTITUTE(TRIM($K1359),"-","")," ",""),마스터시트!$A$2:$H$1946,6,FALSE),""))</f>
        <v/>
      </c>
      <c r="R1359" s="18" t="str">
        <f>IF($K1359="","",IFERROR(VLOOKUP(--SUBSTITUTE(SUBSTITUTE(TRIM($K1359),"-","")," ",""),마스터시트!$A$2:$H$1946,7,FALSE),""))</f>
        <v/>
      </c>
    </row>
    <row r="1360" spans="13:18" x14ac:dyDescent="0.3">
      <c r="M1360" s="18" t="str">
        <f>IF($K1360="","",IFERROR(VLOOKUP(--SUBSTITUTE(SUBSTITUTE(TRIM($K1360),"-","")," ",""),마스터시트!$A$2:$H$1946,2,FALSE),"미등록"))</f>
        <v/>
      </c>
      <c r="N1360" s="53" t="str">
        <f>IF($K1360="","",IFERROR(VLOOKUP(--SUBSTITUTE(SUBSTITUTE(TRIM($K1360),"-","")," ",""),마스터시트!$A$2:$H$1946,3,FALSE),"미등록"))</f>
        <v/>
      </c>
      <c r="O1360" s="18" t="str">
        <f>IF($K1360="","",IFERROR(VLOOKUP(--SUBSTITUTE(SUBSTITUTE(TRIM($K1360),"-","")," ",""),마스터시트!$A$2:$H$1946,4,FALSE),""))</f>
        <v/>
      </c>
      <c r="P1360" s="18" t="str">
        <f>IF($K1360="","",IFERROR(VLOOKUP(--SUBSTITUTE(SUBSTITUTE(TRIM($K1360),"-","")," ",""),마스터시트!$A$2:$H$1946,5,FALSE),""))</f>
        <v/>
      </c>
      <c r="Q1360" s="18" t="str">
        <f>IF($K1360="","",IFERROR(VLOOKUP(--SUBSTITUTE(SUBSTITUTE(TRIM($K1360),"-","")," ",""),마스터시트!$A$2:$H$1946,6,FALSE),""))</f>
        <v/>
      </c>
      <c r="R1360" s="18" t="str">
        <f>IF($K1360="","",IFERROR(VLOOKUP(--SUBSTITUTE(SUBSTITUTE(TRIM($K1360),"-","")," ",""),마스터시트!$A$2:$H$1946,7,FALSE),""))</f>
        <v/>
      </c>
    </row>
    <row r="1361" spans="13:18" x14ac:dyDescent="0.3">
      <c r="M1361" s="18" t="str">
        <f>IF($K1361="","",IFERROR(VLOOKUP(--SUBSTITUTE(SUBSTITUTE(TRIM($K1361),"-","")," ",""),마스터시트!$A$2:$H$1946,2,FALSE),"미등록"))</f>
        <v/>
      </c>
      <c r="N1361" s="53" t="str">
        <f>IF($K1361="","",IFERROR(VLOOKUP(--SUBSTITUTE(SUBSTITUTE(TRIM($K1361),"-","")," ",""),마스터시트!$A$2:$H$1946,3,FALSE),"미등록"))</f>
        <v/>
      </c>
      <c r="O1361" s="18" t="str">
        <f>IF($K1361="","",IFERROR(VLOOKUP(--SUBSTITUTE(SUBSTITUTE(TRIM($K1361),"-","")," ",""),마스터시트!$A$2:$H$1946,4,FALSE),""))</f>
        <v/>
      </c>
      <c r="P1361" s="18" t="str">
        <f>IF($K1361="","",IFERROR(VLOOKUP(--SUBSTITUTE(SUBSTITUTE(TRIM($K1361),"-","")," ",""),마스터시트!$A$2:$H$1946,5,FALSE),""))</f>
        <v/>
      </c>
      <c r="Q1361" s="18" t="str">
        <f>IF($K1361="","",IFERROR(VLOOKUP(--SUBSTITUTE(SUBSTITUTE(TRIM($K1361),"-","")," ",""),마스터시트!$A$2:$H$1946,6,FALSE),""))</f>
        <v/>
      </c>
      <c r="R1361" s="18" t="str">
        <f>IF($K1361="","",IFERROR(VLOOKUP(--SUBSTITUTE(SUBSTITUTE(TRIM($K1361),"-","")," ",""),마스터시트!$A$2:$H$1946,7,FALSE),""))</f>
        <v/>
      </c>
    </row>
    <row r="1362" spans="13:18" x14ac:dyDescent="0.3">
      <c r="M1362" s="18" t="str">
        <f>IF($K1362="","",IFERROR(VLOOKUP(--SUBSTITUTE(SUBSTITUTE(TRIM($K1362),"-","")," ",""),마스터시트!$A$2:$H$1946,2,FALSE),"미등록"))</f>
        <v/>
      </c>
      <c r="N1362" s="53" t="str">
        <f>IF($K1362="","",IFERROR(VLOOKUP(--SUBSTITUTE(SUBSTITUTE(TRIM($K1362),"-","")," ",""),마스터시트!$A$2:$H$1946,3,FALSE),"미등록"))</f>
        <v/>
      </c>
      <c r="O1362" s="18" t="str">
        <f>IF($K1362="","",IFERROR(VLOOKUP(--SUBSTITUTE(SUBSTITUTE(TRIM($K1362),"-","")," ",""),마스터시트!$A$2:$H$1946,4,FALSE),""))</f>
        <v/>
      </c>
      <c r="P1362" s="18" t="str">
        <f>IF($K1362="","",IFERROR(VLOOKUP(--SUBSTITUTE(SUBSTITUTE(TRIM($K1362),"-","")," ",""),마스터시트!$A$2:$H$1946,5,FALSE),""))</f>
        <v/>
      </c>
      <c r="Q1362" s="18" t="str">
        <f>IF($K1362="","",IFERROR(VLOOKUP(--SUBSTITUTE(SUBSTITUTE(TRIM($K1362),"-","")," ",""),마스터시트!$A$2:$H$1946,6,FALSE),""))</f>
        <v/>
      </c>
      <c r="R1362" s="18" t="str">
        <f>IF($K1362="","",IFERROR(VLOOKUP(--SUBSTITUTE(SUBSTITUTE(TRIM($K1362),"-","")," ",""),마스터시트!$A$2:$H$1946,7,FALSE),""))</f>
        <v/>
      </c>
    </row>
    <row r="1363" spans="13:18" x14ac:dyDescent="0.3">
      <c r="M1363" s="18" t="str">
        <f>IF($K1363="","",IFERROR(VLOOKUP(--SUBSTITUTE(SUBSTITUTE(TRIM($K1363),"-","")," ",""),마스터시트!$A$2:$H$1946,2,FALSE),"미등록"))</f>
        <v/>
      </c>
      <c r="N1363" s="53" t="str">
        <f>IF($K1363="","",IFERROR(VLOOKUP(--SUBSTITUTE(SUBSTITUTE(TRIM($K1363),"-","")," ",""),마스터시트!$A$2:$H$1946,3,FALSE),"미등록"))</f>
        <v/>
      </c>
      <c r="O1363" s="18" t="str">
        <f>IF($K1363="","",IFERROR(VLOOKUP(--SUBSTITUTE(SUBSTITUTE(TRIM($K1363),"-","")," ",""),마스터시트!$A$2:$H$1946,4,FALSE),""))</f>
        <v/>
      </c>
      <c r="P1363" s="18" t="str">
        <f>IF($K1363="","",IFERROR(VLOOKUP(--SUBSTITUTE(SUBSTITUTE(TRIM($K1363),"-","")," ",""),마스터시트!$A$2:$H$1946,5,FALSE),""))</f>
        <v/>
      </c>
      <c r="Q1363" s="18" t="str">
        <f>IF($K1363="","",IFERROR(VLOOKUP(--SUBSTITUTE(SUBSTITUTE(TRIM($K1363),"-","")," ",""),마스터시트!$A$2:$H$1946,6,FALSE),""))</f>
        <v/>
      </c>
      <c r="R1363" s="18" t="str">
        <f>IF($K1363="","",IFERROR(VLOOKUP(--SUBSTITUTE(SUBSTITUTE(TRIM($K1363),"-","")," ",""),마스터시트!$A$2:$H$1946,7,FALSE),""))</f>
        <v/>
      </c>
    </row>
    <row r="1364" spans="13:18" x14ac:dyDescent="0.3">
      <c r="M1364" s="18" t="str">
        <f>IF($K1364="","",IFERROR(VLOOKUP(--SUBSTITUTE(SUBSTITUTE(TRIM($K1364),"-","")," ",""),마스터시트!$A$2:$H$1946,2,FALSE),"미등록"))</f>
        <v/>
      </c>
      <c r="N1364" s="53" t="str">
        <f>IF($K1364="","",IFERROR(VLOOKUP(--SUBSTITUTE(SUBSTITUTE(TRIM($K1364),"-","")," ",""),마스터시트!$A$2:$H$1946,3,FALSE),"미등록"))</f>
        <v/>
      </c>
      <c r="O1364" s="18" t="str">
        <f>IF($K1364="","",IFERROR(VLOOKUP(--SUBSTITUTE(SUBSTITUTE(TRIM($K1364),"-","")," ",""),마스터시트!$A$2:$H$1946,4,FALSE),""))</f>
        <v/>
      </c>
      <c r="P1364" s="18" t="str">
        <f>IF($K1364="","",IFERROR(VLOOKUP(--SUBSTITUTE(SUBSTITUTE(TRIM($K1364),"-","")," ",""),마스터시트!$A$2:$H$1946,5,FALSE),""))</f>
        <v/>
      </c>
      <c r="Q1364" s="18" t="str">
        <f>IF($K1364="","",IFERROR(VLOOKUP(--SUBSTITUTE(SUBSTITUTE(TRIM($K1364),"-","")," ",""),마스터시트!$A$2:$H$1946,6,FALSE),""))</f>
        <v/>
      </c>
      <c r="R1364" s="18" t="str">
        <f>IF($K1364="","",IFERROR(VLOOKUP(--SUBSTITUTE(SUBSTITUTE(TRIM($K1364),"-","")," ",""),마스터시트!$A$2:$H$1946,7,FALSE),""))</f>
        <v/>
      </c>
    </row>
    <row r="1365" spans="13:18" x14ac:dyDescent="0.3">
      <c r="M1365" s="18" t="str">
        <f>IF($K1365="","",IFERROR(VLOOKUP(--SUBSTITUTE(SUBSTITUTE(TRIM($K1365),"-","")," ",""),마스터시트!$A$2:$H$1946,2,FALSE),"미등록"))</f>
        <v/>
      </c>
      <c r="N1365" s="53" t="str">
        <f>IF($K1365="","",IFERROR(VLOOKUP(--SUBSTITUTE(SUBSTITUTE(TRIM($K1365),"-","")," ",""),마스터시트!$A$2:$H$1946,3,FALSE),"미등록"))</f>
        <v/>
      </c>
      <c r="O1365" s="18" t="str">
        <f>IF($K1365="","",IFERROR(VLOOKUP(--SUBSTITUTE(SUBSTITUTE(TRIM($K1365),"-","")," ",""),마스터시트!$A$2:$H$1946,4,FALSE),""))</f>
        <v/>
      </c>
      <c r="P1365" s="18" t="str">
        <f>IF($K1365="","",IFERROR(VLOOKUP(--SUBSTITUTE(SUBSTITUTE(TRIM($K1365),"-","")," ",""),마스터시트!$A$2:$H$1946,5,FALSE),""))</f>
        <v/>
      </c>
      <c r="Q1365" s="18" t="str">
        <f>IF($K1365="","",IFERROR(VLOOKUP(--SUBSTITUTE(SUBSTITUTE(TRIM($K1365),"-","")," ",""),마스터시트!$A$2:$H$1946,6,FALSE),""))</f>
        <v/>
      </c>
      <c r="R1365" s="18" t="str">
        <f>IF($K1365="","",IFERROR(VLOOKUP(--SUBSTITUTE(SUBSTITUTE(TRIM($K1365),"-","")," ",""),마스터시트!$A$2:$H$1946,7,FALSE),""))</f>
        <v/>
      </c>
    </row>
    <row r="1366" spans="13:18" x14ac:dyDescent="0.3">
      <c r="M1366" s="18" t="str">
        <f>IF($K1366="","",IFERROR(VLOOKUP(--SUBSTITUTE(SUBSTITUTE(TRIM($K1366),"-","")," ",""),마스터시트!$A$2:$H$1946,2,FALSE),"미등록"))</f>
        <v/>
      </c>
      <c r="N1366" s="53" t="str">
        <f>IF($K1366="","",IFERROR(VLOOKUP(--SUBSTITUTE(SUBSTITUTE(TRIM($K1366),"-","")," ",""),마스터시트!$A$2:$H$1946,3,FALSE),"미등록"))</f>
        <v/>
      </c>
      <c r="O1366" s="18" t="str">
        <f>IF($K1366="","",IFERROR(VLOOKUP(--SUBSTITUTE(SUBSTITUTE(TRIM($K1366),"-","")," ",""),마스터시트!$A$2:$H$1946,4,FALSE),""))</f>
        <v/>
      </c>
      <c r="P1366" s="18" t="str">
        <f>IF($K1366="","",IFERROR(VLOOKUP(--SUBSTITUTE(SUBSTITUTE(TRIM($K1366),"-","")," ",""),마스터시트!$A$2:$H$1946,5,FALSE),""))</f>
        <v/>
      </c>
      <c r="Q1366" s="18" t="str">
        <f>IF($K1366="","",IFERROR(VLOOKUP(--SUBSTITUTE(SUBSTITUTE(TRIM($K1366),"-","")," ",""),마스터시트!$A$2:$H$1946,6,FALSE),""))</f>
        <v/>
      </c>
      <c r="R1366" s="18" t="str">
        <f>IF($K1366="","",IFERROR(VLOOKUP(--SUBSTITUTE(SUBSTITUTE(TRIM($K1366),"-","")," ",""),마스터시트!$A$2:$H$1946,7,FALSE),""))</f>
        <v/>
      </c>
    </row>
    <row r="1367" spans="13:18" x14ac:dyDescent="0.3">
      <c r="M1367" s="18" t="str">
        <f>IF($K1367="","",IFERROR(VLOOKUP(--SUBSTITUTE(SUBSTITUTE(TRIM($K1367),"-","")," ",""),마스터시트!$A$2:$H$1946,2,FALSE),"미등록"))</f>
        <v/>
      </c>
      <c r="N1367" s="53" t="str">
        <f>IF($K1367="","",IFERROR(VLOOKUP(--SUBSTITUTE(SUBSTITUTE(TRIM($K1367),"-","")," ",""),마스터시트!$A$2:$H$1946,3,FALSE),"미등록"))</f>
        <v/>
      </c>
      <c r="O1367" s="18" t="str">
        <f>IF($K1367="","",IFERROR(VLOOKUP(--SUBSTITUTE(SUBSTITUTE(TRIM($K1367),"-","")," ",""),마스터시트!$A$2:$H$1946,4,FALSE),""))</f>
        <v/>
      </c>
      <c r="P1367" s="18" t="str">
        <f>IF($K1367="","",IFERROR(VLOOKUP(--SUBSTITUTE(SUBSTITUTE(TRIM($K1367),"-","")," ",""),마스터시트!$A$2:$H$1946,5,FALSE),""))</f>
        <v/>
      </c>
      <c r="Q1367" s="18" t="str">
        <f>IF($K1367="","",IFERROR(VLOOKUP(--SUBSTITUTE(SUBSTITUTE(TRIM($K1367),"-","")," ",""),마스터시트!$A$2:$H$1946,6,FALSE),""))</f>
        <v/>
      </c>
      <c r="R1367" s="18" t="str">
        <f>IF($K1367="","",IFERROR(VLOOKUP(--SUBSTITUTE(SUBSTITUTE(TRIM($K1367),"-","")," ",""),마스터시트!$A$2:$H$1946,7,FALSE),""))</f>
        <v/>
      </c>
    </row>
    <row r="1368" spans="13:18" x14ac:dyDescent="0.3">
      <c r="M1368" s="18" t="str">
        <f>IF($K1368="","",IFERROR(VLOOKUP(--SUBSTITUTE(SUBSTITUTE(TRIM($K1368),"-","")," ",""),마스터시트!$A$2:$H$1946,2,FALSE),"미등록"))</f>
        <v/>
      </c>
      <c r="N1368" s="53" t="str">
        <f>IF($K1368="","",IFERROR(VLOOKUP(--SUBSTITUTE(SUBSTITUTE(TRIM($K1368),"-","")," ",""),마스터시트!$A$2:$H$1946,3,FALSE),"미등록"))</f>
        <v/>
      </c>
      <c r="O1368" s="18" t="str">
        <f>IF($K1368="","",IFERROR(VLOOKUP(--SUBSTITUTE(SUBSTITUTE(TRIM($K1368),"-","")," ",""),마스터시트!$A$2:$H$1946,4,FALSE),""))</f>
        <v/>
      </c>
      <c r="P1368" s="18" t="str">
        <f>IF($K1368="","",IFERROR(VLOOKUP(--SUBSTITUTE(SUBSTITUTE(TRIM($K1368),"-","")," ",""),마스터시트!$A$2:$H$1946,5,FALSE),""))</f>
        <v/>
      </c>
      <c r="Q1368" s="18" t="str">
        <f>IF($K1368="","",IFERROR(VLOOKUP(--SUBSTITUTE(SUBSTITUTE(TRIM($K1368),"-","")," ",""),마스터시트!$A$2:$H$1946,6,FALSE),""))</f>
        <v/>
      </c>
      <c r="R1368" s="18" t="str">
        <f>IF($K1368="","",IFERROR(VLOOKUP(--SUBSTITUTE(SUBSTITUTE(TRIM($K1368),"-","")," ",""),마스터시트!$A$2:$H$1946,7,FALSE),""))</f>
        <v/>
      </c>
    </row>
    <row r="1369" spans="13:18" x14ac:dyDescent="0.3">
      <c r="M1369" s="18" t="str">
        <f>IF($K1369="","",IFERROR(VLOOKUP(--SUBSTITUTE(SUBSTITUTE(TRIM($K1369),"-","")," ",""),마스터시트!$A$2:$H$1946,2,FALSE),"미등록"))</f>
        <v/>
      </c>
      <c r="N1369" s="53" t="str">
        <f>IF($K1369="","",IFERROR(VLOOKUP(--SUBSTITUTE(SUBSTITUTE(TRIM($K1369),"-","")," ",""),마스터시트!$A$2:$H$1946,3,FALSE),"미등록"))</f>
        <v/>
      </c>
      <c r="O1369" s="18" t="str">
        <f>IF($K1369="","",IFERROR(VLOOKUP(--SUBSTITUTE(SUBSTITUTE(TRIM($K1369),"-","")," ",""),마스터시트!$A$2:$H$1946,4,FALSE),""))</f>
        <v/>
      </c>
      <c r="P1369" s="18" t="str">
        <f>IF($K1369="","",IFERROR(VLOOKUP(--SUBSTITUTE(SUBSTITUTE(TRIM($K1369),"-","")," ",""),마스터시트!$A$2:$H$1946,5,FALSE),""))</f>
        <v/>
      </c>
      <c r="Q1369" s="18" t="str">
        <f>IF($K1369="","",IFERROR(VLOOKUP(--SUBSTITUTE(SUBSTITUTE(TRIM($K1369),"-","")," ",""),마스터시트!$A$2:$H$1946,6,FALSE),""))</f>
        <v/>
      </c>
      <c r="R1369" s="18" t="str">
        <f>IF($K1369="","",IFERROR(VLOOKUP(--SUBSTITUTE(SUBSTITUTE(TRIM($K1369),"-","")," ",""),마스터시트!$A$2:$H$1946,7,FALSE),""))</f>
        <v/>
      </c>
    </row>
    <row r="1370" spans="13:18" x14ac:dyDescent="0.3">
      <c r="M1370" s="18" t="str">
        <f>IF($K1370="","",IFERROR(VLOOKUP(--SUBSTITUTE(SUBSTITUTE(TRIM($K1370),"-","")," ",""),마스터시트!$A$2:$H$1946,2,FALSE),"미등록"))</f>
        <v/>
      </c>
      <c r="N1370" s="53" t="str">
        <f>IF($K1370="","",IFERROR(VLOOKUP(--SUBSTITUTE(SUBSTITUTE(TRIM($K1370),"-","")," ",""),마스터시트!$A$2:$H$1946,3,FALSE),"미등록"))</f>
        <v/>
      </c>
      <c r="O1370" s="18" t="str">
        <f>IF($K1370="","",IFERROR(VLOOKUP(--SUBSTITUTE(SUBSTITUTE(TRIM($K1370),"-","")," ",""),마스터시트!$A$2:$H$1946,4,FALSE),""))</f>
        <v/>
      </c>
      <c r="P1370" s="18" t="str">
        <f>IF($K1370="","",IFERROR(VLOOKUP(--SUBSTITUTE(SUBSTITUTE(TRIM($K1370),"-","")," ",""),마스터시트!$A$2:$H$1946,5,FALSE),""))</f>
        <v/>
      </c>
      <c r="Q1370" s="18" t="str">
        <f>IF($K1370="","",IFERROR(VLOOKUP(--SUBSTITUTE(SUBSTITUTE(TRIM($K1370),"-","")," ",""),마스터시트!$A$2:$H$1946,6,FALSE),""))</f>
        <v/>
      </c>
      <c r="R1370" s="18" t="str">
        <f>IF($K1370="","",IFERROR(VLOOKUP(--SUBSTITUTE(SUBSTITUTE(TRIM($K1370),"-","")," ",""),마스터시트!$A$2:$H$1946,7,FALSE),""))</f>
        <v/>
      </c>
    </row>
    <row r="1371" spans="13:18" x14ac:dyDescent="0.3">
      <c r="M1371" s="18" t="str">
        <f>IF($K1371="","",IFERROR(VLOOKUP(--SUBSTITUTE(SUBSTITUTE(TRIM($K1371),"-","")," ",""),마스터시트!$A$2:$H$1946,2,FALSE),"미등록"))</f>
        <v/>
      </c>
      <c r="N1371" s="53" t="str">
        <f>IF($K1371="","",IFERROR(VLOOKUP(--SUBSTITUTE(SUBSTITUTE(TRIM($K1371),"-","")," ",""),마스터시트!$A$2:$H$1946,3,FALSE),"미등록"))</f>
        <v/>
      </c>
      <c r="O1371" s="18" t="str">
        <f>IF($K1371="","",IFERROR(VLOOKUP(--SUBSTITUTE(SUBSTITUTE(TRIM($K1371),"-","")," ",""),마스터시트!$A$2:$H$1946,4,FALSE),""))</f>
        <v/>
      </c>
      <c r="P1371" s="18" t="str">
        <f>IF($K1371="","",IFERROR(VLOOKUP(--SUBSTITUTE(SUBSTITUTE(TRIM($K1371),"-","")," ",""),마스터시트!$A$2:$H$1946,5,FALSE),""))</f>
        <v/>
      </c>
      <c r="Q1371" s="18" t="str">
        <f>IF($K1371="","",IFERROR(VLOOKUP(--SUBSTITUTE(SUBSTITUTE(TRIM($K1371),"-","")," ",""),마스터시트!$A$2:$H$1946,6,FALSE),""))</f>
        <v/>
      </c>
      <c r="R1371" s="18" t="str">
        <f>IF($K1371="","",IFERROR(VLOOKUP(--SUBSTITUTE(SUBSTITUTE(TRIM($K1371),"-","")," ",""),마스터시트!$A$2:$H$1946,7,FALSE),""))</f>
        <v/>
      </c>
    </row>
    <row r="1372" spans="13:18" x14ac:dyDescent="0.3">
      <c r="M1372" s="18" t="str">
        <f>IF($K1372="","",IFERROR(VLOOKUP(--SUBSTITUTE(SUBSTITUTE(TRIM($K1372),"-","")," ",""),마스터시트!$A$2:$H$1946,2,FALSE),"미등록"))</f>
        <v/>
      </c>
      <c r="N1372" s="53" t="str">
        <f>IF($K1372="","",IFERROR(VLOOKUP(--SUBSTITUTE(SUBSTITUTE(TRIM($K1372),"-","")," ",""),마스터시트!$A$2:$H$1946,3,FALSE),"미등록"))</f>
        <v/>
      </c>
      <c r="O1372" s="18" t="str">
        <f>IF($K1372="","",IFERROR(VLOOKUP(--SUBSTITUTE(SUBSTITUTE(TRIM($K1372),"-","")," ",""),마스터시트!$A$2:$H$1946,4,FALSE),""))</f>
        <v/>
      </c>
      <c r="P1372" s="18" t="str">
        <f>IF($K1372="","",IFERROR(VLOOKUP(--SUBSTITUTE(SUBSTITUTE(TRIM($K1372),"-","")," ",""),마스터시트!$A$2:$H$1946,5,FALSE),""))</f>
        <v/>
      </c>
      <c r="Q1372" s="18" t="str">
        <f>IF($K1372="","",IFERROR(VLOOKUP(--SUBSTITUTE(SUBSTITUTE(TRIM($K1372),"-","")," ",""),마스터시트!$A$2:$H$1946,6,FALSE),""))</f>
        <v/>
      </c>
      <c r="R1372" s="18" t="str">
        <f>IF($K1372="","",IFERROR(VLOOKUP(--SUBSTITUTE(SUBSTITUTE(TRIM($K1372),"-","")," ",""),마스터시트!$A$2:$H$1946,7,FALSE),""))</f>
        <v/>
      </c>
    </row>
    <row r="1373" spans="13:18" x14ac:dyDescent="0.3">
      <c r="M1373" s="18" t="str">
        <f>IF($K1373="","",IFERROR(VLOOKUP(--SUBSTITUTE(SUBSTITUTE(TRIM($K1373),"-","")," ",""),마스터시트!$A$2:$H$1946,2,FALSE),"미등록"))</f>
        <v/>
      </c>
      <c r="N1373" s="53" t="str">
        <f>IF($K1373="","",IFERROR(VLOOKUP(--SUBSTITUTE(SUBSTITUTE(TRIM($K1373),"-","")," ",""),마스터시트!$A$2:$H$1946,3,FALSE),"미등록"))</f>
        <v/>
      </c>
      <c r="O1373" s="18" t="str">
        <f>IF($K1373="","",IFERROR(VLOOKUP(--SUBSTITUTE(SUBSTITUTE(TRIM($K1373),"-","")," ",""),마스터시트!$A$2:$H$1946,4,FALSE),""))</f>
        <v/>
      </c>
      <c r="P1373" s="18" t="str">
        <f>IF($K1373="","",IFERROR(VLOOKUP(--SUBSTITUTE(SUBSTITUTE(TRIM($K1373),"-","")," ",""),마스터시트!$A$2:$H$1946,5,FALSE),""))</f>
        <v/>
      </c>
      <c r="Q1373" s="18" t="str">
        <f>IF($K1373="","",IFERROR(VLOOKUP(--SUBSTITUTE(SUBSTITUTE(TRIM($K1373),"-","")," ",""),마스터시트!$A$2:$H$1946,6,FALSE),""))</f>
        <v/>
      </c>
      <c r="R1373" s="18" t="str">
        <f>IF($K1373="","",IFERROR(VLOOKUP(--SUBSTITUTE(SUBSTITUTE(TRIM($K1373),"-","")," ",""),마스터시트!$A$2:$H$1946,7,FALSE),""))</f>
        <v/>
      </c>
    </row>
    <row r="1374" spans="13:18" x14ac:dyDescent="0.3">
      <c r="M1374" s="18" t="str">
        <f>IF($K1374="","",IFERROR(VLOOKUP(--SUBSTITUTE(SUBSTITUTE(TRIM($K1374),"-","")," ",""),마스터시트!$A$2:$H$1946,2,FALSE),"미등록"))</f>
        <v/>
      </c>
      <c r="N1374" s="53" t="str">
        <f>IF($K1374="","",IFERROR(VLOOKUP(--SUBSTITUTE(SUBSTITUTE(TRIM($K1374),"-","")," ",""),마스터시트!$A$2:$H$1946,3,FALSE),"미등록"))</f>
        <v/>
      </c>
      <c r="O1374" s="18" t="str">
        <f>IF($K1374="","",IFERROR(VLOOKUP(--SUBSTITUTE(SUBSTITUTE(TRIM($K1374),"-","")," ",""),마스터시트!$A$2:$H$1946,4,FALSE),""))</f>
        <v/>
      </c>
      <c r="P1374" s="18" t="str">
        <f>IF($K1374="","",IFERROR(VLOOKUP(--SUBSTITUTE(SUBSTITUTE(TRIM($K1374),"-","")," ",""),마스터시트!$A$2:$H$1946,5,FALSE),""))</f>
        <v/>
      </c>
      <c r="Q1374" s="18" t="str">
        <f>IF($K1374="","",IFERROR(VLOOKUP(--SUBSTITUTE(SUBSTITUTE(TRIM($K1374),"-","")," ",""),마스터시트!$A$2:$H$1946,6,FALSE),""))</f>
        <v/>
      </c>
      <c r="R1374" s="18" t="str">
        <f>IF($K1374="","",IFERROR(VLOOKUP(--SUBSTITUTE(SUBSTITUTE(TRIM($K1374),"-","")," ",""),마스터시트!$A$2:$H$1946,7,FALSE),""))</f>
        <v/>
      </c>
    </row>
    <row r="1375" spans="13:18" x14ac:dyDescent="0.3">
      <c r="M1375" s="18" t="str">
        <f>IF($K1375="","",IFERROR(VLOOKUP(--SUBSTITUTE(SUBSTITUTE(TRIM($K1375),"-","")," ",""),마스터시트!$A$2:$H$1946,2,FALSE),"미등록"))</f>
        <v/>
      </c>
      <c r="N1375" s="53" t="str">
        <f>IF($K1375="","",IFERROR(VLOOKUP(--SUBSTITUTE(SUBSTITUTE(TRIM($K1375),"-","")," ",""),마스터시트!$A$2:$H$1946,3,FALSE),"미등록"))</f>
        <v/>
      </c>
      <c r="O1375" s="18" t="str">
        <f>IF($K1375="","",IFERROR(VLOOKUP(--SUBSTITUTE(SUBSTITUTE(TRIM($K1375),"-","")," ",""),마스터시트!$A$2:$H$1946,4,FALSE),""))</f>
        <v/>
      </c>
      <c r="P1375" s="18" t="str">
        <f>IF($K1375="","",IFERROR(VLOOKUP(--SUBSTITUTE(SUBSTITUTE(TRIM($K1375),"-","")," ",""),마스터시트!$A$2:$H$1946,5,FALSE),""))</f>
        <v/>
      </c>
      <c r="Q1375" s="18" t="str">
        <f>IF($K1375="","",IFERROR(VLOOKUP(--SUBSTITUTE(SUBSTITUTE(TRIM($K1375),"-","")," ",""),마스터시트!$A$2:$H$1946,6,FALSE),""))</f>
        <v/>
      </c>
      <c r="R1375" s="18" t="str">
        <f>IF($K1375="","",IFERROR(VLOOKUP(--SUBSTITUTE(SUBSTITUTE(TRIM($K1375),"-","")," ",""),마스터시트!$A$2:$H$1946,7,FALSE),""))</f>
        <v/>
      </c>
    </row>
    <row r="1376" spans="13:18" x14ac:dyDescent="0.3">
      <c r="M1376" s="18" t="str">
        <f>IF($K1376="","",IFERROR(VLOOKUP(--SUBSTITUTE(SUBSTITUTE(TRIM($K1376),"-","")," ",""),마스터시트!$A$2:$H$1946,2,FALSE),"미등록"))</f>
        <v/>
      </c>
      <c r="N1376" s="53" t="str">
        <f>IF($K1376="","",IFERROR(VLOOKUP(--SUBSTITUTE(SUBSTITUTE(TRIM($K1376),"-","")," ",""),마스터시트!$A$2:$H$1946,3,FALSE),"미등록"))</f>
        <v/>
      </c>
      <c r="O1376" s="18" t="str">
        <f>IF($K1376="","",IFERROR(VLOOKUP(--SUBSTITUTE(SUBSTITUTE(TRIM($K1376),"-","")," ",""),마스터시트!$A$2:$H$1946,4,FALSE),""))</f>
        <v/>
      </c>
      <c r="P1376" s="18" t="str">
        <f>IF($K1376="","",IFERROR(VLOOKUP(--SUBSTITUTE(SUBSTITUTE(TRIM($K1376),"-","")," ",""),마스터시트!$A$2:$H$1946,5,FALSE),""))</f>
        <v/>
      </c>
      <c r="Q1376" s="18" t="str">
        <f>IF($K1376="","",IFERROR(VLOOKUP(--SUBSTITUTE(SUBSTITUTE(TRIM($K1376),"-","")," ",""),마스터시트!$A$2:$H$1946,6,FALSE),""))</f>
        <v/>
      </c>
      <c r="R1376" s="18" t="str">
        <f>IF($K1376="","",IFERROR(VLOOKUP(--SUBSTITUTE(SUBSTITUTE(TRIM($K1376),"-","")," ",""),마스터시트!$A$2:$H$1946,7,FALSE),""))</f>
        <v/>
      </c>
    </row>
    <row r="1377" spans="13:18" x14ac:dyDescent="0.3">
      <c r="M1377" s="18" t="str">
        <f>IF($K1377="","",IFERROR(VLOOKUP(--SUBSTITUTE(SUBSTITUTE(TRIM($K1377),"-","")," ",""),마스터시트!$A$2:$H$1946,2,FALSE),"미등록"))</f>
        <v/>
      </c>
      <c r="N1377" s="53" t="str">
        <f>IF($K1377="","",IFERROR(VLOOKUP(--SUBSTITUTE(SUBSTITUTE(TRIM($K1377),"-","")," ",""),마스터시트!$A$2:$H$1946,3,FALSE),"미등록"))</f>
        <v/>
      </c>
      <c r="O1377" s="18" t="str">
        <f>IF($K1377="","",IFERROR(VLOOKUP(--SUBSTITUTE(SUBSTITUTE(TRIM($K1377),"-","")," ",""),마스터시트!$A$2:$H$1946,4,FALSE),""))</f>
        <v/>
      </c>
      <c r="P1377" s="18" t="str">
        <f>IF($K1377="","",IFERROR(VLOOKUP(--SUBSTITUTE(SUBSTITUTE(TRIM($K1377),"-","")," ",""),마스터시트!$A$2:$H$1946,5,FALSE),""))</f>
        <v/>
      </c>
      <c r="Q1377" s="18" t="str">
        <f>IF($K1377="","",IFERROR(VLOOKUP(--SUBSTITUTE(SUBSTITUTE(TRIM($K1377),"-","")," ",""),마스터시트!$A$2:$H$1946,6,FALSE),""))</f>
        <v/>
      </c>
      <c r="R1377" s="18" t="str">
        <f>IF($K1377="","",IFERROR(VLOOKUP(--SUBSTITUTE(SUBSTITUTE(TRIM($K1377),"-","")," ",""),마스터시트!$A$2:$H$1946,7,FALSE),""))</f>
        <v/>
      </c>
    </row>
    <row r="1378" spans="13:18" x14ac:dyDescent="0.3">
      <c r="M1378" s="18" t="str">
        <f>IF($K1378="","",IFERROR(VLOOKUP(--SUBSTITUTE(SUBSTITUTE(TRIM($K1378),"-","")," ",""),마스터시트!$A$2:$H$1946,2,FALSE),"미등록"))</f>
        <v/>
      </c>
      <c r="N1378" s="53" t="str">
        <f>IF($K1378="","",IFERROR(VLOOKUP(--SUBSTITUTE(SUBSTITUTE(TRIM($K1378),"-","")," ",""),마스터시트!$A$2:$H$1946,3,FALSE),"미등록"))</f>
        <v/>
      </c>
      <c r="O1378" s="18" t="str">
        <f>IF($K1378="","",IFERROR(VLOOKUP(--SUBSTITUTE(SUBSTITUTE(TRIM($K1378),"-","")," ",""),마스터시트!$A$2:$H$1946,4,FALSE),""))</f>
        <v/>
      </c>
      <c r="P1378" s="18" t="str">
        <f>IF($K1378="","",IFERROR(VLOOKUP(--SUBSTITUTE(SUBSTITUTE(TRIM($K1378),"-","")," ",""),마스터시트!$A$2:$H$1946,5,FALSE),""))</f>
        <v/>
      </c>
      <c r="Q1378" s="18" t="str">
        <f>IF($K1378="","",IFERROR(VLOOKUP(--SUBSTITUTE(SUBSTITUTE(TRIM($K1378),"-","")," ",""),마스터시트!$A$2:$H$1946,6,FALSE),""))</f>
        <v/>
      </c>
      <c r="R1378" s="18" t="str">
        <f>IF($K1378="","",IFERROR(VLOOKUP(--SUBSTITUTE(SUBSTITUTE(TRIM($K1378),"-","")," ",""),마스터시트!$A$2:$H$1946,7,FALSE),""))</f>
        <v/>
      </c>
    </row>
    <row r="1379" spans="13:18" x14ac:dyDescent="0.3">
      <c r="M1379" s="18" t="str">
        <f>IF($K1379="","",IFERROR(VLOOKUP(--SUBSTITUTE(SUBSTITUTE(TRIM($K1379),"-","")," ",""),마스터시트!$A$2:$H$1946,2,FALSE),"미등록"))</f>
        <v/>
      </c>
      <c r="N1379" s="53" t="str">
        <f>IF($K1379="","",IFERROR(VLOOKUP(--SUBSTITUTE(SUBSTITUTE(TRIM($K1379),"-","")," ",""),마스터시트!$A$2:$H$1946,3,FALSE),"미등록"))</f>
        <v/>
      </c>
      <c r="O1379" s="18" t="str">
        <f>IF($K1379="","",IFERROR(VLOOKUP(--SUBSTITUTE(SUBSTITUTE(TRIM($K1379),"-","")," ",""),마스터시트!$A$2:$H$1946,4,FALSE),""))</f>
        <v/>
      </c>
      <c r="P1379" s="18" t="str">
        <f>IF($K1379="","",IFERROR(VLOOKUP(--SUBSTITUTE(SUBSTITUTE(TRIM($K1379),"-","")," ",""),마스터시트!$A$2:$H$1946,5,FALSE),""))</f>
        <v/>
      </c>
      <c r="Q1379" s="18" t="str">
        <f>IF($K1379="","",IFERROR(VLOOKUP(--SUBSTITUTE(SUBSTITUTE(TRIM($K1379),"-","")," ",""),마스터시트!$A$2:$H$1946,6,FALSE),""))</f>
        <v/>
      </c>
      <c r="R1379" s="18" t="str">
        <f>IF($K1379="","",IFERROR(VLOOKUP(--SUBSTITUTE(SUBSTITUTE(TRIM($K1379),"-","")," ",""),마스터시트!$A$2:$H$1946,7,FALSE),""))</f>
        <v/>
      </c>
    </row>
    <row r="1380" spans="13:18" x14ac:dyDescent="0.3">
      <c r="M1380" s="18" t="str">
        <f>IF($K1380="","",IFERROR(VLOOKUP(--SUBSTITUTE(SUBSTITUTE(TRIM($K1380),"-","")," ",""),마스터시트!$A$2:$H$1946,2,FALSE),"미등록"))</f>
        <v/>
      </c>
      <c r="N1380" s="53" t="str">
        <f>IF($K1380="","",IFERROR(VLOOKUP(--SUBSTITUTE(SUBSTITUTE(TRIM($K1380),"-","")," ",""),마스터시트!$A$2:$H$1946,3,FALSE),"미등록"))</f>
        <v/>
      </c>
      <c r="O1380" s="18" t="str">
        <f>IF($K1380="","",IFERROR(VLOOKUP(--SUBSTITUTE(SUBSTITUTE(TRIM($K1380),"-","")," ",""),마스터시트!$A$2:$H$1946,4,FALSE),""))</f>
        <v/>
      </c>
      <c r="P1380" s="18" t="str">
        <f>IF($K1380="","",IFERROR(VLOOKUP(--SUBSTITUTE(SUBSTITUTE(TRIM($K1380),"-","")," ",""),마스터시트!$A$2:$H$1946,5,FALSE),""))</f>
        <v/>
      </c>
      <c r="Q1380" s="18" t="str">
        <f>IF($K1380="","",IFERROR(VLOOKUP(--SUBSTITUTE(SUBSTITUTE(TRIM($K1380),"-","")," ",""),마스터시트!$A$2:$H$1946,6,FALSE),""))</f>
        <v/>
      </c>
      <c r="R1380" s="18" t="str">
        <f>IF($K1380="","",IFERROR(VLOOKUP(--SUBSTITUTE(SUBSTITUTE(TRIM($K1380),"-","")," ",""),마스터시트!$A$2:$H$1946,7,FALSE),""))</f>
        <v/>
      </c>
    </row>
    <row r="1381" spans="13:18" x14ac:dyDescent="0.3">
      <c r="M1381" s="18" t="str">
        <f>IF($K1381="","",IFERROR(VLOOKUP(--SUBSTITUTE(SUBSTITUTE(TRIM($K1381),"-","")," ",""),마스터시트!$A$2:$H$1946,2,FALSE),"미등록"))</f>
        <v/>
      </c>
      <c r="N1381" s="53" t="str">
        <f>IF($K1381="","",IFERROR(VLOOKUP(--SUBSTITUTE(SUBSTITUTE(TRIM($K1381),"-","")," ",""),마스터시트!$A$2:$H$1946,3,FALSE),"미등록"))</f>
        <v/>
      </c>
      <c r="O1381" s="18" t="str">
        <f>IF($K1381="","",IFERROR(VLOOKUP(--SUBSTITUTE(SUBSTITUTE(TRIM($K1381),"-","")," ",""),마스터시트!$A$2:$H$1946,4,FALSE),""))</f>
        <v/>
      </c>
      <c r="P1381" s="18" t="str">
        <f>IF($K1381="","",IFERROR(VLOOKUP(--SUBSTITUTE(SUBSTITUTE(TRIM($K1381),"-","")," ",""),마스터시트!$A$2:$H$1946,5,FALSE),""))</f>
        <v/>
      </c>
      <c r="Q1381" s="18" t="str">
        <f>IF($K1381="","",IFERROR(VLOOKUP(--SUBSTITUTE(SUBSTITUTE(TRIM($K1381),"-","")," ",""),마스터시트!$A$2:$H$1946,6,FALSE),""))</f>
        <v/>
      </c>
      <c r="R1381" s="18" t="str">
        <f>IF($K1381="","",IFERROR(VLOOKUP(--SUBSTITUTE(SUBSTITUTE(TRIM($K1381),"-","")," ",""),마스터시트!$A$2:$H$1946,7,FALSE),""))</f>
        <v/>
      </c>
    </row>
    <row r="1382" spans="13:18" x14ac:dyDescent="0.3">
      <c r="M1382" s="18" t="str">
        <f>IF($K1382="","",IFERROR(VLOOKUP(--SUBSTITUTE(SUBSTITUTE(TRIM($K1382),"-","")," ",""),마스터시트!$A$2:$H$1946,2,FALSE),"미등록"))</f>
        <v/>
      </c>
      <c r="N1382" s="53" t="str">
        <f>IF($K1382="","",IFERROR(VLOOKUP(--SUBSTITUTE(SUBSTITUTE(TRIM($K1382),"-","")," ",""),마스터시트!$A$2:$H$1946,3,FALSE),"미등록"))</f>
        <v/>
      </c>
      <c r="O1382" s="18" t="str">
        <f>IF($K1382="","",IFERROR(VLOOKUP(--SUBSTITUTE(SUBSTITUTE(TRIM($K1382),"-","")," ",""),마스터시트!$A$2:$H$1946,4,FALSE),""))</f>
        <v/>
      </c>
      <c r="P1382" s="18" t="str">
        <f>IF($K1382="","",IFERROR(VLOOKUP(--SUBSTITUTE(SUBSTITUTE(TRIM($K1382),"-","")," ",""),마스터시트!$A$2:$H$1946,5,FALSE),""))</f>
        <v/>
      </c>
      <c r="Q1382" s="18" t="str">
        <f>IF($K1382="","",IFERROR(VLOOKUP(--SUBSTITUTE(SUBSTITUTE(TRIM($K1382),"-","")," ",""),마스터시트!$A$2:$H$1946,6,FALSE),""))</f>
        <v/>
      </c>
      <c r="R1382" s="18" t="str">
        <f>IF($K1382="","",IFERROR(VLOOKUP(--SUBSTITUTE(SUBSTITUTE(TRIM($K1382),"-","")," ",""),마스터시트!$A$2:$H$1946,7,FALSE),""))</f>
        <v/>
      </c>
    </row>
    <row r="1383" spans="13:18" x14ac:dyDescent="0.3">
      <c r="M1383" s="18" t="str">
        <f>IF($K1383="","",IFERROR(VLOOKUP(--SUBSTITUTE(SUBSTITUTE(TRIM($K1383),"-","")," ",""),마스터시트!$A$2:$H$1946,2,FALSE),"미등록"))</f>
        <v/>
      </c>
      <c r="N1383" s="53" t="str">
        <f>IF($K1383="","",IFERROR(VLOOKUP(--SUBSTITUTE(SUBSTITUTE(TRIM($K1383),"-","")," ",""),마스터시트!$A$2:$H$1946,3,FALSE),"미등록"))</f>
        <v/>
      </c>
      <c r="O1383" s="18" t="str">
        <f>IF($K1383="","",IFERROR(VLOOKUP(--SUBSTITUTE(SUBSTITUTE(TRIM($K1383),"-","")," ",""),마스터시트!$A$2:$H$1946,4,FALSE),""))</f>
        <v/>
      </c>
      <c r="P1383" s="18" t="str">
        <f>IF($K1383="","",IFERROR(VLOOKUP(--SUBSTITUTE(SUBSTITUTE(TRIM($K1383),"-","")," ",""),마스터시트!$A$2:$H$1946,5,FALSE),""))</f>
        <v/>
      </c>
      <c r="Q1383" s="18" t="str">
        <f>IF($K1383="","",IFERROR(VLOOKUP(--SUBSTITUTE(SUBSTITUTE(TRIM($K1383),"-","")," ",""),마스터시트!$A$2:$H$1946,6,FALSE),""))</f>
        <v/>
      </c>
      <c r="R1383" s="18" t="str">
        <f>IF($K1383="","",IFERROR(VLOOKUP(--SUBSTITUTE(SUBSTITUTE(TRIM($K1383),"-","")," ",""),마스터시트!$A$2:$H$1946,7,FALSE),""))</f>
        <v/>
      </c>
    </row>
    <row r="1384" spans="13:18" x14ac:dyDescent="0.3">
      <c r="M1384" s="18" t="str">
        <f>IF($K1384="","",IFERROR(VLOOKUP(--SUBSTITUTE(SUBSTITUTE(TRIM($K1384),"-","")," ",""),마스터시트!$A$2:$H$1946,2,FALSE),"미등록"))</f>
        <v/>
      </c>
      <c r="N1384" s="53" t="str">
        <f>IF($K1384="","",IFERROR(VLOOKUP(--SUBSTITUTE(SUBSTITUTE(TRIM($K1384),"-","")," ",""),마스터시트!$A$2:$H$1946,3,FALSE),"미등록"))</f>
        <v/>
      </c>
      <c r="O1384" s="18" t="str">
        <f>IF($K1384="","",IFERROR(VLOOKUP(--SUBSTITUTE(SUBSTITUTE(TRIM($K1384),"-","")," ",""),마스터시트!$A$2:$H$1946,4,FALSE),""))</f>
        <v/>
      </c>
      <c r="P1384" s="18" t="str">
        <f>IF($K1384="","",IFERROR(VLOOKUP(--SUBSTITUTE(SUBSTITUTE(TRIM($K1384),"-","")," ",""),마스터시트!$A$2:$H$1946,5,FALSE),""))</f>
        <v/>
      </c>
      <c r="Q1384" s="18" t="str">
        <f>IF($K1384="","",IFERROR(VLOOKUP(--SUBSTITUTE(SUBSTITUTE(TRIM($K1384),"-","")," ",""),마스터시트!$A$2:$H$1946,6,FALSE),""))</f>
        <v/>
      </c>
      <c r="R1384" s="18" t="str">
        <f>IF($K1384="","",IFERROR(VLOOKUP(--SUBSTITUTE(SUBSTITUTE(TRIM($K1384),"-","")," ",""),마스터시트!$A$2:$H$1946,7,FALSE),""))</f>
        <v/>
      </c>
    </row>
    <row r="1385" spans="13:18" x14ac:dyDescent="0.3">
      <c r="M1385" s="18" t="str">
        <f>IF($K1385="","",IFERROR(VLOOKUP(--SUBSTITUTE(SUBSTITUTE(TRIM($K1385),"-","")," ",""),마스터시트!$A$2:$H$1946,2,FALSE),"미등록"))</f>
        <v/>
      </c>
      <c r="N1385" s="53" t="str">
        <f>IF($K1385="","",IFERROR(VLOOKUP(--SUBSTITUTE(SUBSTITUTE(TRIM($K1385),"-","")," ",""),마스터시트!$A$2:$H$1946,3,FALSE),"미등록"))</f>
        <v/>
      </c>
      <c r="O1385" s="18" t="str">
        <f>IF($K1385="","",IFERROR(VLOOKUP(--SUBSTITUTE(SUBSTITUTE(TRIM($K1385),"-","")," ",""),마스터시트!$A$2:$H$1946,4,FALSE),""))</f>
        <v/>
      </c>
      <c r="P1385" s="18" t="str">
        <f>IF($K1385="","",IFERROR(VLOOKUP(--SUBSTITUTE(SUBSTITUTE(TRIM($K1385),"-","")," ",""),마스터시트!$A$2:$H$1946,5,FALSE),""))</f>
        <v/>
      </c>
      <c r="Q1385" s="18" t="str">
        <f>IF($K1385="","",IFERROR(VLOOKUP(--SUBSTITUTE(SUBSTITUTE(TRIM($K1385),"-","")," ",""),마스터시트!$A$2:$H$1946,6,FALSE),""))</f>
        <v/>
      </c>
      <c r="R1385" s="18" t="str">
        <f>IF($K1385="","",IFERROR(VLOOKUP(--SUBSTITUTE(SUBSTITUTE(TRIM($K1385),"-","")," ",""),마스터시트!$A$2:$H$1946,7,FALSE),""))</f>
        <v/>
      </c>
    </row>
    <row r="1386" spans="13:18" x14ac:dyDescent="0.3">
      <c r="M1386" s="18" t="str">
        <f>IF($K1386="","",IFERROR(VLOOKUP(--SUBSTITUTE(SUBSTITUTE(TRIM($K1386),"-","")," ",""),마스터시트!$A$2:$H$1946,2,FALSE),"미등록"))</f>
        <v/>
      </c>
      <c r="N1386" s="53" t="str">
        <f>IF($K1386="","",IFERROR(VLOOKUP(--SUBSTITUTE(SUBSTITUTE(TRIM($K1386),"-","")," ",""),마스터시트!$A$2:$H$1946,3,FALSE),"미등록"))</f>
        <v/>
      </c>
      <c r="O1386" s="18" t="str">
        <f>IF($K1386="","",IFERROR(VLOOKUP(--SUBSTITUTE(SUBSTITUTE(TRIM($K1386),"-","")," ",""),마스터시트!$A$2:$H$1946,4,FALSE),""))</f>
        <v/>
      </c>
      <c r="P1386" s="18" t="str">
        <f>IF($K1386="","",IFERROR(VLOOKUP(--SUBSTITUTE(SUBSTITUTE(TRIM($K1386),"-","")," ",""),마스터시트!$A$2:$H$1946,5,FALSE),""))</f>
        <v/>
      </c>
      <c r="Q1386" s="18" t="str">
        <f>IF($K1386="","",IFERROR(VLOOKUP(--SUBSTITUTE(SUBSTITUTE(TRIM($K1386),"-","")," ",""),마스터시트!$A$2:$H$1946,6,FALSE),""))</f>
        <v/>
      </c>
      <c r="R1386" s="18" t="str">
        <f>IF($K1386="","",IFERROR(VLOOKUP(--SUBSTITUTE(SUBSTITUTE(TRIM($K1386),"-","")," ",""),마스터시트!$A$2:$H$1946,7,FALSE),""))</f>
        <v/>
      </c>
    </row>
    <row r="1387" spans="13:18" x14ac:dyDescent="0.3">
      <c r="M1387" s="18" t="str">
        <f>IF($K1387="","",IFERROR(VLOOKUP(--SUBSTITUTE(SUBSTITUTE(TRIM($K1387),"-","")," ",""),마스터시트!$A$2:$H$1946,2,FALSE),"미등록"))</f>
        <v/>
      </c>
      <c r="N1387" s="53" t="str">
        <f>IF($K1387="","",IFERROR(VLOOKUP(--SUBSTITUTE(SUBSTITUTE(TRIM($K1387),"-","")," ",""),마스터시트!$A$2:$H$1946,3,FALSE),"미등록"))</f>
        <v/>
      </c>
      <c r="O1387" s="18" t="str">
        <f>IF($K1387="","",IFERROR(VLOOKUP(--SUBSTITUTE(SUBSTITUTE(TRIM($K1387),"-","")," ",""),마스터시트!$A$2:$H$1946,4,FALSE),""))</f>
        <v/>
      </c>
      <c r="P1387" s="18" t="str">
        <f>IF($K1387="","",IFERROR(VLOOKUP(--SUBSTITUTE(SUBSTITUTE(TRIM($K1387),"-","")," ",""),마스터시트!$A$2:$H$1946,5,FALSE),""))</f>
        <v/>
      </c>
      <c r="Q1387" s="18" t="str">
        <f>IF($K1387="","",IFERROR(VLOOKUP(--SUBSTITUTE(SUBSTITUTE(TRIM($K1387),"-","")," ",""),마스터시트!$A$2:$H$1946,6,FALSE),""))</f>
        <v/>
      </c>
      <c r="R1387" s="18" t="str">
        <f>IF($K1387="","",IFERROR(VLOOKUP(--SUBSTITUTE(SUBSTITUTE(TRIM($K1387),"-","")," ",""),마스터시트!$A$2:$H$1946,7,FALSE),""))</f>
        <v/>
      </c>
    </row>
    <row r="1388" spans="13:18" x14ac:dyDescent="0.3">
      <c r="M1388" s="18" t="str">
        <f>IF($K1388="","",IFERROR(VLOOKUP(--SUBSTITUTE(SUBSTITUTE(TRIM($K1388),"-","")," ",""),마스터시트!$A$2:$H$1946,2,FALSE),"미등록"))</f>
        <v/>
      </c>
      <c r="N1388" s="53" t="str">
        <f>IF($K1388="","",IFERROR(VLOOKUP(--SUBSTITUTE(SUBSTITUTE(TRIM($K1388),"-","")," ",""),마스터시트!$A$2:$H$1946,3,FALSE),"미등록"))</f>
        <v/>
      </c>
      <c r="O1388" s="18" t="str">
        <f>IF($K1388="","",IFERROR(VLOOKUP(--SUBSTITUTE(SUBSTITUTE(TRIM($K1388),"-","")," ",""),마스터시트!$A$2:$H$1946,4,FALSE),""))</f>
        <v/>
      </c>
      <c r="P1388" s="18" t="str">
        <f>IF($K1388="","",IFERROR(VLOOKUP(--SUBSTITUTE(SUBSTITUTE(TRIM($K1388),"-","")," ",""),마스터시트!$A$2:$H$1946,5,FALSE),""))</f>
        <v/>
      </c>
      <c r="Q1388" s="18" t="str">
        <f>IF($K1388="","",IFERROR(VLOOKUP(--SUBSTITUTE(SUBSTITUTE(TRIM($K1388),"-","")," ",""),마스터시트!$A$2:$H$1946,6,FALSE),""))</f>
        <v/>
      </c>
      <c r="R1388" s="18" t="str">
        <f>IF($K1388="","",IFERROR(VLOOKUP(--SUBSTITUTE(SUBSTITUTE(TRIM($K1388),"-","")," ",""),마스터시트!$A$2:$H$1946,7,FALSE),""))</f>
        <v/>
      </c>
    </row>
    <row r="1389" spans="13:18" x14ac:dyDescent="0.3">
      <c r="M1389" s="18" t="str">
        <f>IF($K1389="","",IFERROR(VLOOKUP(--SUBSTITUTE(SUBSTITUTE(TRIM($K1389),"-","")," ",""),마스터시트!$A$2:$H$1946,2,FALSE),"미등록"))</f>
        <v/>
      </c>
      <c r="N1389" s="53" t="str">
        <f>IF($K1389="","",IFERROR(VLOOKUP(--SUBSTITUTE(SUBSTITUTE(TRIM($K1389),"-","")," ",""),마스터시트!$A$2:$H$1946,3,FALSE),"미등록"))</f>
        <v/>
      </c>
      <c r="O1389" s="18" t="str">
        <f>IF($K1389="","",IFERROR(VLOOKUP(--SUBSTITUTE(SUBSTITUTE(TRIM($K1389),"-","")," ",""),마스터시트!$A$2:$H$1946,4,FALSE),""))</f>
        <v/>
      </c>
      <c r="P1389" s="18" t="str">
        <f>IF($K1389="","",IFERROR(VLOOKUP(--SUBSTITUTE(SUBSTITUTE(TRIM($K1389),"-","")," ",""),마스터시트!$A$2:$H$1946,5,FALSE),""))</f>
        <v/>
      </c>
      <c r="Q1389" s="18" t="str">
        <f>IF($K1389="","",IFERROR(VLOOKUP(--SUBSTITUTE(SUBSTITUTE(TRIM($K1389),"-","")," ",""),마스터시트!$A$2:$H$1946,6,FALSE),""))</f>
        <v/>
      </c>
      <c r="R1389" s="18" t="str">
        <f>IF($K1389="","",IFERROR(VLOOKUP(--SUBSTITUTE(SUBSTITUTE(TRIM($K1389),"-","")," ",""),마스터시트!$A$2:$H$1946,7,FALSE),""))</f>
        <v/>
      </c>
    </row>
    <row r="1390" spans="13:18" x14ac:dyDescent="0.3">
      <c r="M1390" s="18" t="str">
        <f>IF($K1390="","",IFERROR(VLOOKUP(--SUBSTITUTE(SUBSTITUTE(TRIM($K1390),"-","")," ",""),마스터시트!$A$2:$H$1946,2,FALSE),"미등록"))</f>
        <v/>
      </c>
      <c r="N1390" s="53" t="str">
        <f>IF($K1390="","",IFERROR(VLOOKUP(--SUBSTITUTE(SUBSTITUTE(TRIM($K1390),"-","")," ",""),마스터시트!$A$2:$H$1946,3,FALSE),"미등록"))</f>
        <v/>
      </c>
      <c r="O1390" s="18" t="str">
        <f>IF($K1390="","",IFERROR(VLOOKUP(--SUBSTITUTE(SUBSTITUTE(TRIM($K1390),"-","")," ",""),마스터시트!$A$2:$H$1946,4,FALSE),""))</f>
        <v/>
      </c>
      <c r="P1390" s="18" t="str">
        <f>IF($K1390="","",IFERROR(VLOOKUP(--SUBSTITUTE(SUBSTITUTE(TRIM($K1390),"-","")," ",""),마스터시트!$A$2:$H$1946,5,FALSE),""))</f>
        <v/>
      </c>
      <c r="Q1390" s="18" t="str">
        <f>IF($K1390="","",IFERROR(VLOOKUP(--SUBSTITUTE(SUBSTITUTE(TRIM($K1390),"-","")," ",""),마스터시트!$A$2:$H$1946,6,FALSE),""))</f>
        <v/>
      </c>
      <c r="R1390" s="18" t="str">
        <f>IF($K1390="","",IFERROR(VLOOKUP(--SUBSTITUTE(SUBSTITUTE(TRIM($K1390),"-","")," ",""),마스터시트!$A$2:$H$1946,7,FALSE),""))</f>
        <v/>
      </c>
    </row>
    <row r="1391" spans="13:18" x14ac:dyDescent="0.3">
      <c r="M1391" s="18" t="str">
        <f>IF($K1391="","",IFERROR(VLOOKUP(--SUBSTITUTE(SUBSTITUTE(TRIM($K1391),"-","")," ",""),마스터시트!$A$2:$H$1946,2,FALSE),"미등록"))</f>
        <v/>
      </c>
      <c r="N1391" s="53" t="str">
        <f>IF($K1391="","",IFERROR(VLOOKUP(--SUBSTITUTE(SUBSTITUTE(TRIM($K1391),"-","")," ",""),마스터시트!$A$2:$H$1946,3,FALSE),"미등록"))</f>
        <v/>
      </c>
      <c r="O1391" s="18" t="str">
        <f>IF($K1391="","",IFERROR(VLOOKUP(--SUBSTITUTE(SUBSTITUTE(TRIM($K1391),"-","")," ",""),마스터시트!$A$2:$H$1946,4,FALSE),""))</f>
        <v/>
      </c>
      <c r="P1391" s="18" t="str">
        <f>IF($K1391="","",IFERROR(VLOOKUP(--SUBSTITUTE(SUBSTITUTE(TRIM($K1391),"-","")," ",""),마스터시트!$A$2:$H$1946,5,FALSE),""))</f>
        <v/>
      </c>
      <c r="Q1391" s="18" t="str">
        <f>IF($K1391="","",IFERROR(VLOOKUP(--SUBSTITUTE(SUBSTITUTE(TRIM($K1391),"-","")," ",""),마스터시트!$A$2:$H$1946,6,FALSE),""))</f>
        <v/>
      </c>
      <c r="R1391" s="18" t="str">
        <f>IF($K1391="","",IFERROR(VLOOKUP(--SUBSTITUTE(SUBSTITUTE(TRIM($K1391),"-","")," ",""),마스터시트!$A$2:$H$1946,7,FALSE),""))</f>
        <v/>
      </c>
    </row>
    <row r="1392" spans="13:18" x14ac:dyDescent="0.3">
      <c r="M1392" s="18" t="str">
        <f>IF($K1392="","",IFERROR(VLOOKUP(--SUBSTITUTE(SUBSTITUTE(TRIM($K1392),"-","")," ",""),마스터시트!$A$2:$H$1946,2,FALSE),"미등록"))</f>
        <v/>
      </c>
      <c r="N1392" s="53" t="str">
        <f>IF($K1392="","",IFERROR(VLOOKUP(--SUBSTITUTE(SUBSTITUTE(TRIM($K1392),"-","")," ",""),마스터시트!$A$2:$H$1946,3,FALSE),"미등록"))</f>
        <v/>
      </c>
      <c r="O1392" s="18" t="str">
        <f>IF($K1392="","",IFERROR(VLOOKUP(--SUBSTITUTE(SUBSTITUTE(TRIM($K1392),"-","")," ",""),마스터시트!$A$2:$H$1946,4,FALSE),""))</f>
        <v/>
      </c>
      <c r="P1392" s="18" t="str">
        <f>IF($K1392="","",IFERROR(VLOOKUP(--SUBSTITUTE(SUBSTITUTE(TRIM($K1392),"-","")," ",""),마스터시트!$A$2:$H$1946,5,FALSE),""))</f>
        <v/>
      </c>
      <c r="Q1392" s="18" t="str">
        <f>IF($K1392="","",IFERROR(VLOOKUP(--SUBSTITUTE(SUBSTITUTE(TRIM($K1392),"-","")," ",""),마스터시트!$A$2:$H$1946,6,FALSE),""))</f>
        <v/>
      </c>
      <c r="R1392" s="18" t="str">
        <f>IF($K1392="","",IFERROR(VLOOKUP(--SUBSTITUTE(SUBSTITUTE(TRIM($K1392),"-","")," ",""),마스터시트!$A$2:$H$1946,7,FALSE),""))</f>
        <v/>
      </c>
    </row>
    <row r="1393" spans="13:18" x14ac:dyDescent="0.3">
      <c r="M1393" s="18" t="str">
        <f>IF($K1393="","",IFERROR(VLOOKUP(--SUBSTITUTE(SUBSTITUTE(TRIM($K1393),"-","")," ",""),마스터시트!$A$2:$H$1946,2,FALSE),"미등록"))</f>
        <v/>
      </c>
      <c r="N1393" s="53" t="str">
        <f>IF($K1393="","",IFERROR(VLOOKUP(--SUBSTITUTE(SUBSTITUTE(TRIM($K1393),"-","")," ",""),마스터시트!$A$2:$H$1946,3,FALSE),"미등록"))</f>
        <v/>
      </c>
      <c r="O1393" s="18" t="str">
        <f>IF($K1393="","",IFERROR(VLOOKUP(--SUBSTITUTE(SUBSTITUTE(TRIM($K1393),"-","")," ",""),마스터시트!$A$2:$H$1946,4,FALSE),""))</f>
        <v/>
      </c>
      <c r="P1393" s="18" t="str">
        <f>IF($K1393="","",IFERROR(VLOOKUP(--SUBSTITUTE(SUBSTITUTE(TRIM($K1393),"-","")," ",""),마스터시트!$A$2:$H$1946,5,FALSE),""))</f>
        <v/>
      </c>
      <c r="Q1393" s="18" t="str">
        <f>IF($K1393="","",IFERROR(VLOOKUP(--SUBSTITUTE(SUBSTITUTE(TRIM($K1393),"-","")," ",""),마스터시트!$A$2:$H$1946,6,FALSE),""))</f>
        <v/>
      </c>
      <c r="R1393" s="18" t="str">
        <f>IF($K1393="","",IFERROR(VLOOKUP(--SUBSTITUTE(SUBSTITUTE(TRIM($K1393),"-","")," ",""),마스터시트!$A$2:$H$1946,7,FALSE),""))</f>
        <v/>
      </c>
    </row>
    <row r="1394" spans="13:18" x14ac:dyDescent="0.3">
      <c r="M1394" s="18" t="str">
        <f>IF($K1394="","",IFERROR(VLOOKUP(--SUBSTITUTE(SUBSTITUTE(TRIM($K1394),"-","")," ",""),마스터시트!$A$2:$H$1946,2,FALSE),"미등록"))</f>
        <v/>
      </c>
      <c r="N1394" s="53" t="str">
        <f>IF($K1394="","",IFERROR(VLOOKUP(--SUBSTITUTE(SUBSTITUTE(TRIM($K1394),"-","")," ",""),마스터시트!$A$2:$H$1946,3,FALSE),"미등록"))</f>
        <v/>
      </c>
      <c r="O1394" s="18" t="str">
        <f>IF($K1394="","",IFERROR(VLOOKUP(--SUBSTITUTE(SUBSTITUTE(TRIM($K1394),"-","")," ",""),마스터시트!$A$2:$H$1946,4,FALSE),""))</f>
        <v/>
      </c>
      <c r="P1394" s="18" t="str">
        <f>IF($K1394="","",IFERROR(VLOOKUP(--SUBSTITUTE(SUBSTITUTE(TRIM($K1394),"-","")," ",""),마스터시트!$A$2:$H$1946,5,FALSE),""))</f>
        <v/>
      </c>
      <c r="Q1394" s="18" t="str">
        <f>IF($K1394="","",IFERROR(VLOOKUP(--SUBSTITUTE(SUBSTITUTE(TRIM($K1394),"-","")," ",""),마스터시트!$A$2:$H$1946,6,FALSE),""))</f>
        <v/>
      </c>
      <c r="R1394" s="18" t="str">
        <f>IF($K1394="","",IFERROR(VLOOKUP(--SUBSTITUTE(SUBSTITUTE(TRIM($K1394),"-","")," ",""),마스터시트!$A$2:$H$1946,7,FALSE),""))</f>
        <v/>
      </c>
    </row>
    <row r="1395" spans="13:18" x14ac:dyDescent="0.3">
      <c r="M1395" s="18" t="str">
        <f>IF($K1395="","",IFERROR(VLOOKUP(--SUBSTITUTE(SUBSTITUTE(TRIM($K1395),"-","")," ",""),마스터시트!$A$2:$H$1946,2,FALSE),"미등록"))</f>
        <v/>
      </c>
      <c r="N1395" s="53" t="str">
        <f>IF($K1395="","",IFERROR(VLOOKUP(--SUBSTITUTE(SUBSTITUTE(TRIM($K1395),"-","")," ",""),마스터시트!$A$2:$H$1946,3,FALSE),"미등록"))</f>
        <v/>
      </c>
      <c r="O1395" s="18" t="str">
        <f>IF($K1395="","",IFERROR(VLOOKUP(--SUBSTITUTE(SUBSTITUTE(TRIM($K1395),"-","")," ",""),마스터시트!$A$2:$H$1946,4,FALSE),""))</f>
        <v/>
      </c>
      <c r="P1395" s="18" t="str">
        <f>IF($K1395="","",IFERROR(VLOOKUP(--SUBSTITUTE(SUBSTITUTE(TRIM($K1395),"-","")," ",""),마스터시트!$A$2:$H$1946,5,FALSE),""))</f>
        <v/>
      </c>
      <c r="Q1395" s="18" t="str">
        <f>IF($K1395="","",IFERROR(VLOOKUP(--SUBSTITUTE(SUBSTITUTE(TRIM($K1395),"-","")," ",""),마스터시트!$A$2:$H$1946,6,FALSE),""))</f>
        <v/>
      </c>
      <c r="R1395" s="18" t="str">
        <f>IF($K1395="","",IFERROR(VLOOKUP(--SUBSTITUTE(SUBSTITUTE(TRIM($K1395),"-","")," ",""),마스터시트!$A$2:$H$1946,7,FALSE),""))</f>
        <v/>
      </c>
    </row>
    <row r="1396" spans="13:18" x14ac:dyDescent="0.3">
      <c r="M1396" s="18" t="str">
        <f>IF($K1396="","",IFERROR(VLOOKUP(--SUBSTITUTE(SUBSTITUTE(TRIM($K1396),"-","")," ",""),마스터시트!$A$2:$H$1946,2,FALSE),"미등록"))</f>
        <v/>
      </c>
      <c r="N1396" s="53" t="str">
        <f>IF($K1396="","",IFERROR(VLOOKUP(--SUBSTITUTE(SUBSTITUTE(TRIM($K1396),"-","")," ",""),마스터시트!$A$2:$H$1946,3,FALSE),"미등록"))</f>
        <v/>
      </c>
      <c r="O1396" s="18" t="str">
        <f>IF($K1396="","",IFERROR(VLOOKUP(--SUBSTITUTE(SUBSTITUTE(TRIM($K1396),"-","")," ",""),마스터시트!$A$2:$H$1946,4,FALSE),""))</f>
        <v/>
      </c>
      <c r="P1396" s="18" t="str">
        <f>IF($K1396="","",IFERROR(VLOOKUP(--SUBSTITUTE(SUBSTITUTE(TRIM($K1396),"-","")," ",""),마스터시트!$A$2:$H$1946,5,FALSE),""))</f>
        <v/>
      </c>
      <c r="Q1396" s="18" t="str">
        <f>IF($K1396="","",IFERROR(VLOOKUP(--SUBSTITUTE(SUBSTITUTE(TRIM($K1396),"-","")," ",""),마스터시트!$A$2:$H$1946,6,FALSE),""))</f>
        <v/>
      </c>
      <c r="R1396" s="18" t="str">
        <f>IF($K1396="","",IFERROR(VLOOKUP(--SUBSTITUTE(SUBSTITUTE(TRIM($K1396),"-","")," ",""),마스터시트!$A$2:$H$1946,7,FALSE),""))</f>
        <v/>
      </c>
    </row>
    <row r="1397" spans="13:18" x14ac:dyDescent="0.3">
      <c r="M1397" s="18" t="str">
        <f>IF($K1397="","",IFERROR(VLOOKUP(--SUBSTITUTE(SUBSTITUTE(TRIM($K1397),"-","")," ",""),마스터시트!$A$2:$H$1946,2,FALSE),"미등록"))</f>
        <v/>
      </c>
      <c r="N1397" s="53" t="str">
        <f>IF($K1397="","",IFERROR(VLOOKUP(--SUBSTITUTE(SUBSTITUTE(TRIM($K1397),"-","")," ",""),마스터시트!$A$2:$H$1946,3,FALSE),"미등록"))</f>
        <v/>
      </c>
      <c r="O1397" s="18" t="str">
        <f>IF($K1397="","",IFERROR(VLOOKUP(--SUBSTITUTE(SUBSTITUTE(TRIM($K1397),"-","")," ",""),마스터시트!$A$2:$H$1946,4,FALSE),""))</f>
        <v/>
      </c>
      <c r="P1397" s="18" t="str">
        <f>IF($K1397="","",IFERROR(VLOOKUP(--SUBSTITUTE(SUBSTITUTE(TRIM($K1397),"-","")," ",""),마스터시트!$A$2:$H$1946,5,FALSE),""))</f>
        <v/>
      </c>
      <c r="Q1397" s="18" t="str">
        <f>IF($K1397="","",IFERROR(VLOOKUP(--SUBSTITUTE(SUBSTITUTE(TRIM($K1397),"-","")," ",""),마스터시트!$A$2:$H$1946,6,FALSE),""))</f>
        <v/>
      </c>
      <c r="R1397" s="18" t="str">
        <f>IF($K1397="","",IFERROR(VLOOKUP(--SUBSTITUTE(SUBSTITUTE(TRIM($K1397),"-","")," ",""),마스터시트!$A$2:$H$1946,7,FALSE),""))</f>
        <v/>
      </c>
    </row>
    <row r="1398" spans="13:18" x14ac:dyDescent="0.3">
      <c r="M1398" s="18" t="str">
        <f>IF($K1398="","",IFERROR(VLOOKUP(--SUBSTITUTE(SUBSTITUTE(TRIM($K1398),"-","")," ",""),마스터시트!$A$2:$H$1946,2,FALSE),"미등록"))</f>
        <v/>
      </c>
      <c r="N1398" s="53" t="str">
        <f>IF($K1398="","",IFERROR(VLOOKUP(--SUBSTITUTE(SUBSTITUTE(TRIM($K1398),"-","")," ",""),마스터시트!$A$2:$H$1946,3,FALSE),"미등록"))</f>
        <v/>
      </c>
      <c r="O1398" s="18" t="str">
        <f>IF($K1398="","",IFERROR(VLOOKUP(--SUBSTITUTE(SUBSTITUTE(TRIM($K1398),"-","")," ",""),마스터시트!$A$2:$H$1946,4,FALSE),""))</f>
        <v/>
      </c>
      <c r="P1398" s="18" t="str">
        <f>IF($K1398="","",IFERROR(VLOOKUP(--SUBSTITUTE(SUBSTITUTE(TRIM($K1398),"-","")," ",""),마스터시트!$A$2:$H$1946,5,FALSE),""))</f>
        <v/>
      </c>
      <c r="Q1398" s="18" t="str">
        <f>IF($K1398="","",IFERROR(VLOOKUP(--SUBSTITUTE(SUBSTITUTE(TRIM($K1398),"-","")," ",""),마스터시트!$A$2:$H$1946,6,FALSE),""))</f>
        <v/>
      </c>
      <c r="R1398" s="18" t="str">
        <f>IF($K1398="","",IFERROR(VLOOKUP(--SUBSTITUTE(SUBSTITUTE(TRIM($K1398),"-","")," ",""),마스터시트!$A$2:$H$1946,7,FALSE),""))</f>
        <v/>
      </c>
    </row>
    <row r="1399" spans="13:18" x14ac:dyDescent="0.3">
      <c r="M1399" s="18" t="str">
        <f>IF($K1399="","",IFERROR(VLOOKUP(--SUBSTITUTE(SUBSTITUTE(TRIM($K1399),"-","")," ",""),마스터시트!$A$2:$H$1946,2,FALSE),"미등록"))</f>
        <v/>
      </c>
      <c r="N1399" s="53" t="str">
        <f>IF($K1399="","",IFERROR(VLOOKUP(--SUBSTITUTE(SUBSTITUTE(TRIM($K1399),"-","")," ",""),마스터시트!$A$2:$H$1946,3,FALSE),"미등록"))</f>
        <v/>
      </c>
      <c r="O1399" s="18" t="str">
        <f>IF($K1399="","",IFERROR(VLOOKUP(--SUBSTITUTE(SUBSTITUTE(TRIM($K1399),"-","")," ",""),마스터시트!$A$2:$H$1946,4,FALSE),""))</f>
        <v/>
      </c>
      <c r="P1399" s="18" t="str">
        <f>IF($K1399="","",IFERROR(VLOOKUP(--SUBSTITUTE(SUBSTITUTE(TRIM($K1399),"-","")," ",""),마스터시트!$A$2:$H$1946,5,FALSE),""))</f>
        <v/>
      </c>
      <c r="Q1399" s="18" t="str">
        <f>IF($K1399="","",IFERROR(VLOOKUP(--SUBSTITUTE(SUBSTITUTE(TRIM($K1399),"-","")," ",""),마스터시트!$A$2:$H$1946,6,FALSE),""))</f>
        <v/>
      </c>
      <c r="R1399" s="18" t="str">
        <f>IF($K1399="","",IFERROR(VLOOKUP(--SUBSTITUTE(SUBSTITUTE(TRIM($K1399),"-","")," ",""),마스터시트!$A$2:$H$1946,7,FALSE),""))</f>
        <v/>
      </c>
    </row>
    <row r="1400" spans="13:18" x14ac:dyDescent="0.3">
      <c r="M1400" s="18" t="str">
        <f>IF($K1400="","",IFERROR(VLOOKUP(--SUBSTITUTE(SUBSTITUTE(TRIM($K1400),"-","")," ",""),마스터시트!$A$2:$H$1946,2,FALSE),"미등록"))</f>
        <v/>
      </c>
      <c r="N1400" s="53" t="str">
        <f>IF($K1400="","",IFERROR(VLOOKUP(--SUBSTITUTE(SUBSTITUTE(TRIM($K1400),"-","")," ",""),마스터시트!$A$2:$H$1946,3,FALSE),"미등록"))</f>
        <v/>
      </c>
      <c r="O1400" s="18" t="str">
        <f>IF($K1400="","",IFERROR(VLOOKUP(--SUBSTITUTE(SUBSTITUTE(TRIM($K1400),"-","")," ",""),마스터시트!$A$2:$H$1946,4,FALSE),""))</f>
        <v/>
      </c>
      <c r="P1400" s="18" t="str">
        <f>IF($K1400="","",IFERROR(VLOOKUP(--SUBSTITUTE(SUBSTITUTE(TRIM($K1400),"-","")," ",""),마스터시트!$A$2:$H$1946,5,FALSE),""))</f>
        <v/>
      </c>
      <c r="Q1400" s="18" t="str">
        <f>IF($K1400="","",IFERROR(VLOOKUP(--SUBSTITUTE(SUBSTITUTE(TRIM($K1400),"-","")," ",""),마스터시트!$A$2:$H$1946,6,FALSE),""))</f>
        <v/>
      </c>
      <c r="R1400" s="18" t="str">
        <f>IF($K1400="","",IFERROR(VLOOKUP(--SUBSTITUTE(SUBSTITUTE(TRIM($K1400),"-","")," ",""),마스터시트!$A$2:$H$1946,7,FALSE),""))</f>
        <v/>
      </c>
    </row>
    <row r="1401" spans="13:18" x14ac:dyDescent="0.3">
      <c r="M1401" s="18" t="str">
        <f>IF($K1401="","",IFERROR(VLOOKUP(--SUBSTITUTE(SUBSTITUTE(TRIM($K1401),"-","")," ",""),마스터시트!$A$2:$H$1946,2,FALSE),"미등록"))</f>
        <v/>
      </c>
      <c r="N1401" s="53" t="str">
        <f>IF($K1401="","",IFERROR(VLOOKUP(--SUBSTITUTE(SUBSTITUTE(TRIM($K1401),"-","")," ",""),마스터시트!$A$2:$H$1946,3,FALSE),"미등록"))</f>
        <v/>
      </c>
      <c r="O1401" s="18" t="str">
        <f>IF($K1401="","",IFERROR(VLOOKUP(--SUBSTITUTE(SUBSTITUTE(TRIM($K1401),"-","")," ",""),마스터시트!$A$2:$H$1946,4,FALSE),""))</f>
        <v/>
      </c>
      <c r="P1401" s="18" t="str">
        <f>IF($K1401="","",IFERROR(VLOOKUP(--SUBSTITUTE(SUBSTITUTE(TRIM($K1401),"-","")," ",""),마스터시트!$A$2:$H$1946,5,FALSE),""))</f>
        <v/>
      </c>
      <c r="Q1401" s="18" t="str">
        <f>IF($K1401="","",IFERROR(VLOOKUP(--SUBSTITUTE(SUBSTITUTE(TRIM($K1401),"-","")," ",""),마스터시트!$A$2:$H$1946,6,FALSE),""))</f>
        <v/>
      </c>
      <c r="R1401" s="18" t="str">
        <f>IF($K1401="","",IFERROR(VLOOKUP(--SUBSTITUTE(SUBSTITUTE(TRIM($K1401),"-","")," ",""),마스터시트!$A$2:$H$1946,7,FALSE),""))</f>
        <v/>
      </c>
    </row>
    <row r="1402" spans="13:18" x14ac:dyDescent="0.3">
      <c r="M1402" s="18" t="str">
        <f>IF($K1402="","",IFERROR(VLOOKUP(--SUBSTITUTE(SUBSTITUTE(TRIM($K1402),"-","")," ",""),마스터시트!$A$2:$H$1946,2,FALSE),"미등록"))</f>
        <v/>
      </c>
      <c r="N1402" s="53" t="str">
        <f>IF($K1402="","",IFERROR(VLOOKUP(--SUBSTITUTE(SUBSTITUTE(TRIM($K1402),"-","")," ",""),마스터시트!$A$2:$H$1946,3,FALSE),"미등록"))</f>
        <v/>
      </c>
      <c r="O1402" s="18" t="str">
        <f>IF($K1402="","",IFERROR(VLOOKUP(--SUBSTITUTE(SUBSTITUTE(TRIM($K1402),"-","")," ",""),마스터시트!$A$2:$H$1946,4,FALSE),""))</f>
        <v/>
      </c>
      <c r="P1402" s="18" t="str">
        <f>IF($K1402="","",IFERROR(VLOOKUP(--SUBSTITUTE(SUBSTITUTE(TRIM($K1402),"-","")," ",""),마스터시트!$A$2:$H$1946,5,FALSE),""))</f>
        <v/>
      </c>
      <c r="Q1402" s="18" t="str">
        <f>IF($K1402="","",IFERROR(VLOOKUP(--SUBSTITUTE(SUBSTITUTE(TRIM($K1402),"-","")," ",""),마스터시트!$A$2:$H$1946,6,FALSE),""))</f>
        <v/>
      </c>
      <c r="R1402" s="18" t="str">
        <f>IF($K1402="","",IFERROR(VLOOKUP(--SUBSTITUTE(SUBSTITUTE(TRIM($K1402),"-","")," ",""),마스터시트!$A$2:$H$1946,7,FALSE),""))</f>
        <v/>
      </c>
    </row>
    <row r="1403" spans="13:18" x14ac:dyDescent="0.3">
      <c r="M1403" s="18" t="str">
        <f>IF($K1403="","",IFERROR(VLOOKUP(--SUBSTITUTE(SUBSTITUTE(TRIM($K1403),"-","")," ",""),마스터시트!$A$2:$H$1946,2,FALSE),"미등록"))</f>
        <v/>
      </c>
      <c r="N1403" s="53" t="str">
        <f>IF($K1403="","",IFERROR(VLOOKUP(--SUBSTITUTE(SUBSTITUTE(TRIM($K1403),"-","")," ",""),마스터시트!$A$2:$H$1946,3,FALSE),"미등록"))</f>
        <v/>
      </c>
      <c r="O1403" s="18" t="str">
        <f>IF($K1403="","",IFERROR(VLOOKUP(--SUBSTITUTE(SUBSTITUTE(TRIM($K1403),"-","")," ",""),마스터시트!$A$2:$H$1946,4,FALSE),""))</f>
        <v/>
      </c>
      <c r="P1403" s="18" t="str">
        <f>IF($K1403="","",IFERROR(VLOOKUP(--SUBSTITUTE(SUBSTITUTE(TRIM($K1403),"-","")," ",""),마스터시트!$A$2:$H$1946,5,FALSE),""))</f>
        <v/>
      </c>
      <c r="Q1403" s="18" t="str">
        <f>IF($K1403="","",IFERROR(VLOOKUP(--SUBSTITUTE(SUBSTITUTE(TRIM($K1403),"-","")," ",""),마스터시트!$A$2:$H$1946,6,FALSE),""))</f>
        <v/>
      </c>
      <c r="R1403" s="18" t="str">
        <f>IF($K1403="","",IFERROR(VLOOKUP(--SUBSTITUTE(SUBSTITUTE(TRIM($K1403),"-","")," ",""),마스터시트!$A$2:$H$1946,7,FALSE),""))</f>
        <v/>
      </c>
    </row>
    <row r="1404" spans="13:18" x14ac:dyDescent="0.3">
      <c r="M1404" s="18" t="str">
        <f>IF($K1404="","",IFERROR(VLOOKUP(--SUBSTITUTE(SUBSTITUTE(TRIM($K1404),"-","")," ",""),마스터시트!$A$2:$H$1946,2,FALSE),"미등록"))</f>
        <v/>
      </c>
      <c r="N1404" s="53" t="str">
        <f>IF($K1404="","",IFERROR(VLOOKUP(--SUBSTITUTE(SUBSTITUTE(TRIM($K1404),"-","")," ",""),마스터시트!$A$2:$H$1946,3,FALSE),"미등록"))</f>
        <v/>
      </c>
      <c r="O1404" s="18" t="str">
        <f>IF($K1404="","",IFERROR(VLOOKUP(--SUBSTITUTE(SUBSTITUTE(TRIM($K1404),"-","")," ",""),마스터시트!$A$2:$H$1946,4,FALSE),""))</f>
        <v/>
      </c>
      <c r="P1404" s="18" t="str">
        <f>IF($K1404="","",IFERROR(VLOOKUP(--SUBSTITUTE(SUBSTITUTE(TRIM($K1404),"-","")," ",""),마스터시트!$A$2:$H$1946,5,FALSE),""))</f>
        <v/>
      </c>
      <c r="Q1404" s="18" t="str">
        <f>IF($K1404="","",IFERROR(VLOOKUP(--SUBSTITUTE(SUBSTITUTE(TRIM($K1404),"-","")," ",""),마스터시트!$A$2:$H$1946,6,FALSE),""))</f>
        <v/>
      </c>
      <c r="R1404" s="18" t="str">
        <f>IF($K1404="","",IFERROR(VLOOKUP(--SUBSTITUTE(SUBSTITUTE(TRIM($K1404),"-","")," ",""),마스터시트!$A$2:$H$1946,7,FALSE),""))</f>
        <v/>
      </c>
    </row>
    <row r="1405" spans="13:18" x14ac:dyDescent="0.3">
      <c r="M1405" s="18" t="str">
        <f>IF($K1405="","",IFERROR(VLOOKUP(--SUBSTITUTE(SUBSTITUTE(TRIM($K1405),"-","")," ",""),마스터시트!$A$2:$H$1946,2,FALSE),"미등록"))</f>
        <v/>
      </c>
      <c r="N1405" s="53" t="str">
        <f>IF($K1405="","",IFERROR(VLOOKUP(--SUBSTITUTE(SUBSTITUTE(TRIM($K1405),"-","")," ",""),마스터시트!$A$2:$H$1946,3,FALSE),"미등록"))</f>
        <v/>
      </c>
      <c r="O1405" s="18" t="str">
        <f>IF($K1405="","",IFERROR(VLOOKUP(--SUBSTITUTE(SUBSTITUTE(TRIM($K1405),"-","")," ",""),마스터시트!$A$2:$H$1946,4,FALSE),""))</f>
        <v/>
      </c>
      <c r="P1405" s="18" t="str">
        <f>IF($K1405="","",IFERROR(VLOOKUP(--SUBSTITUTE(SUBSTITUTE(TRIM($K1405),"-","")," ",""),마스터시트!$A$2:$H$1946,5,FALSE),""))</f>
        <v/>
      </c>
      <c r="Q1405" s="18" t="str">
        <f>IF($K1405="","",IFERROR(VLOOKUP(--SUBSTITUTE(SUBSTITUTE(TRIM($K1405),"-","")," ",""),마스터시트!$A$2:$H$1946,6,FALSE),""))</f>
        <v/>
      </c>
      <c r="R1405" s="18" t="str">
        <f>IF($K1405="","",IFERROR(VLOOKUP(--SUBSTITUTE(SUBSTITUTE(TRIM($K1405),"-","")," ",""),마스터시트!$A$2:$H$1946,7,FALSE),""))</f>
        <v/>
      </c>
    </row>
    <row r="1406" spans="13:18" x14ac:dyDescent="0.3">
      <c r="M1406" s="18" t="str">
        <f>IF($K1406="","",IFERROR(VLOOKUP(--SUBSTITUTE(SUBSTITUTE(TRIM($K1406),"-","")," ",""),마스터시트!$A$2:$H$1946,2,FALSE),"미등록"))</f>
        <v/>
      </c>
      <c r="N1406" s="53" t="str">
        <f>IF($K1406="","",IFERROR(VLOOKUP(--SUBSTITUTE(SUBSTITUTE(TRIM($K1406),"-","")," ",""),마스터시트!$A$2:$H$1946,3,FALSE),"미등록"))</f>
        <v/>
      </c>
      <c r="O1406" s="18" t="str">
        <f>IF($K1406="","",IFERROR(VLOOKUP(--SUBSTITUTE(SUBSTITUTE(TRIM($K1406),"-","")," ",""),마스터시트!$A$2:$H$1946,4,FALSE),""))</f>
        <v/>
      </c>
      <c r="P1406" s="18" t="str">
        <f>IF($K1406="","",IFERROR(VLOOKUP(--SUBSTITUTE(SUBSTITUTE(TRIM($K1406),"-","")," ",""),마스터시트!$A$2:$H$1946,5,FALSE),""))</f>
        <v/>
      </c>
      <c r="Q1406" s="18" t="str">
        <f>IF($K1406="","",IFERROR(VLOOKUP(--SUBSTITUTE(SUBSTITUTE(TRIM($K1406),"-","")," ",""),마스터시트!$A$2:$H$1946,6,FALSE),""))</f>
        <v/>
      </c>
      <c r="R1406" s="18" t="str">
        <f>IF($K1406="","",IFERROR(VLOOKUP(--SUBSTITUTE(SUBSTITUTE(TRIM($K1406),"-","")," ",""),마스터시트!$A$2:$H$1946,7,FALSE),""))</f>
        <v/>
      </c>
    </row>
    <row r="1407" spans="13:18" x14ac:dyDescent="0.3">
      <c r="M1407" s="18" t="str">
        <f>IF($K1407="","",IFERROR(VLOOKUP(--SUBSTITUTE(SUBSTITUTE(TRIM($K1407),"-","")," ",""),마스터시트!$A$2:$H$1946,2,FALSE),"미등록"))</f>
        <v/>
      </c>
      <c r="N1407" s="53" t="str">
        <f>IF($K1407="","",IFERROR(VLOOKUP(--SUBSTITUTE(SUBSTITUTE(TRIM($K1407),"-","")," ",""),마스터시트!$A$2:$H$1946,3,FALSE),"미등록"))</f>
        <v/>
      </c>
      <c r="O1407" s="18" t="str">
        <f>IF($K1407="","",IFERROR(VLOOKUP(--SUBSTITUTE(SUBSTITUTE(TRIM($K1407),"-","")," ",""),마스터시트!$A$2:$H$1946,4,FALSE),""))</f>
        <v/>
      </c>
      <c r="P1407" s="18" t="str">
        <f>IF($K1407="","",IFERROR(VLOOKUP(--SUBSTITUTE(SUBSTITUTE(TRIM($K1407),"-","")," ",""),마스터시트!$A$2:$H$1946,5,FALSE),""))</f>
        <v/>
      </c>
      <c r="Q1407" s="18" t="str">
        <f>IF($K1407="","",IFERROR(VLOOKUP(--SUBSTITUTE(SUBSTITUTE(TRIM($K1407),"-","")," ",""),마스터시트!$A$2:$H$1946,6,FALSE),""))</f>
        <v/>
      </c>
      <c r="R1407" s="18" t="str">
        <f>IF($K1407="","",IFERROR(VLOOKUP(--SUBSTITUTE(SUBSTITUTE(TRIM($K1407),"-","")," ",""),마스터시트!$A$2:$H$1946,7,FALSE),""))</f>
        <v/>
      </c>
    </row>
    <row r="1408" spans="13:18" x14ac:dyDescent="0.3">
      <c r="M1408" s="18" t="str">
        <f>IF($K1408="","",IFERROR(VLOOKUP(--SUBSTITUTE(SUBSTITUTE(TRIM($K1408),"-","")," ",""),마스터시트!$A$2:$H$1946,2,FALSE),"미등록"))</f>
        <v/>
      </c>
      <c r="N1408" s="53" t="str">
        <f>IF($K1408="","",IFERROR(VLOOKUP(--SUBSTITUTE(SUBSTITUTE(TRIM($K1408),"-","")," ",""),마스터시트!$A$2:$H$1946,3,FALSE),"미등록"))</f>
        <v/>
      </c>
      <c r="O1408" s="18" t="str">
        <f>IF($K1408="","",IFERROR(VLOOKUP(--SUBSTITUTE(SUBSTITUTE(TRIM($K1408),"-","")," ",""),마스터시트!$A$2:$H$1946,4,FALSE),""))</f>
        <v/>
      </c>
      <c r="P1408" s="18" t="str">
        <f>IF($K1408="","",IFERROR(VLOOKUP(--SUBSTITUTE(SUBSTITUTE(TRIM($K1408),"-","")," ",""),마스터시트!$A$2:$H$1946,5,FALSE),""))</f>
        <v/>
      </c>
      <c r="Q1408" s="18" t="str">
        <f>IF($K1408="","",IFERROR(VLOOKUP(--SUBSTITUTE(SUBSTITUTE(TRIM($K1408),"-","")," ",""),마스터시트!$A$2:$H$1946,6,FALSE),""))</f>
        <v/>
      </c>
      <c r="R1408" s="18" t="str">
        <f>IF($K1408="","",IFERROR(VLOOKUP(--SUBSTITUTE(SUBSTITUTE(TRIM($K1408),"-","")," ",""),마스터시트!$A$2:$H$1946,7,FALSE),""))</f>
        <v/>
      </c>
    </row>
    <row r="1409" spans="13:18" x14ac:dyDescent="0.3">
      <c r="M1409" s="18" t="str">
        <f>IF($K1409="","",IFERROR(VLOOKUP(--SUBSTITUTE(SUBSTITUTE(TRIM($K1409),"-","")," ",""),마스터시트!$A$2:$H$1946,2,FALSE),"미등록"))</f>
        <v/>
      </c>
      <c r="N1409" s="53" t="str">
        <f>IF($K1409="","",IFERROR(VLOOKUP(--SUBSTITUTE(SUBSTITUTE(TRIM($K1409),"-","")," ",""),마스터시트!$A$2:$H$1946,3,FALSE),"미등록"))</f>
        <v/>
      </c>
      <c r="O1409" s="18" t="str">
        <f>IF($K1409="","",IFERROR(VLOOKUP(--SUBSTITUTE(SUBSTITUTE(TRIM($K1409),"-","")," ",""),마스터시트!$A$2:$H$1946,4,FALSE),""))</f>
        <v/>
      </c>
      <c r="P1409" s="18" t="str">
        <f>IF($K1409="","",IFERROR(VLOOKUP(--SUBSTITUTE(SUBSTITUTE(TRIM($K1409),"-","")," ",""),마스터시트!$A$2:$H$1946,5,FALSE),""))</f>
        <v/>
      </c>
      <c r="Q1409" s="18" t="str">
        <f>IF($K1409="","",IFERROR(VLOOKUP(--SUBSTITUTE(SUBSTITUTE(TRIM($K1409),"-","")," ",""),마스터시트!$A$2:$H$1946,6,FALSE),""))</f>
        <v/>
      </c>
      <c r="R1409" s="18" t="str">
        <f>IF($K1409="","",IFERROR(VLOOKUP(--SUBSTITUTE(SUBSTITUTE(TRIM($K1409),"-","")," ",""),마스터시트!$A$2:$H$1946,7,FALSE),""))</f>
        <v/>
      </c>
    </row>
    <row r="1410" spans="13:18" x14ac:dyDescent="0.3">
      <c r="M1410" s="18" t="str">
        <f>IF($K1410="","",IFERROR(VLOOKUP(--SUBSTITUTE(SUBSTITUTE(TRIM($K1410),"-","")," ",""),마스터시트!$A$2:$H$1946,2,FALSE),"미등록"))</f>
        <v/>
      </c>
      <c r="N1410" s="53" t="str">
        <f>IF($K1410="","",IFERROR(VLOOKUP(--SUBSTITUTE(SUBSTITUTE(TRIM($K1410),"-","")," ",""),마스터시트!$A$2:$H$1946,3,FALSE),"미등록"))</f>
        <v/>
      </c>
      <c r="O1410" s="18" t="str">
        <f>IF($K1410="","",IFERROR(VLOOKUP(--SUBSTITUTE(SUBSTITUTE(TRIM($K1410),"-","")," ",""),마스터시트!$A$2:$H$1946,4,FALSE),""))</f>
        <v/>
      </c>
      <c r="P1410" s="18" t="str">
        <f>IF($K1410="","",IFERROR(VLOOKUP(--SUBSTITUTE(SUBSTITUTE(TRIM($K1410),"-","")," ",""),마스터시트!$A$2:$H$1946,5,FALSE),""))</f>
        <v/>
      </c>
      <c r="Q1410" s="18" t="str">
        <f>IF($K1410="","",IFERROR(VLOOKUP(--SUBSTITUTE(SUBSTITUTE(TRIM($K1410),"-","")," ",""),마스터시트!$A$2:$H$1946,6,FALSE),""))</f>
        <v/>
      </c>
      <c r="R1410" s="18" t="str">
        <f>IF($K1410="","",IFERROR(VLOOKUP(--SUBSTITUTE(SUBSTITUTE(TRIM($K1410),"-","")," ",""),마스터시트!$A$2:$H$1946,7,FALSE),""))</f>
        <v/>
      </c>
    </row>
    <row r="1411" spans="13:18" x14ac:dyDescent="0.3">
      <c r="M1411" s="18" t="str">
        <f>IF($K1411="","",IFERROR(VLOOKUP(--SUBSTITUTE(SUBSTITUTE(TRIM($K1411),"-","")," ",""),마스터시트!$A$2:$H$1946,2,FALSE),"미등록"))</f>
        <v/>
      </c>
      <c r="N1411" s="53" t="str">
        <f>IF($K1411="","",IFERROR(VLOOKUP(--SUBSTITUTE(SUBSTITUTE(TRIM($K1411),"-","")," ",""),마스터시트!$A$2:$H$1946,3,FALSE),"미등록"))</f>
        <v/>
      </c>
      <c r="O1411" s="18" t="str">
        <f>IF($K1411="","",IFERROR(VLOOKUP(--SUBSTITUTE(SUBSTITUTE(TRIM($K1411),"-","")," ",""),마스터시트!$A$2:$H$1946,4,FALSE),""))</f>
        <v/>
      </c>
      <c r="P1411" s="18" t="str">
        <f>IF($K1411="","",IFERROR(VLOOKUP(--SUBSTITUTE(SUBSTITUTE(TRIM($K1411),"-","")," ",""),마스터시트!$A$2:$H$1946,5,FALSE),""))</f>
        <v/>
      </c>
      <c r="Q1411" s="18" t="str">
        <f>IF($K1411="","",IFERROR(VLOOKUP(--SUBSTITUTE(SUBSTITUTE(TRIM($K1411),"-","")," ",""),마스터시트!$A$2:$H$1946,6,FALSE),""))</f>
        <v/>
      </c>
      <c r="R1411" s="18" t="str">
        <f>IF($K1411="","",IFERROR(VLOOKUP(--SUBSTITUTE(SUBSTITUTE(TRIM($K1411),"-","")," ",""),마스터시트!$A$2:$H$1946,7,FALSE),""))</f>
        <v/>
      </c>
    </row>
    <row r="1412" spans="13:18" x14ac:dyDescent="0.3">
      <c r="M1412" s="18" t="str">
        <f>IF($K1412="","",IFERROR(VLOOKUP(--SUBSTITUTE(SUBSTITUTE(TRIM($K1412),"-","")," ",""),마스터시트!$A$2:$H$1946,2,FALSE),"미등록"))</f>
        <v/>
      </c>
      <c r="N1412" s="53" t="str">
        <f>IF($K1412="","",IFERROR(VLOOKUP(--SUBSTITUTE(SUBSTITUTE(TRIM($K1412),"-","")," ",""),마스터시트!$A$2:$H$1946,3,FALSE),"미등록"))</f>
        <v/>
      </c>
      <c r="O1412" s="18" t="str">
        <f>IF($K1412="","",IFERROR(VLOOKUP(--SUBSTITUTE(SUBSTITUTE(TRIM($K1412),"-","")," ",""),마스터시트!$A$2:$H$1946,4,FALSE),""))</f>
        <v/>
      </c>
      <c r="P1412" s="18" t="str">
        <f>IF($K1412="","",IFERROR(VLOOKUP(--SUBSTITUTE(SUBSTITUTE(TRIM($K1412),"-","")," ",""),마스터시트!$A$2:$H$1946,5,FALSE),""))</f>
        <v/>
      </c>
      <c r="Q1412" s="18" t="str">
        <f>IF($K1412="","",IFERROR(VLOOKUP(--SUBSTITUTE(SUBSTITUTE(TRIM($K1412),"-","")," ",""),마스터시트!$A$2:$H$1946,6,FALSE),""))</f>
        <v/>
      </c>
      <c r="R1412" s="18" t="str">
        <f>IF($K1412="","",IFERROR(VLOOKUP(--SUBSTITUTE(SUBSTITUTE(TRIM($K1412),"-","")," ",""),마스터시트!$A$2:$H$1946,7,FALSE),""))</f>
        <v/>
      </c>
    </row>
    <row r="1413" spans="13:18" x14ac:dyDescent="0.3">
      <c r="M1413" s="18" t="str">
        <f>IF($K1413="","",IFERROR(VLOOKUP(--SUBSTITUTE(SUBSTITUTE(TRIM($K1413),"-","")," ",""),마스터시트!$A$2:$H$1946,2,FALSE),"미등록"))</f>
        <v/>
      </c>
      <c r="N1413" s="53" t="str">
        <f>IF($K1413="","",IFERROR(VLOOKUP(--SUBSTITUTE(SUBSTITUTE(TRIM($K1413),"-","")," ",""),마스터시트!$A$2:$H$1946,3,FALSE),"미등록"))</f>
        <v/>
      </c>
      <c r="O1413" s="18" t="str">
        <f>IF($K1413="","",IFERROR(VLOOKUP(--SUBSTITUTE(SUBSTITUTE(TRIM($K1413),"-","")," ",""),마스터시트!$A$2:$H$1946,4,FALSE),""))</f>
        <v/>
      </c>
      <c r="P1413" s="18" t="str">
        <f>IF($K1413="","",IFERROR(VLOOKUP(--SUBSTITUTE(SUBSTITUTE(TRIM($K1413),"-","")," ",""),마스터시트!$A$2:$H$1946,5,FALSE),""))</f>
        <v/>
      </c>
      <c r="Q1413" s="18" t="str">
        <f>IF($K1413="","",IFERROR(VLOOKUP(--SUBSTITUTE(SUBSTITUTE(TRIM($K1413),"-","")," ",""),마스터시트!$A$2:$H$1946,6,FALSE),""))</f>
        <v/>
      </c>
      <c r="R1413" s="18" t="str">
        <f>IF($K1413="","",IFERROR(VLOOKUP(--SUBSTITUTE(SUBSTITUTE(TRIM($K1413),"-","")," ",""),마스터시트!$A$2:$H$1946,7,FALSE),""))</f>
        <v/>
      </c>
    </row>
    <row r="1414" spans="13:18" x14ac:dyDescent="0.3">
      <c r="M1414" s="18" t="str">
        <f>IF($K1414="","",IFERROR(VLOOKUP(--SUBSTITUTE(SUBSTITUTE(TRIM($K1414),"-","")," ",""),마스터시트!$A$2:$H$1946,2,FALSE),"미등록"))</f>
        <v/>
      </c>
      <c r="N1414" s="53" t="str">
        <f>IF($K1414="","",IFERROR(VLOOKUP(--SUBSTITUTE(SUBSTITUTE(TRIM($K1414),"-","")," ",""),마스터시트!$A$2:$H$1946,3,FALSE),"미등록"))</f>
        <v/>
      </c>
      <c r="O1414" s="18" t="str">
        <f>IF($K1414="","",IFERROR(VLOOKUP(--SUBSTITUTE(SUBSTITUTE(TRIM($K1414),"-","")," ",""),마스터시트!$A$2:$H$1946,4,FALSE),""))</f>
        <v/>
      </c>
      <c r="P1414" s="18" t="str">
        <f>IF($K1414="","",IFERROR(VLOOKUP(--SUBSTITUTE(SUBSTITUTE(TRIM($K1414),"-","")," ",""),마스터시트!$A$2:$H$1946,5,FALSE),""))</f>
        <v/>
      </c>
      <c r="Q1414" s="18" t="str">
        <f>IF($K1414="","",IFERROR(VLOOKUP(--SUBSTITUTE(SUBSTITUTE(TRIM($K1414),"-","")," ",""),마스터시트!$A$2:$H$1946,6,FALSE),""))</f>
        <v/>
      </c>
      <c r="R1414" s="18" t="str">
        <f>IF($K1414="","",IFERROR(VLOOKUP(--SUBSTITUTE(SUBSTITUTE(TRIM($K1414),"-","")," ",""),마스터시트!$A$2:$H$1946,7,FALSE),""))</f>
        <v/>
      </c>
    </row>
    <row r="1415" spans="13:18" x14ac:dyDescent="0.3">
      <c r="M1415" s="18" t="str">
        <f>IF($K1415="","",IFERROR(VLOOKUP(--SUBSTITUTE(SUBSTITUTE(TRIM($K1415),"-","")," ",""),마스터시트!$A$2:$H$1946,2,FALSE),"미등록"))</f>
        <v/>
      </c>
      <c r="N1415" s="53" t="str">
        <f>IF($K1415="","",IFERROR(VLOOKUP(--SUBSTITUTE(SUBSTITUTE(TRIM($K1415),"-","")," ",""),마스터시트!$A$2:$H$1946,3,FALSE),"미등록"))</f>
        <v/>
      </c>
      <c r="O1415" s="18" t="str">
        <f>IF($K1415="","",IFERROR(VLOOKUP(--SUBSTITUTE(SUBSTITUTE(TRIM($K1415),"-","")," ",""),마스터시트!$A$2:$H$1946,4,FALSE),""))</f>
        <v/>
      </c>
      <c r="P1415" s="18" t="str">
        <f>IF($K1415="","",IFERROR(VLOOKUP(--SUBSTITUTE(SUBSTITUTE(TRIM($K1415),"-","")," ",""),마스터시트!$A$2:$H$1946,5,FALSE),""))</f>
        <v/>
      </c>
      <c r="Q1415" s="18" t="str">
        <f>IF($K1415="","",IFERROR(VLOOKUP(--SUBSTITUTE(SUBSTITUTE(TRIM($K1415),"-","")," ",""),마스터시트!$A$2:$H$1946,6,FALSE),""))</f>
        <v/>
      </c>
      <c r="R1415" s="18" t="str">
        <f>IF($K1415="","",IFERROR(VLOOKUP(--SUBSTITUTE(SUBSTITUTE(TRIM($K1415),"-","")," ",""),마스터시트!$A$2:$H$1946,7,FALSE),""))</f>
        <v/>
      </c>
    </row>
    <row r="1416" spans="13:18" x14ac:dyDescent="0.3">
      <c r="M1416" s="18" t="str">
        <f>IF($K1416="","",IFERROR(VLOOKUP(--SUBSTITUTE(SUBSTITUTE(TRIM($K1416),"-","")," ",""),마스터시트!$A$2:$H$1946,2,FALSE),"미등록"))</f>
        <v/>
      </c>
      <c r="N1416" s="53" t="str">
        <f>IF($K1416="","",IFERROR(VLOOKUP(--SUBSTITUTE(SUBSTITUTE(TRIM($K1416),"-","")," ",""),마스터시트!$A$2:$H$1946,3,FALSE),"미등록"))</f>
        <v/>
      </c>
      <c r="O1416" s="18" t="str">
        <f>IF($K1416="","",IFERROR(VLOOKUP(--SUBSTITUTE(SUBSTITUTE(TRIM($K1416),"-","")," ",""),마스터시트!$A$2:$H$1946,4,FALSE),""))</f>
        <v/>
      </c>
      <c r="P1416" s="18" t="str">
        <f>IF($K1416="","",IFERROR(VLOOKUP(--SUBSTITUTE(SUBSTITUTE(TRIM($K1416),"-","")," ",""),마스터시트!$A$2:$H$1946,5,FALSE),""))</f>
        <v/>
      </c>
      <c r="Q1416" s="18" t="str">
        <f>IF($K1416="","",IFERROR(VLOOKUP(--SUBSTITUTE(SUBSTITUTE(TRIM($K1416),"-","")," ",""),마스터시트!$A$2:$H$1946,6,FALSE),""))</f>
        <v/>
      </c>
      <c r="R1416" s="18" t="str">
        <f>IF($K1416="","",IFERROR(VLOOKUP(--SUBSTITUTE(SUBSTITUTE(TRIM($K1416),"-","")," ",""),마스터시트!$A$2:$H$1946,7,FALSE),""))</f>
        <v/>
      </c>
    </row>
    <row r="1417" spans="13:18" x14ac:dyDescent="0.3">
      <c r="M1417" s="18" t="str">
        <f>IF($K1417="","",IFERROR(VLOOKUP(--SUBSTITUTE(SUBSTITUTE(TRIM($K1417),"-","")," ",""),마스터시트!$A$2:$H$1946,2,FALSE),"미등록"))</f>
        <v/>
      </c>
      <c r="N1417" s="53" t="str">
        <f>IF($K1417="","",IFERROR(VLOOKUP(--SUBSTITUTE(SUBSTITUTE(TRIM($K1417),"-","")," ",""),마스터시트!$A$2:$H$1946,3,FALSE),"미등록"))</f>
        <v/>
      </c>
      <c r="O1417" s="18" t="str">
        <f>IF($K1417="","",IFERROR(VLOOKUP(--SUBSTITUTE(SUBSTITUTE(TRIM($K1417),"-","")," ",""),마스터시트!$A$2:$H$1946,4,FALSE),""))</f>
        <v/>
      </c>
      <c r="P1417" s="18" t="str">
        <f>IF($K1417="","",IFERROR(VLOOKUP(--SUBSTITUTE(SUBSTITUTE(TRIM($K1417),"-","")," ",""),마스터시트!$A$2:$H$1946,5,FALSE),""))</f>
        <v/>
      </c>
      <c r="Q1417" s="18" t="str">
        <f>IF($K1417="","",IFERROR(VLOOKUP(--SUBSTITUTE(SUBSTITUTE(TRIM($K1417),"-","")," ",""),마스터시트!$A$2:$H$1946,6,FALSE),""))</f>
        <v/>
      </c>
      <c r="R1417" s="18" t="str">
        <f>IF($K1417="","",IFERROR(VLOOKUP(--SUBSTITUTE(SUBSTITUTE(TRIM($K1417),"-","")," ",""),마스터시트!$A$2:$H$1946,7,FALSE),""))</f>
        <v/>
      </c>
    </row>
    <row r="1418" spans="13:18" x14ac:dyDescent="0.3">
      <c r="M1418" s="18" t="str">
        <f>IF($K1418="","",IFERROR(VLOOKUP(--SUBSTITUTE(SUBSTITUTE(TRIM($K1418),"-","")," ",""),마스터시트!$A$2:$H$1946,2,FALSE),"미등록"))</f>
        <v/>
      </c>
      <c r="N1418" s="53" t="str">
        <f>IF($K1418="","",IFERROR(VLOOKUP(--SUBSTITUTE(SUBSTITUTE(TRIM($K1418),"-","")," ",""),마스터시트!$A$2:$H$1946,3,FALSE),"미등록"))</f>
        <v/>
      </c>
      <c r="O1418" s="18" t="str">
        <f>IF($K1418="","",IFERROR(VLOOKUP(--SUBSTITUTE(SUBSTITUTE(TRIM($K1418),"-","")," ",""),마스터시트!$A$2:$H$1946,4,FALSE),""))</f>
        <v/>
      </c>
      <c r="P1418" s="18" t="str">
        <f>IF($K1418="","",IFERROR(VLOOKUP(--SUBSTITUTE(SUBSTITUTE(TRIM($K1418),"-","")," ",""),마스터시트!$A$2:$H$1946,5,FALSE),""))</f>
        <v/>
      </c>
      <c r="Q1418" s="18" t="str">
        <f>IF($K1418="","",IFERROR(VLOOKUP(--SUBSTITUTE(SUBSTITUTE(TRIM($K1418),"-","")," ",""),마스터시트!$A$2:$H$1946,6,FALSE),""))</f>
        <v/>
      </c>
      <c r="R1418" s="18" t="str">
        <f>IF($K1418="","",IFERROR(VLOOKUP(--SUBSTITUTE(SUBSTITUTE(TRIM($K1418),"-","")," ",""),마스터시트!$A$2:$H$1946,7,FALSE),""))</f>
        <v/>
      </c>
    </row>
    <row r="1419" spans="13:18" x14ac:dyDescent="0.3">
      <c r="M1419" s="18" t="str">
        <f>IF($K1419="","",IFERROR(VLOOKUP(--SUBSTITUTE(SUBSTITUTE(TRIM($K1419),"-","")," ",""),마스터시트!$A$2:$H$1946,2,FALSE),"미등록"))</f>
        <v/>
      </c>
      <c r="N1419" s="53" t="str">
        <f>IF($K1419="","",IFERROR(VLOOKUP(--SUBSTITUTE(SUBSTITUTE(TRIM($K1419),"-","")," ",""),마스터시트!$A$2:$H$1946,3,FALSE),"미등록"))</f>
        <v/>
      </c>
      <c r="O1419" s="18" t="str">
        <f>IF($K1419="","",IFERROR(VLOOKUP(--SUBSTITUTE(SUBSTITUTE(TRIM($K1419),"-","")," ",""),마스터시트!$A$2:$H$1946,4,FALSE),""))</f>
        <v/>
      </c>
      <c r="P1419" s="18" t="str">
        <f>IF($K1419="","",IFERROR(VLOOKUP(--SUBSTITUTE(SUBSTITUTE(TRIM($K1419),"-","")," ",""),마스터시트!$A$2:$H$1946,5,FALSE),""))</f>
        <v/>
      </c>
      <c r="Q1419" s="18" t="str">
        <f>IF($K1419="","",IFERROR(VLOOKUP(--SUBSTITUTE(SUBSTITUTE(TRIM($K1419),"-","")," ",""),마스터시트!$A$2:$H$1946,6,FALSE),""))</f>
        <v/>
      </c>
      <c r="R1419" s="18" t="str">
        <f>IF($K1419="","",IFERROR(VLOOKUP(--SUBSTITUTE(SUBSTITUTE(TRIM($K1419),"-","")," ",""),마스터시트!$A$2:$H$1946,7,FALSE),""))</f>
        <v/>
      </c>
    </row>
    <row r="1420" spans="13:18" x14ac:dyDescent="0.3">
      <c r="M1420" s="18" t="str">
        <f>IF($K1420="","",IFERROR(VLOOKUP(--SUBSTITUTE(SUBSTITUTE(TRIM($K1420),"-","")," ",""),마스터시트!$A$2:$H$1946,2,FALSE),"미등록"))</f>
        <v/>
      </c>
      <c r="N1420" s="53" t="str">
        <f>IF($K1420="","",IFERROR(VLOOKUP(--SUBSTITUTE(SUBSTITUTE(TRIM($K1420),"-","")," ",""),마스터시트!$A$2:$H$1946,3,FALSE),"미등록"))</f>
        <v/>
      </c>
      <c r="O1420" s="18" t="str">
        <f>IF($K1420="","",IFERROR(VLOOKUP(--SUBSTITUTE(SUBSTITUTE(TRIM($K1420),"-","")," ",""),마스터시트!$A$2:$H$1946,4,FALSE),""))</f>
        <v/>
      </c>
      <c r="P1420" s="18" t="str">
        <f>IF($K1420="","",IFERROR(VLOOKUP(--SUBSTITUTE(SUBSTITUTE(TRIM($K1420),"-","")," ",""),마스터시트!$A$2:$H$1946,5,FALSE),""))</f>
        <v/>
      </c>
      <c r="Q1420" s="18" t="str">
        <f>IF($K1420="","",IFERROR(VLOOKUP(--SUBSTITUTE(SUBSTITUTE(TRIM($K1420),"-","")," ",""),마스터시트!$A$2:$H$1946,6,FALSE),""))</f>
        <v/>
      </c>
      <c r="R1420" s="18" t="str">
        <f>IF($K1420="","",IFERROR(VLOOKUP(--SUBSTITUTE(SUBSTITUTE(TRIM($K1420),"-","")," ",""),마스터시트!$A$2:$H$1946,7,FALSE),""))</f>
        <v/>
      </c>
    </row>
    <row r="1421" spans="13:18" x14ac:dyDescent="0.3">
      <c r="M1421" s="18" t="str">
        <f>IF($K1421="","",IFERROR(VLOOKUP(--SUBSTITUTE(SUBSTITUTE(TRIM($K1421),"-","")," ",""),마스터시트!$A$2:$H$1946,2,FALSE),"미등록"))</f>
        <v/>
      </c>
      <c r="N1421" s="53" t="str">
        <f>IF($K1421="","",IFERROR(VLOOKUP(--SUBSTITUTE(SUBSTITUTE(TRIM($K1421),"-","")," ",""),마스터시트!$A$2:$H$1946,3,FALSE),"미등록"))</f>
        <v/>
      </c>
      <c r="O1421" s="18" t="str">
        <f>IF($K1421="","",IFERROR(VLOOKUP(--SUBSTITUTE(SUBSTITUTE(TRIM($K1421),"-","")," ",""),마스터시트!$A$2:$H$1946,4,FALSE),""))</f>
        <v/>
      </c>
      <c r="P1421" s="18" t="str">
        <f>IF($K1421="","",IFERROR(VLOOKUP(--SUBSTITUTE(SUBSTITUTE(TRIM($K1421),"-","")," ",""),마스터시트!$A$2:$H$1946,5,FALSE),""))</f>
        <v/>
      </c>
      <c r="Q1421" s="18" t="str">
        <f>IF($K1421="","",IFERROR(VLOOKUP(--SUBSTITUTE(SUBSTITUTE(TRIM($K1421),"-","")," ",""),마스터시트!$A$2:$H$1946,6,FALSE),""))</f>
        <v/>
      </c>
      <c r="R1421" s="18" t="str">
        <f>IF($K1421="","",IFERROR(VLOOKUP(--SUBSTITUTE(SUBSTITUTE(TRIM($K1421),"-","")," ",""),마스터시트!$A$2:$H$1946,7,FALSE),""))</f>
        <v/>
      </c>
    </row>
    <row r="1422" spans="13:18" x14ac:dyDescent="0.3">
      <c r="M1422" s="18" t="str">
        <f>IF($K1422="","",IFERROR(VLOOKUP(--SUBSTITUTE(SUBSTITUTE(TRIM($K1422),"-","")," ",""),마스터시트!$A$2:$H$1946,2,FALSE),"미등록"))</f>
        <v/>
      </c>
      <c r="N1422" s="53" t="str">
        <f>IF($K1422="","",IFERROR(VLOOKUP(--SUBSTITUTE(SUBSTITUTE(TRIM($K1422),"-","")," ",""),마스터시트!$A$2:$H$1946,3,FALSE),"미등록"))</f>
        <v/>
      </c>
      <c r="O1422" s="18" t="str">
        <f>IF($K1422="","",IFERROR(VLOOKUP(--SUBSTITUTE(SUBSTITUTE(TRIM($K1422),"-","")," ",""),마스터시트!$A$2:$H$1946,4,FALSE),""))</f>
        <v/>
      </c>
      <c r="P1422" s="18" t="str">
        <f>IF($K1422="","",IFERROR(VLOOKUP(--SUBSTITUTE(SUBSTITUTE(TRIM($K1422),"-","")," ",""),마스터시트!$A$2:$H$1946,5,FALSE),""))</f>
        <v/>
      </c>
      <c r="Q1422" s="18" t="str">
        <f>IF($K1422="","",IFERROR(VLOOKUP(--SUBSTITUTE(SUBSTITUTE(TRIM($K1422),"-","")," ",""),마스터시트!$A$2:$H$1946,6,FALSE),""))</f>
        <v/>
      </c>
      <c r="R1422" s="18" t="str">
        <f>IF($K1422="","",IFERROR(VLOOKUP(--SUBSTITUTE(SUBSTITUTE(TRIM($K1422),"-","")," ",""),마스터시트!$A$2:$H$1946,7,FALSE),""))</f>
        <v/>
      </c>
    </row>
    <row r="1423" spans="13:18" x14ac:dyDescent="0.3">
      <c r="M1423" s="18" t="str">
        <f>IF($K1423="","",IFERROR(VLOOKUP(--SUBSTITUTE(SUBSTITUTE(TRIM($K1423),"-","")," ",""),마스터시트!$A$2:$H$1946,2,FALSE),"미등록"))</f>
        <v/>
      </c>
      <c r="N1423" s="53" t="str">
        <f>IF($K1423="","",IFERROR(VLOOKUP(--SUBSTITUTE(SUBSTITUTE(TRIM($K1423),"-","")," ",""),마스터시트!$A$2:$H$1946,3,FALSE),"미등록"))</f>
        <v/>
      </c>
      <c r="O1423" s="18" t="str">
        <f>IF($K1423="","",IFERROR(VLOOKUP(--SUBSTITUTE(SUBSTITUTE(TRIM($K1423),"-","")," ",""),마스터시트!$A$2:$H$1946,4,FALSE),""))</f>
        <v/>
      </c>
      <c r="P1423" s="18" t="str">
        <f>IF($K1423="","",IFERROR(VLOOKUP(--SUBSTITUTE(SUBSTITUTE(TRIM($K1423),"-","")," ",""),마스터시트!$A$2:$H$1946,5,FALSE),""))</f>
        <v/>
      </c>
      <c r="Q1423" s="18" t="str">
        <f>IF($K1423="","",IFERROR(VLOOKUP(--SUBSTITUTE(SUBSTITUTE(TRIM($K1423),"-","")," ",""),마스터시트!$A$2:$H$1946,6,FALSE),""))</f>
        <v/>
      </c>
      <c r="R1423" s="18" t="str">
        <f>IF($K1423="","",IFERROR(VLOOKUP(--SUBSTITUTE(SUBSTITUTE(TRIM($K1423),"-","")," ",""),마스터시트!$A$2:$H$1946,7,FALSE),""))</f>
        <v/>
      </c>
    </row>
    <row r="1424" spans="13:18" x14ac:dyDescent="0.3">
      <c r="M1424" s="18" t="str">
        <f>IF($K1424="","",IFERROR(VLOOKUP(--SUBSTITUTE(SUBSTITUTE(TRIM($K1424),"-","")," ",""),마스터시트!$A$2:$H$1946,2,FALSE),"미등록"))</f>
        <v/>
      </c>
      <c r="N1424" s="53" t="str">
        <f>IF($K1424="","",IFERROR(VLOOKUP(--SUBSTITUTE(SUBSTITUTE(TRIM($K1424),"-","")," ",""),마스터시트!$A$2:$H$1946,3,FALSE),"미등록"))</f>
        <v/>
      </c>
      <c r="O1424" s="18" t="str">
        <f>IF($K1424="","",IFERROR(VLOOKUP(--SUBSTITUTE(SUBSTITUTE(TRIM($K1424),"-","")," ",""),마스터시트!$A$2:$H$1946,4,FALSE),""))</f>
        <v/>
      </c>
      <c r="P1424" s="18" t="str">
        <f>IF($K1424="","",IFERROR(VLOOKUP(--SUBSTITUTE(SUBSTITUTE(TRIM($K1424),"-","")," ",""),마스터시트!$A$2:$H$1946,5,FALSE),""))</f>
        <v/>
      </c>
      <c r="Q1424" s="18" t="str">
        <f>IF($K1424="","",IFERROR(VLOOKUP(--SUBSTITUTE(SUBSTITUTE(TRIM($K1424),"-","")," ",""),마스터시트!$A$2:$H$1946,6,FALSE),""))</f>
        <v/>
      </c>
      <c r="R1424" s="18" t="str">
        <f>IF($K1424="","",IFERROR(VLOOKUP(--SUBSTITUTE(SUBSTITUTE(TRIM($K1424),"-","")," ",""),마스터시트!$A$2:$H$1946,7,FALSE),""))</f>
        <v/>
      </c>
    </row>
    <row r="1425" spans="13:18" x14ac:dyDescent="0.3">
      <c r="M1425" s="18" t="str">
        <f>IF($K1425="","",IFERROR(VLOOKUP(--SUBSTITUTE(SUBSTITUTE(TRIM($K1425),"-","")," ",""),마스터시트!$A$2:$H$1946,2,FALSE),"미등록"))</f>
        <v/>
      </c>
      <c r="N1425" s="53" t="str">
        <f>IF($K1425="","",IFERROR(VLOOKUP(--SUBSTITUTE(SUBSTITUTE(TRIM($K1425),"-","")," ",""),마스터시트!$A$2:$H$1946,3,FALSE),"미등록"))</f>
        <v/>
      </c>
      <c r="O1425" s="18" t="str">
        <f>IF($K1425="","",IFERROR(VLOOKUP(--SUBSTITUTE(SUBSTITUTE(TRIM($K1425),"-","")," ",""),마스터시트!$A$2:$H$1946,4,FALSE),""))</f>
        <v/>
      </c>
      <c r="P1425" s="18" t="str">
        <f>IF($K1425="","",IFERROR(VLOOKUP(--SUBSTITUTE(SUBSTITUTE(TRIM($K1425),"-","")," ",""),마스터시트!$A$2:$H$1946,5,FALSE),""))</f>
        <v/>
      </c>
      <c r="Q1425" s="18" t="str">
        <f>IF($K1425="","",IFERROR(VLOOKUP(--SUBSTITUTE(SUBSTITUTE(TRIM($K1425),"-","")," ",""),마스터시트!$A$2:$H$1946,6,FALSE),""))</f>
        <v/>
      </c>
      <c r="R1425" s="18" t="str">
        <f>IF($K1425="","",IFERROR(VLOOKUP(--SUBSTITUTE(SUBSTITUTE(TRIM($K1425),"-","")," ",""),마스터시트!$A$2:$H$1946,7,FALSE),""))</f>
        <v/>
      </c>
    </row>
    <row r="1426" spans="13:18" x14ac:dyDescent="0.3">
      <c r="M1426" s="18" t="str">
        <f>IF($K1426="","",IFERROR(VLOOKUP(--SUBSTITUTE(SUBSTITUTE(TRIM($K1426),"-","")," ",""),마스터시트!$A$2:$H$1946,2,FALSE),"미등록"))</f>
        <v/>
      </c>
      <c r="N1426" s="53" t="str">
        <f>IF($K1426="","",IFERROR(VLOOKUP(--SUBSTITUTE(SUBSTITUTE(TRIM($K1426),"-","")," ",""),마스터시트!$A$2:$H$1946,3,FALSE),"미등록"))</f>
        <v/>
      </c>
      <c r="O1426" s="18" t="str">
        <f>IF($K1426="","",IFERROR(VLOOKUP(--SUBSTITUTE(SUBSTITUTE(TRIM($K1426),"-","")," ",""),마스터시트!$A$2:$H$1946,4,FALSE),""))</f>
        <v/>
      </c>
      <c r="P1426" s="18" t="str">
        <f>IF($K1426="","",IFERROR(VLOOKUP(--SUBSTITUTE(SUBSTITUTE(TRIM($K1426),"-","")," ",""),마스터시트!$A$2:$H$1946,5,FALSE),""))</f>
        <v/>
      </c>
      <c r="Q1426" s="18" t="str">
        <f>IF($K1426="","",IFERROR(VLOOKUP(--SUBSTITUTE(SUBSTITUTE(TRIM($K1426),"-","")," ",""),마스터시트!$A$2:$H$1946,6,FALSE),""))</f>
        <v/>
      </c>
      <c r="R1426" s="18" t="str">
        <f>IF($K1426="","",IFERROR(VLOOKUP(--SUBSTITUTE(SUBSTITUTE(TRIM($K1426),"-","")," ",""),마스터시트!$A$2:$H$1946,7,FALSE),""))</f>
        <v/>
      </c>
    </row>
    <row r="1427" spans="13:18" x14ac:dyDescent="0.3">
      <c r="M1427" s="18" t="str">
        <f>IF($K1427="","",IFERROR(VLOOKUP(--SUBSTITUTE(SUBSTITUTE(TRIM($K1427),"-","")," ",""),마스터시트!$A$2:$H$1946,2,FALSE),"미등록"))</f>
        <v/>
      </c>
      <c r="N1427" s="53" t="str">
        <f>IF($K1427="","",IFERROR(VLOOKUP(--SUBSTITUTE(SUBSTITUTE(TRIM($K1427),"-","")," ",""),마스터시트!$A$2:$H$1946,3,FALSE),"미등록"))</f>
        <v/>
      </c>
      <c r="O1427" s="18" t="str">
        <f>IF($K1427="","",IFERROR(VLOOKUP(--SUBSTITUTE(SUBSTITUTE(TRIM($K1427),"-","")," ",""),마스터시트!$A$2:$H$1946,4,FALSE),""))</f>
        <v/>
      </c>
      <c r="P1427" s="18" t="str">
        <f>IF($K1427="","",IFERROR(VLOOKUP(--SUBSTITUTE(SUBSTITUTE(TRIM($K1427),"-","")," ",""),마스터시트!$A$2:$H$1946,5,FALSE),""))</f>
        <v/>
      </c>
      <c r="Q1427" s="18" t="str">
        <f>IF($K1427="","",IFERROR(VLOOKUP(--SUBSTITUTE(SUBSTITUTE(TRIM($K1427),"-","")," ",""),마스터시트!$A$2:$H$1946,6,FALSE),""))</f>
        <v/>
      </c>
      <c r="R1427" s="18" t="str">
        <f>IF($K1427="","",IFERROR(VLOOKUP(--SUBSTITUTE(SUBSTITUTE(TRIM($K1427),"-","")," ",""),마스터시트!$A$2:$H$1946,7,FALSE),""))</f>
        <v/>
      </c>
    </row>
    <row r="1428" spans="13:18" x14ac:dyDescent="0.3">
      <c r="M1428" s="18" t="str">
        <f>IF($K1428="","",IFERROR(VLOOKUP(--SUBSTITUTE(SUBSTITUTE(TRIM($K1428),"-","")," ",""),마스터시트!$A$2:$H$1946,2,FALSE),"미등록"))</f>
        <v/>
      </c>
      <c r="N1428" s="53" t="str">
        <f>IF($K1428="","",IFERROR(VLOOKUP(--SUBSTITUTE(SUBSTITUTE(TRIM($K1428),"-","")," ",""),마스터시트!$A$2:$H$1946,3,FALSE),"미등록"))</f>
        <v/>
      </c>
      <c r="O1428" s="18" t="str">
        <f>IF($K1428="","",IFERROR(VLOOKUP(--SUBSTITUTE(SUBSTITUTE(TRIM($K1428),"-","")," ",""),마스터시트!$A$2:$H$1946,4,FALSE),""))</f>
        <v/>
      </c>
      <c r="P1428" s="18" t="str">
        <f>IF($K1428="","",IFERROR(VLOOKUP(--SUBSTITUTE(SUBSTITUTE(TRIM($K1428),"-","")," ",""),마스터시트!$A$2:$H$1946,5,FALSE),""))</f>
        <v/>
      </c>
      <c r="Q1428" s="18" t="str">
        <f>IF($K1428="","",IFERROR(VLOOKUP(--SUBSTITUTE(SUBSTITUTE(TRIM($K1428),"-","")," ",""),마스터시트!$A$2:$H$1946,6,FALSE),""))</f>
        <v/>
      </c>
      <c r="R1428" s="18" t="str">
        <f>IF($K1428="","",IFERROR(VLOOKUP(--SUBSTITUTE(SUBSTITUTE(TRIM($K1428),"-","")," ",""),마스터시트!$A$2:$H$1946,7,FALSE),""))</f>
        <v/>
      </c>
    </row>
    <row r="1429" spans="13:18" x14ac:dyDescent="0.3">
      <c r="M1429" s="18" t="str">
        <f>IF($K1429="","",IFERROR(VLOOKUP(--SUBSTITUTE(SUBSTITUTE(TRIM($K1429),"-","")," ",""),마스터시트!$A$2:$H$1946,2,FALSE),"미등록"))</f>
        <v/>
      </c>
      <c r="N1429" s="53" t="str">
        <f>IF($K1429="","",IFERROR(VLOOKUP(--SUBSTITUTE(SUBSTITUTE(TRIM($K1429),"-","")," ",""),마스터시트!$A$2:$H$1946,3,FALSE),"미등록"))</f>
        <v/>
      </c>
      <c r="O1429" s="18" t="str">
        <f>IF($K1429="","",IFERROR(VLOOKUP(--SUBSTITUTE(SUBSTITUTE(TRIM($K1429),"-","")," ",""),마스터시트!$A$2:$H$1946,4,FALSE),""))</f>
        <v/>
      </c>
      <c r="P1429" s="18" t="str">
        <f>IF($K1429="","",IFERROR(VLOOKUP(--SUBSTITUTE(SUBSTITUTE(TRIM($K1429),"-","")," ",""),마스터시트!$A$2:$H$1946,5,FALSE),""))</f>
        <v/>
      </c>
      <c r="Q1429" s="18" t="str">
        <f>IF($K1429="","",IFERROR(VLOOKUP(--SUBSTITUTE(SUBSTITUTE(TRIM($K1429),"-","")," ",""),마스터시트!$A$2:$H$1946,6,FALSE),""))</f>
        <v/>
      </c>
      <c r="R1429" s="18" t="str">
        <f>IF($K1429="","",IFERROR(VLOOKUP(--SUBSTITUTE(SUBSTITUTE(TRIM($K1429),"-","")," ",""),마스터시트!$A$2:$H$1946,7,FALSE),""))</f>
        <v/>
      </c>
    </row>
    <row r="1430" spans="13:18" x14ac:dyDescent="0.3">
      <c r="M1430" s="18" t="str">
        <f>IF($K1430="","",IFERROR(VLOOKUP(--SUBSTITUTE(SUBSTITUTE(TRIM($K1430),"-","")," ",""),마스터시트!$A$2:$H$1946,2,FALSE),"미등록"))</f>
        <v/>
      </c>
      <c r="N1430" s="53" t="str">
        <f>IF($K1430="","",IFERROR(VLOOKUP(--SUBSTITUTE(SUBSTITUTE(TRIM($K1430),"-","")," ",""),마스터시트!$A$2:$H$1946,3,FALSE),"미등록"))</f>
        <v/>
      </c>
      <c r="O1430" s="18" t="str">
        <f>IF($K1430="","",IFERROR(VLOOKUP(--SUBSTITUTE(SUBSTITUTE(TRIM($K1430),"-","")," ",""),마스터시트!$A$2:$H$1946,4,FALSE),""))</f>
        <v/>
      </c>
      <c r="P1430" s="18" t="str">
        <f>IF($K1430="","",IFERROR(VLOOKUP(--SUBSTITUTE(SUBSTITUTE(TRIM($K1430),"-","")," ",""),마스터시트!$A$2:$H$1946,5,FALSE),""))</f>
        <v/>
      </c>
      <c r="Q1430" s="18" t="str">
        <f>IF($K1430="","",IFERROR(VLOOKUP(--SUBSTITUTE(SUBSTITUTE(TRIM($K1430),"-","")," ",""),마스터시트!$A$2:$H$1946,6,FALSE),""))</f>
        <v/>
      </c>
      <c r="R1430" s="18" t="str">
        <f>IF($K1430="","",IFERROR(VLOOKUP(--SUBSTITUTE(SUBSTITUTE(TRIM($K1430),"-","")," ",""),마스터시트!$A$2:$H$1946,7,FALSE),""))</f>
        <v/>
      </c>
    </row>
    <row r="1431" spans="13:18" x14ac:dyDescent="0.3">
      <c r="M1431" s="18" t="str">
        <f>IF($K1431="","",IFERROR(VLOOKUP(--SUBSTITUTE(SUBSTITUTE(TRIM($K1431),"-","")," ",""),마스터시트!$A$2:$H$1946,2,FALSE),"미등록"))</f>
        <v/>
      </c>
      <c r="N1431" s="53" t="str">
        <f>IF($K1431="","",IFERROR(VLOOKUP(--SUBSTITUTE(SUBSTITUTE(TRIM($K1431),"-","")," ",""),마스터시트!$A$2:$H$1946,3,FALSE),"미등록"))</f>
        <v/>
      </c>
      <c r="O1431" s="18" t="str">
        <f>IF($K1431="","",IFERROR(VLOOKUP(--SUBSTITUTE(SUBSTITUTE(TRIM($K1431),"-","")," ",""),마스터시트!$A$2:$H$1946,4,FALSE),""))</f>
        <v/>
      </c>
      <c r="P1431" s="18" t="str">
        <f>IF($K1431="","",IFERROR(VLOOKUP(--SUBSTITUTE(SUBSTITUTE(TRIM($K1431),"-","")," ",""),마스터시트!$A$2:$H$1946,5,FALSE),""))</f>
        <v/>
      </c>
      <c r="Q1431" s="18" t="str">
        <f>IF($K1431="","",IFERROR(VLOOKUP(--SUBSTITUTE(SUBSTITUTE(TRIM($K1431),"-","")," ",""),마스터시트!$A$2:$H$1946,6,FALSE),""))</f>
        <v/>
      </c>
      <c r="R1431" s="18" t="str">
        <f>IF($K1431="","",IFERROR(VLOOKUP(--SUBSTITUTE(SUBSTITUTE(TRIM($K1431),"-","")," ",""),마스터시트!$A$2:$H$1946,7,FALSE),""))</f>
        <v/>
      </c>
    </row>
    <row r="1432" spans="13:18" x14ac:dyDescent="0.3">
      <c r="M1432" s="18" t="str">
        <f>IF($K1432="","",IFERROR(VLOOKUP(--SUBSTITUTE(SUBSTITUTE(TRIM($K1432),"-","")," ",""),마스터시트!$A$2:$H$1946,2,FALSE),"미등록"))</f>
        <v/>
      </c>
      <c r="N1432" s="53" t="str">
        <f>IF($K1432="","",IFERROR(VLOOKUP(--SUBSTITUTE(SUBSTITUTE(TRIM($K1432),"-","")," ",""),마스터시트!$A$2:$H$1946,3,FALSE),"미등록"))</f>
        <v/>
      </c>
      <c r="O1432" s="18" t="str">
        <f>IF($K1432="","",IFERROR(VLOOKUP(--SUBSTITUTE(SUBSTITUTE(TRIM($K1432),"-","")," ",""),마스터시트!$A$2:$H$1946,4,FALSE),""))</f>
        <v/>
      </c>
      <c r="P1432" s="18" t="str">
        <f>IF($K1432="","",IFERROR(VLOOKUP(--SUBSTITUTE(SUBSTITUTE(TRIM($K1432),"-","")," ",""),마스터시트!$A$2:$H$1946,5,FALSE),""))</f>
        <v/>
      </c>
      <c r="Q1432" s="18" t="str">
        <f>IF($K1432="","",IFERROR(VLOOKUP(--SUBSTITUTE(SUBSTITUTE(TRIM($K1432),"-","")," ",""),마스터시트!$A$2:$H$1946,6,FALSE),""))</f>
        <v/>
      </c>
      <c r="R1432" s="18" t="str">
        <f>IF($K1432="","",IFERROR(VLOOKUP(--SUBSTITUTE(SUBSTITUTE(TRIM($K1432),"-","")," ",""),마스터시트!$A$2:$H$1946,7,FALSE),""))</f>
        <v/>
      </c>
    </row>
    <row r="1433" spans="13:18" x14ac:dyDescent="0.3">
      <c r="M1433" s="18" t="str">
        <f>IF($K1433="","",IFERROR(VLOOKUP(--SUBSTITUTE(SUBSTITUTE(TRIM($K1433),"-","")," ",""),마스터시트!$A$2:$H$1946,2,FALSE),"미등록"))</f>
        <v/>
      </c>
      <c r="N1433" s="53" t="str">
        <f>IF($K1433="","",IFERROR(VLOOKUP(--SUBSTITUTE(SUBSTITUTE(TRIM($K1433),"-","")," ",""),마스터시트!$A$2:$H$1946,3,FALSE),"미등록"))</f>
        <v/>
      </c>
      <c r="O1433" s="18" t="str">
        <f>IF($K1433="","",IFERROR(VLOOKUP(--SUBSTITUTE(SUBSTITUTE(TRIM($K1433),"-","")," ",""),마스터시트!$A$2:$H$1946,4,FALSE),""))</f>
        <v/>
      </c>
      <c r="P1433" s="18" t="str">
        <f>IF($K1433="","",IFERROR(VLOOKUP(--SUBSTITUTE(SUBSTITUTE(TRIM($K1433),"-","")," ",""),마스터시트!$A$2:$H$1946,5,FALSE),""))</f>
        <v/>
      </c>
      <c r="Q1433" s="18" t="str">
        <f>IF($K1433="","",IFERROR(VLOOKUP(--SUBSTITUTE(SUBSTITUTE(TRIM($K1433),"-","")," ",""),마스터시트!$A$2:$H$1946,6,FALSE),""))</f>
        <v/>
      </c>
      <c r="R1433" s="18" t="str">
        <f>IF($K1433="","",IFERROR(VLOOKUP(--SUBSTITUTE(SUBSTITUTE(TRIM($K1433),"-","")," ",""),마스터시트!$A$2:$H$1946,7,FALSE),""))</f>
        <v/>
      </c>
    </row>
    <row r="1434" spans="13:18" x14ac:dyDescent="0.3">
      <c r="M1434" s="18" t="str">
        <f>IF($K1434="","",IFERROR(VLOOKUP(--SUBSTITUTE(SUBSTITUTE(TRIM($K1434),"-","")," ",""),마스터시트!$A$2:$H$1946,2,FALSE),"미등록"))</f>
        <v/>
      </c>
      <c r="N1434" s="53" t="str">
        <f>IF($K1434="","",IFERROR(VLOOKUP(--SUBSTITUTE(SUBSTITUTE(TRIM($K1434),"-","")," ",""),마스터시트!$A$2:$H$1946,3,FALSE),"미등록"))</f>
        <v/>
      </c>
      <c r="O1434" s="18" t="str">
        <f>IF($K1434="","",IFERROR(VLOOKUP(--SUBSTITUTE(SUBSTITUTE(TRIM($K1434),"-","")," ",""),마스터시트!$A$2:$H$1946,4,FALSE),""))</f>
        <v/>
      </c>
      <c r="P1434" s="18" t="str">
        <f>IF($K1434="","",IFERROR(VLOOKUP(--SUBSTITUTE(SUBSTITUTE(TRIM($K1434),"-","")," ",""),마스터시트!$A$2:$H$1946,5,FALSE),""))</f>
        <v/>
      </c>
      <c r="Q1434" s="18" t="str">
        <f>IF($K1434="","",IFERROR(VLOOKUP(--SUBSTITUTE(SUBSTITUTE(TRIM($K1434),"-","")," ",""),마스터시트!$A$2:$H$1946,6,FALSE),""))</f>
        <v/>
      </c>
      <c r="R1434" s="18" t="str">
        <f>IF($K1434="","",IFERROR(VLOOKUP(--SUBSTITUTE(SUBSTITUTE(TRIM($K1434),"-","")," ",""),마스터시트!$A$2:$H$1946,7,FALSE),""))</f>
        <v/>
      </c>
    </row>
    <row r="1435" spans="13:18" x14ac:dyDescent="0.3">
      <c r="M1435" s="18" t="str">
        <f>IF($K1435="","",IFERROR(VLOOKUP(--SUBSTITUTE(SUBSTITUTE(TRIM($K1435),"-","")," ",""),마스터시트!$A$2:$H$1946,2,FALSE),"미등록"))</f>
        <v/>
      </c>
      <c r="N1435" s="53" t="str">
        <f>IF($K1435="","",IFERROR(VLOOKUP(--SUBSTITUTE(SUBSTITUTE(TRIM($K1435),"-","")," ",""),마스터시트!$A$2:$H$1946,3,FALSE),"미등록"))</f>
        <v/>
      </c>
      <c r="O1435" s="18" t="str">
        <f>IF($K1435="","",IFERROR(VLOOKUP(--SUBSTITUTE(SUBSTITUTE(TRIM($K1435),"-","")," ",""),마스터시트!$A$2:$H$1946,4,FALSE),""))</f>
        <v/>
      </c>
      <c r="P1435" s="18" t="str">
        <f>IF($K1435="","",IFERROR(VLOOKUP(--SUBSTITUTE(SUBSTITUTE(TRIM($K1435),"-","")," ",""),마스터시트!$A$2:$H$1946,5,FALSE),""))</f>
        <v/>
      </c>
      <c r="Q1435" s="18" t="str">
        <f>IF($K1435="","",IFERROR(VLOOKUP(--SUBSTITUTE(SUBSTITUTE(TRIM($K1435),"-","")," ",""),마스터시트!$A$2:$H$1946,6,FALSE),""))</f>
        <v/>
      </c>
      <c r="R1435" s="18" t="str">
        <f>IF($K1435="","",IFERROR(VLOOKUP(--SUBSTITUTE(SUBSTITUTE(TRIM($K1435),"-","")," ",""),마스터시트!$A$2:$H$1946,7,FALSE),""))</f>
        <v/>
      </c>
    </row>
    <row r="1436" spans="13:18" x14ac:dyDescent="0.3">
      <c r="M1436" s="18" t="str">
        <f>IF($K1436="","",IFERROR(VLOOKUP(--SUBSTITUTE(SUBSTITUTE(TRIM($K1436),"-","")," ",""),마스터시트!$A$2:$H$1946,2,FALSE),"미등록"))</f>
        <v/>
      </c>
      <c r="N1436" s="53" t="str">
        <f>IF($K1436="","",IFERROR(VLOOKUP(--SUBSTITUTE(SUBSTITUTE(TRIM($K1436),"-","")," ",""),마스터시트!$A$2:$H$1946,3,FALSE),"미등록"))</f>
        <v/>
      </c>
      <c r="O1436" s="18" t="str">
        <f>IF($K1436="","",IFERROR(VLOOKUP(--SUBSTITUTE(SUBSTITUTE(TRIM($K1436),"-","")," ",""),마스터시트!$A$2:$H$1946,4,FALSE),""))</f>
        <v/>
      </c>
      <c r="P1436" s="18" t="str">
        <f>IF($K1436="","",IFERROR(VLOOKUP(--SUBSTITUTE(SUBSTITUTE(TRIM($K1436),"-","")," ",""),마스터시트!$A$2:$H$1946,5,FALSE),""))</f>
        <v/>
      </c>
      <c r="Q1436" s="18" t="str">
        <f>IF($K1436="","",IFERROR(VLOOKUP(--SUBSTITUTE(SUBSTITUTE(TRIM($K1436),"-","")," ",""),마스터시트!$A$2:$H$1946,6,FALSE),""))</f>
        <v/>
      </c>
      <c r="R1436" s="18" t="str">
        <f>IF($K1436="","",IFERROR(VLOOKUP(--SUBSTITUTE(SUBSTITUTE(TRIM($K1436),"-","")," ",""),마스터시트!$A$2:$H$1946,7,FALSE),""))</f>
        <v/>
      </c>
    </row>
    <row r="1437" spans="13:18" x14ac:dyDescent="0.3">
      <c r="M1437" s="18" t="str">
        <f>IF($K1437="","",IFERROR(VLOOKUP(--SUBSTITUTE(SUBSTITUTE(TRIM($K1437),"-","")," ",""),마스터시트!$A$2:$H$1946,2,FALSE),"미등록"))</f>
        <v/>
      </c>
      <c r="N1437" s="53" t="str">
        <f>IF($K1437="","",IFERROR(VLOOKUP(--SUBSTITUTE(SUBSTITUTE(TRIM($K1437),"-","")," ",""),마스터시트!$A$2:$H$1946,3,FALSE),"미등록"))</f>
        <v/>
      </c>
      <c r="O1437" s="18" t="str">
        <f>IF($K1437="","",IFERROR(VLOOKUP(--SUBSTITUTE(SUBSTITUTE(TRIM($K1437),"-","")," ",""),마스터시트!$A$2:$H$1946,4,FALSE),""))</f>
        <v/>
      </c>
      <c r="P1437" s="18" t="str">
        <f>IF($K1437="","",IFERROR(VLOOKUP(--SUBSTITUTE(SUBSTITUTE(TRIM($K1437),"-","")," ",""),마스터시트!$A$2:$H$1946,5,FALSE),""))</f>
        <v/>
      </c>
      <c r="Q1437" s="18" t="str">
        <f>IF($K1437="","",IFERROR(VLOOKUP(--SUBSTITUTE(SUBSTITUTE(TRIM($K1437),"-","")," ",""),마스터시트!$A$2:$H$1946,6,FALSE),""))</f>
        <v/>
      </c>
      <c r="R1437" s="18" t="str">
        <f>IF($K1437="","",IFERROR(VLOOKUP(--SUBSTITUTE(SUBSTITUTE(TRIM($K1437),"-","")," ",""),마스터시트!$A$2:$H$1946,7,FALSE),""))</f>
        <v/>
      </c>
    </row>
    <row r="1438" spans="13:18" x14ac:dyDescent="0.3">
      <c r="M1438" s="18" t="str">
        <f>IF($K1438="","",IFERROR(VLOOKUP(--SUBSTITUTE(SUBSTITUTE(TRIM($K1438),"-","")," ",""),마스터시트!$A$2:$H$1946,2,FALSE),"미등록"))</f>
        <v/>
      </c>
      <c r="N1438" s="53" t="str">
        <f>IF($K1438="","",IFERROR(VLOOKUP(--SUBSTITUTE(SUBSTITUTE(TRIM($K1438),"-","")," ",""),마스터시트!$A$2:$H$1946,3,FALSE),"미등록"))</f>
        <v/>
      </c>
      <c r="O1438" s="18" t="str">
        <f>IF($K1438="","",IFERROR(VLOOKUP(--SUBSTITUTE(SUBSTITUTE(TRIM($K1438),"-","")," ",""),마스터시트!$A$2:$H$1946,4,FALSE),""))</f>
        <v/>
      </c>
      <c r="P1438" s="18" t="str">
        <f>IF($K1438="","",IFERROR(VLOOKUP(--SUBSTITUTE(SUBSTITUTE(TRIM($K1438),"-","")," ",""),마스터시트!$A$2:$H$1946,5,FALSE),""))</f>
        <v/>
      </c>
      <c r="Q1438" s="18" t="str">
        <f>IF($K1438="","",IFERROR(VLOOKUP(--SUBSTITUTE(SUBSTITUTE(TRIM($K1438),"-","")," ",""),마스터시트!$A$2:$H$1946,6,FALSE),""))</f>
        <v/>
      </c>
      <c r="R1438" s="18" t="str">
        <f>IF($K1438="","",IFERROR(VLOOKUP(--SUBSTITUTE(SUBSTITUTE(TRIM($K1438),"-","")," ",""),마스터시트!$A$2:$H$1946,7,FALSE),""))</f>
        <v/>
      </c>
    </row>
    <row r="1439" spans="13:18" x14ac:dyDescent="0.3">
      <c r="M1439" s="18" t="str">
        <f>IF($K1439="","",IFERROR(VLOOKUP(--SUBSTITUTE(SUBSTITUTE(TRIM($K1439),"-","")," ",""),마스터시트!$A$2:$H$1946,2,FALSE),"미등록"))</f>
        <v/>
      </c>
      <c r="N1439" s="53" t="str">
        <f>IF($K1439="","",IFERROR(VLOOKUP(--SUBSTITUTE(SUBSTITUTE(TRIM($K1439),"-","")," ",""),마스터시트!$A$2:$H$1946,3,FALSE),"미등록"))</f>
        <v/>
      </c>
      <c r="O1439" s="18" t="str">
        <f>IF($K1439="","",IFERROR(VLOOKUP(--SUBSTITUTE(SUBSTITUTE(TRIM($K1439),"-","")," ",""),마스터시트!$A$2:$H$1946,4,FALSE),""))</f>
        <v/>
      </c>
      <c r="P1439" s="18" t="str">
        <f>IF($K1439="","",IFERROR(VLOOKUP(--SUBSTITUTE(SUBSTITUTE(TRIM($K1439),"-","")," ",""),마스터시트!$A$2:$H$1946,5,FALSE),""))</f>
        <v/>
      </c>
      <c r="Q1439" s="18" t="str">
        <f>IF($K1439="","",IFERROR(VLOOKUP(--SUBSTITUTE(SUBSTITUTE(TRIM($K1439),"-","")," ",""),마스터시트!$A$2:$H$1946,6,FALSE),""))</f>
        <v/>
      </c>
      <c r="R1439" s="18" t="str">
        <f>IF($K1439="","",IFERROR(VLOOKUP(--SUBSTITUTE(SUBSTITUTE(TRIM($K1439),"-","")," ",""),마스터시트!$A$2:$H$1946,7,FALSE),""))</f>
        <v/>
      </c>
    </row>
    <row r="1440" spans="13:18" x14ac:dyDescent="0.3">
      <c r="M1440" s="18" t="str">
        <f>IF($K1440="","",IFERROR(VLOOKUP(--SUBSTITUTE(SUBSTITUTE(TRIM($K1440),"-","")," ",""),마스터시트!$A$2:$H$1946,2,FALSE),"미등록"))</f>
        <v/>
      </c>
      <c r="N1440" s="53" t="str">
        <f>IF($K1440="","",IFERROR(VLOOKUP(--SUBSTITUTE(SUBSTITUTE(TRIM($K1440),"-","")," ",""),마스터시트!$A$2:$H$1946,3,FALSE),"미등록"))</f>
        <v/>
      </c>
      <c r="O1440" s="18" t="str">
        <f>IF($K1440="","",IFERROR(VLOOKUP(--SUBSTITUTE(SUBSTITUTE(TRIM($K1440),"-","")," ",""),마스터시트!$A$2:$H$1946,4,FALSE),""))</f>
        <v/>
      </c>
      <c r="P1440" s="18" t="str">
        <f>IF($K1440="","",IFERROR(VLOOKUP(--SUBSTITUTE(SUBSTITUTE(TRIM($K1440),"-","")," ",""),마스터시트!$A$2:$H$1946,5,FALSE),""))</f>
        <v/>
      </c>
      <c r="Q1440" s="18" t="str">
        <f>IF($K1440="","",IFERROR(VLOOKUP(--SUBSTITUTE(SUBSTITUTE(TRIM($K1440),"-","")," ",""),마스터시트!$A$2:$H$1946,6,FALSE),""))</f>
        <v/>
      </c>
      <c r="R1440" s="18" t="str">
        <f>IF($K1440="","",IFERROR(VLOOKUP(--SUBSTITUTE(SUBSTITUTE(TRIM($K1440),"-","")," ",""),마스터시트!$A$2:$H$1946,7,FALSE),""))</f>
        <v/>
      </c>
    </row>
    <row r="1441" spans="13:18" x14ac:dyDescent="0.3">
      <c r="M1441" s="18" t="str">
        <f>IF($K1441="","",IFERROR(VLOOKUP(--SUBSTITUTE(SUBSTITUTE(TRIM($K1441),"-","")," ",""),마스터시트!$A$2:$H$1946,2,FALSE),"미등록"))</f>
        <v/>
      </c>
      <c r="N1441" s="53" t="str">
        <f>IF($K1441="","",IFERROR(VLOOKUP(--SUBSTITUTE(SUBSTITUTE(TRIM($K1441),"-","")," ",""),마스터시트!$A$2:$H$1946,3,FALSE),"미등록"))</f>
        <v/>
      </c>
      <c r="O1441" s="18" t="str">
        <f>IF($K1441="","",IFERROR(VLOOKUP(--SUBSTITUTE(SUBSTITUTE(TRIM($K1441),"-","")," ",""),마스터시트!$A$2:$H$1946,4,FALSE),""))</f>
        <v/>
      </c>
      <c r="P1441" s="18" t="str">
        <f>IF($K1441="","",IFERROR(VLOOKUP(--SUBSTITUTE(SUBSTITUTE(TRIM($K1441),"-","")," ",""),마스터시트!$A$2:$H$1946,5,FALSE),""))</f>
        <v/>
      </c>
      <c r="Q1441" s="18" t="str">
        <f>IF($K1441="","",IFERROR(VLOOKUP(--SUBSTITUTE(SUBSTITUTE(TRIM($K1441),"-","")," ",""),마스터시트!$A$2:$H$1946,6,FALSE),""))</f>
        <v/>
      </c>
      <c r="R1441" s="18" t="str">
        <f>IF($K1441="","",IFERROR(VLOOKUP(--SUBSTITUTE(SUBSTITUTE(TRIM($K1441),"-","")," ",""),마스터시트!$A$2:$H$1946,7,FALSE),""))</f>
        <v/>
      </c>
    </row>
    <row r="1442" spans="13:18" x14ac:dyDescent="0.3">
      <c r="M1442" s="18" t="str">
        <f>IF($K1442="","",IFERROR(VLOOKUP(--SUBSTITUTE(SUBSTITUTE(TRIM($K1442),"-","")," ",""),마스터시트!$A$2:$H$1946,2,FALSE),"미등록"))</f>
        <v/>
      </c>
      <c r="N1442" s="53" t="str">
        <f>IF($K1442="","",IFERROR(VLOOKUP(--SUBSTITUTE(SUBSTITUTE(TRIM($K1442),"-","")," ",""),마스터시트!$A$2:$H$1946,3,FALSE),"미등록"))</f>
        <v/>
      </c>
      <c r="O1442" s="18" t="str">
        <f>IF($K1442="","",IFERROR(VLOOKUP(--SUBSTITUTE(SUBSTITUTE(TRIM($K1442),"-","")," ",""),마스터시트!$A$2:$H$1946,4,FALSE),""))</f>
        <v/>
      </c>
      <c r="P1442" s="18" t="str">
        <f>IF($K1442="","",IFERROR(VLOOKUP(--SUBSTITUTE(SUBSTITUTE(TRIM($K1442),"-","")," ",""),마스터시트!$A$2:$H$1946,5,FALSE),""))</f>
        <v/>
      </c>
      <c r="Q1442" s="18" t="str">
        <f>IF($K1442="","",IFERROR(VLOOKUP(--SUBSTITUTE(SUBSTITUTE(TRIM($K1442),"-","")," ",""),마스터시트!$A$2:$H$1946,6,FALSE),""))</f>
        <v/>
      </c>
      <c r="R1442" s="18" t="str">
        <f>IF($K1442="","",IFERROR(VLOOKUP(--SUBSTITUTE(SUBSTITUTE(TRIM($K1442),"-","")," ",""),마스터시트!$A$2:$H$1946,7,FALSE),""))</f>
        <v/>
      </c>
    </row>
    <row r="1443" spans="13:18" x14ac:dyDescent="0.3">
      <c r="M1443" s="18" t="str">
        <f>IF($K1443="","",IFERROR(VLOOKUP(--SUBSTITUTE(SUBSTITUTE(TRIM($K1443),"-","")," ",""),마스터시트!$A$2:$H$1946,2,FALSE),"미등록"))</f>
        <v/>
      </c>
      <c r="N1443" s="53" t="str">
        <f>IF($K1443="","",IFERROR(VLOOKUP(--SUBSTITUTE(SUBSTITUTE(TRIM($K1443),"-","")," ",""),마스터시트!$A$2:$H$1946,3,FALSE),"미등록"))</f>
        <v/>
      </c>
      <c r="O1443" s="18" t="str">
        <f>IF($K1443="","",IFERROR(VLOOKUP(--SUBSTITUTE(SUBSTITUTE(TRIM($K1443),"-","")," ",""),마스터시트!$A$2:$H$1946,4,FALSE),""))</f>
        <v/>
      </c>
      <c r="P1443" s="18" t="str">
        <f>IF($K1443="","",IFERROR(VLOOKUP(--SUBSTITUTE(SUBSTITUTE(TRIM($K1443),"-","")," ",""),마스터시트!$A$2:$H$1946,5,FALSE),""))</f>
        <v/>
      </c>
      <c r="Q1443" s="18" t="str">
        <f>IF($K1443="","",IFERROR(VLOOKUP(--SUBSTITUTE(SUBSTITUTE(TRIM($K1443),"-","")," ",""),마스터시트!$A$2:$H$1946,6,FALSE),""))</f>
        <v/>
      </c>
      <c r="R1443" s="18" t="str">
        <f>IF($K1443="","",IFERROR(VLOOKUP(--SUBSTITUTE(SUBSTITUTE(TRIM($K1443),"-","")," ",""),마스터시트!$A$2:$H$1946,7,FALSE),""))</f>
        <v/>
      </c>
    </row>
    <row r="1444" spans="13:18" x14ac:dyDescent="0.3">
      <c r="M1444" s="18" t="str">
        <f>IF($K1444="","",IFERROR(VLOOKUP(--SUBSTITUTE(SUBSTITUTE(TRIM($K1444),"-","")," ",""),마스터시트!$A$2:$H$1946,2,FALSE),"미등록"))</f>
        <v/>
      </c>
      <c r="N1444" s="53" t="str">
        <f>IF($K1444="","",IFERROR(VLOOKUP(--SUBSTITUTE(SUBSTITUTE(TRIM($K1444),"-","")," ",""),마스터시트!$A$2:$H$1946,3,FALSE),"미등록"))</f>
        <v/>
      </c>
      <c r="O1444" s="18" t="str">
        <f>IF($K1444="","",IFERROR(VLOOKUP(--SUBSTITUTE(SUBSTITUTE(TRIM($K1444),"-","")," ",""),마스터시트!$A$2:$H$1946,4,FALSE),""))</f>
        <v/>
      </c>
      <c r="P1444" s="18" t="str">
        <f>IF($K1444="","",IFERROR(VLOOKUP(--SUBSTITUTE(SUBSTITUTE(TRIM($K1444),"-","")," ",""),마스터시트!$A$2:$H$1946,5,FALSE),""))</f>
        <v/>
      </c>
      <c r="Q1444" s="18" t="str">
        <f>IF($K1444="","",IFERROR(VLOOKUP(--SUBSTITUTE(SUBSTITUTE(TRIM($K1444),"-","")," ",""),마스터시트!$A$2:$H$1946,6,FALSE),""))</f>
        <v/>
      </c>
      <c r="R1444" s="18" t="str">
        <f>IF($K1444="","",IFERROR(VLOOKUP(--SUBSTITUTE(SUBSTITUTE(TRIM($K1444),"-","")," ",""),마스터시트!$A$2:$H$1946,7,FALSE),""))</f>
        <v/>
      </c>
    </row>
    <row r="1445" spans="13:18" x14ac:dyDescent="0.3">
      <c r="M1445" s="18" t="str">
        <f>IF($K1445="","",IFERROR(VLOOKUP(--SUBSTITUTE(SUBSTITUTE(TRIM($K1445),"-","")," ",""),마스터시트!$A$2:$H$1946,2,FALSE),"미등록"))</f>
        <v/>
      </c>
      <c r="N1445" s="53" t="str">
        <f>IF($K1445="","",IFERROR(VLOOKUP(--SUBSTITUTE(SUBSTITUTE(TRIM($K1445),"-","")," ",""),마스터시트!$A$2:$H$1946,3,FALSE),"미등록"))</f>
        <v/>
      </c>
      <c r="O1445" s="18" t="str">
        <f>IF($K1445="","",IFERROR(VLOOKUP(--SUBSTITUTE(SUBSTITUTE(TRIM($K1445),"-","")," ",""),마스터시트!$A$2:$H$1946,4,FALSE),""))</f>
        <v/>
      </c>
      <c r="P1445" s="18" t="str">
        <f>IF($K1445="","",IFERROR(VLOOKUP(--SUBSTITUTE(SUBSTITUTE(TRIM($K1445),"-","")," ",""),마스터시트!$A$2:$H$1946,5,FALSE),""))</f>
        <v/>
      </c>
      <c r="Q1445" s="18" t="str">
        <f>IF($K1445="","",IFERROR(VLOOKUP(--SUBSTITUTE(SUBSTITUTE(TRIM($K1445),"-","")," ",""),마스터시트!$A$2:$H$1946,6,FALSE),""))</f>
        <v/>
      </c>
      <c r="R1445" s="18" t="str">
        <f>IF($K1445="","",IFERROR(VLOOKUP(--SUBSTITUTE(SUBSTITUTE(TRIM($K1445),"-","")," ",""),마스터시트!$A$2:$H$1946,7,FALSE),""))</f>
        <v/>
      </c>
    </row>
    <row r="1446" spans="13:18" x14ac:dyDescent="0.3">
      <c r="M1446" s="18" t="str">
        <f>IF($K1446="","",IFERROR(VLOOKUP(--SUBSTITUTE(SUBSTITUTE(TRIM($K1446),"-","")," ",""),마스터시트!$A$2:$H$1946,2,FALSE),"미등록"))</f>
        <v/>
      </c>
      <c r="N1446" s="53" t="str">
        <f>IF($K1446="","",IFERROR(VLOOKUP(--SUBSTITUTE(SUBSTITUTE(TRIM($K1446),"-","")," ",""),마스터시트!$A$2:$H$1946,3,FALSE),"미등록"))</f>
        <v/>
      </c>
      <c r="O1446" s="18" t="str">
        <f>IF($K1446="","",IFERROR(VLOOKUP(--SUBSTITUTE(SUBSTITUTE(TRIM($K1446),"-","")," ",""),마스터시트!$A$2:$H$1946,4,FALSE),""))</f>
        <v/>
      </c>
      <c r="P1446" s="18" t="str">
        <f>IF($K1446="","",IFERROR(VLOOKUP(--SUBSTITUTE(SUBSTITUTE(TRIM($K1446),"-","")," ",""),마스터시트!$A$2:$H$1946,5,FALSE),""))</f>
        <v/>
      </c>
      <c r="Q1446" s="18" t="str">
        <f>IF($K1446="","",IFERROR(VLOOKUP(--SUBSTITUTE(SUBSTITUTE(TRIM($K1446),"-","")," ",""),마스터시트!$A$2:$H$1946,6,FALSE),""))</f>
        <v/>
      </c>
      <c r="R1446" s="18" t="str">
        <f>IF($K1446="","",IFERROR(VLOOKUP(--SUBSTITUTE(SUBSTITUTE(TRIM($K1446),"-","")," ",""),마스터시트!$A$2:$H$1946,7,FALSE),""))</f>
        <v/>
      </c>
    </row>
    <row r="1447" spans="13:18" x14ac:dyDescent="0.3">
      <c r="M1447" s="18" t="str">
        <f>IF($K1447="","",IFERROR(VLOOKUP(--SUBSTITUTE(SUBSTITUTE(TRIM($K1447),"-","")," ",""),마스터시트!$A$2:$H$1946,2,FALSE),"미등록"))</f>
        <v/>
      </c>
      <c r="N1447" s="53" t="str">
        <f>IF($K1447="","",IFERROR(VLOOKUP(--SUBSTITUTE(SUBSTITUTE(TRIM($K1447),"-","")," ",""),마스터시트!$A$2:$H$1946,3,FALSE),"미등록"))</f>
        <v/>
      </c>
      <c r="O1447" s="18" t="str">
        <f>IF($K1447="","",IFERROR(VLOOKUP(--SUBSTITUTE(SUBSTITUTE(TRIM($K1447),"-","")," ",""),마스터시트!$A$2:$H$1946,4,FALSE),""))</f>
        <v/>
      </c>
      <c r="P1447" s="18" t="str">
        <f>IF($K1447="","",IFERROR(VLOOKUP(--SUBSTITUTE(SUBSTITUTE(TRIM($K1447),"-","")," ",""),마스터시트!$A$2:$H$1946,5,FALSE),""))</f>
        <v/>
      </c>
      <c r="Q1447" s="18" t="str">
        <f>IF($K1447="","",IFERROR(VLOOKUP(--SUBSTITUTE(SUBSTITUTE(TRIM($K1447),"-","")," ",""),마스터시트!$A$2:$H$1946,6,FALSE),""))</f>
        <v/>
      </c>
      <c r="R1447" s="18" t="str">
        <f>IF($K1447="","",IFERROR(VLOOKUP(--SUBSTITUTE(SUBSTITUTE(TRIM($K1447),"-","")," ",""),마스터시트!$A$2:$H$1946,7,FALSE),""))</f>
        <v/>
      </c>
    </row>
    <row r="1448" spans="13:18" x14ac:dyDescent="0.3">
      <c r="M1448" s="18" t="str">
        <f>IF($K1448="","",IFERROR(VLOOKUP(--SUBSTITUTE(SUBSTITUTE(TRIM($K1448),"-","")," ",""),마스터시트!$A$2:$H$1946,2,FALSE),"미등록"))</f>
        <v/>
      </c>
      <c r="N1448" s="53" t="str">
        <f>IF($K1448="","",IFERROR(VLOOKUP(--SUBSTITUTE(SUBSTITUTE(TRIM($K1448),"-","")," ",""),마스터시트!$A$2:$H$1946,3,FALSE),"미등록"))</f>
        <v/>
      </c>
      <c r="O1448" s="18" t="str">
        <f>IF($K1448="","",IFERROR(VLOOKUP(--SUBSTITUTE(SUBSTITUTE(TRIM($K1448),"-","")," ",""),마스터시트!$A$2:$H$1946,4,FALSE),""))</f>
        <v/>
      </c>
      <c r="P1448" s="18" t="str">
        <f>IF($K1448="","",IFERROR(VLOOKUP(--SUBSTITUTE(SUBSTITUTE(TRIM($K1448),"-","")," ",""),마스터시트!$A$2:$H$1946,5,FALSE),""))</f>
        <v/>
      </c>
      <c r="Q1448" s="18" t="str">
        <f>IF($K1448="","",IFERROR(VLOOKUP(--SUBSTITUTE(SUBSTITUTE(TRIM($K1448),"-","")," ",""),마스터시트!$A$2:$H$1946,6,FALSE),""))</f>
        <v/>
      </c>
      <c r="R1448" s="18" t="str">
        <f>IF($K1448="","",IFERROR(VLOOKUP(--SUBSTITUTE(SUBSTITUTE(TRIM($K1448),"-","")," ",""),마스터시트!$A$2:$H$1946,7,FALSE),""))</f>
        <v/>
      </c>
    </row>
    <row r="1449" spans="13:18" x14ac:dyDescent="0.3">
      <c r="M1449" s="18" t="str">
        <f>IF($K1449="","",IFERROR(VLOOKUP(--SUBSTITUTE(SUBSTITUTE(TRIM($K1449),"-","")," ",""),마스터시트!$A$2:$H$1946,2,FALSE),"미등록"))</f>
        <v/>
      </c>
      <c r="N1449" s="53" t="str">
        <f>IF($K1449="","",IFERROR(VLOOKUP(--SUBSTITUTE(SUBSTITUTE(TRIM($K1449),"-","")," ",""),마스터시트!$A$2:$H$1946,3,FALSE),"미등록"))</f>
        <v/>
      </c>
      <c r="O1449" s="18" t="str">
        <f>IF($K1449="","",IFERROR(VLOOKUP(--SUBSTITUTE(SUBSTITUTE(TRIM($K1449),"-","")," ",""),마스터시트!$A$2:$H$1946,4,FALSE),""))</f>
        <v/>
      </c>
      <c r="P1449" s="18" t="str">
        <f>IF($K1449="","",IFERROR(VLOOKUP(--SUBSTITUTE(SUBSTITUTE(TRIM($K1449),"-","")," ",""),마스터시트!$A$2:$H$1946,5,FALSE),""))</f>
        <v/>
      </c>
      <c r="Q1449" s="18" t="str">
        <f>IF($K1449="","",IFERROR(VLOOKUP(--SUBSTITUTE(SUBSTITUTE(TRIM($K1449),"-","")," ",""),마스터시트!$A$2:$H$1946,6,FALSE),""))</f>
        <v/>
      </c>
      <c r="R1449" s="18" t="str">
        <f>IF($K1449="","",IFERROR(VLOOKUP(--SUBSTITUTE(SUBSTITUTE(TRIM($K1449),"-","")," ",""),마스터시트!$A$2:$H$1946,7,FALSE),""))</f>
        <v/>
      </c>
    </row>
    <row r="1450" spans="13:18" x14ac:dyDescent="0.3">
      <c r="M1450" s="18" t="str">
        <f>IF($K1450="","",IFERROR(VLOOKUP(--SUBSTITUTE(SUBSTITUTE(TRIM($K1450),"-","")," ",""),마스터시트!$A$2:$H$1946,2,FALSE),"미등록"))</f>
        <v/>
      </c>
      <c r="N1450" s="53" t="str">
        <f>IF($K1450="","",IFERROR(VLOOKUP(--SUBSTITUTE(SUBSTITUTE(TRIM($K1450),"-","")," ",""),마스터시트!$A$2:$H$1946,3,FALSE),"미등록"))</f>
        <v/>
      </c>
      <c r="O1450" s="18" t="str">
        <f>IF($K1450="","",IFERROR(VLOOKUP(--SUBSTITUTE(SUBSTITUTE(TRIM($K1450),"-","")," ",""),마스터시트!$A$2:$H$1946,4,FALSE),""))</f>
        <v/>
      </c>
      <c r="P1450" s="18" t="str">
        <f>IF($K1450="","",IFERROR(VLOOKUP(--SUBSTITUTE(SUBSTITUTE(TRIM($K1450),"-","")," ",""),마스터시트!$A$2:$H$1946,5,FALSE),""))</f>
        <v/>
      </c>
      <c r="Q1450" s="18" t="str">
        <f>IF($K1450="","",IFERROR(VLOOKUP(--SUBSTITUTE(SUBSTITUTE(TRIM($K1450),"-","")," ",""),마스터시트!$A$2:$H$1946,6,FALSE),""))</f>
        <v/>
      </c>
      <c r="R1450" s="18" t="str">
        <f>IF($K1450="","",IFERROR(VLOOKUP(--SUBSTITUTE(SUBSTITUTE(TRIM($K1450),"-","")," ",""),마스터시트!$A$2:$H$1946,7,FALSE),""))</f>
        <v/>
      </c>
    </row>
    <row r="1451" spans="13:18" x14ac:dyDescent="0.3">
      <c r="M1451" s="18" t="str">
        <f>IF($K1451="","",IFERROR(VLOOKUP(--SUBSTITUTE(SUBSTITUTE(TRIM($K1451),"-","")," ",""),마스터시트!$A$2:$H$1946,2,FALSE),"미등록"))</f>
        <v/>
      </c>
      <c r="N1451" s="53" t="str">
        <f>IF($K1451="","",IFERROR(VLOOKUP(--SUBSTITUTE(SUBSTITUTE(TRIM($K1451),"-","")," ",""),마스터시트!$A$2:$H$1946,3,FALSE),"미등록"))</f>
        <v/>
      </c>
      <c r="O1451" s="18" t="str">
        <f>IF($K1451="","",IFERROR(VLOOKUP(--SUBSTITUTE(SUBSTITUTE(TRIM($K1451),"-","")," ",""),마스터시트!$A$2:$H$1946,4,FALSE),""))</f>
        <v/>
      </c>
      <c r="P1451" s="18" t="str">
        <f>IF($K1451="","",IFERROR(VLOOKUP(--SUBSTITUTE(SUBSTITUTE(TRIM($K1451),"-","")," ",""),마스터시트!$A$2:$H$1946,5,FALSE),""))</f>
        <v/>
      </c>
      <c r="Q1451" s="18" t="str">
        <f>IF($K1451="","",IFERROR(VLOOKUP(--SUBSTITUTE(SUBSTITUTE(TRIM($K1451),"-","")," ",""),마스터시트!$A$2:$H$1946,6,FALSE),""))</f>
        <v/>
      </c>
      <c r="R1451" s="18" t="str">
        <f>IF($K1451="","",IFERROR(VLOOKUP(--SUBSTITUTE(SUBSTITUTE(TRIM($K1451),"-","")," ",""),마스터시트!$A$2:$H$1946,7,FALSE),""))</f>
        <v/>
      </c>
    </row>
    <row r="1452" spans="13:18" x14ac:dyDescent="0.3">
      <c r="M1452" s="18" t="str">
        <f>IF($K1452="","",IFERROR(VLOOKUP(--SUBSTITUTE(SUBSTITUTE(TRIM($K1452),"-","")," ",""),마스터시트!$A$2:$H$1946,2,FALSE),"미등록"))</f>
        <v/>
      </c>
      <c r="N1452" s="53" t="str">
        <f>IF($K1452="","",IFERROR(VLOOKUP(--SUBSTITUTE(SUBSTITUTE(TRIM($K1452),"-","")," ",""),마스터시트!$A$2:$H$1946,3,FALSE),"미등록"))</f>
        <v/>
      </c>
      <c r="O1452" s="18" t="str">
        <f>IF($K1452="","",IFERROR(VLOOKUP(--SUBSTITUTE(SUBSTITUTE(TRIM($K1452),"-","")," ",""),마스터시트!$A$2:$H$1946,4,FALSE),""))</f>
        <v/>
      </c>
      <c r="P1452" s="18" t="str">
        <f>IF($K1452="","",IFERROR(VLOOKUP(--SUBSTITUTE(SUBSTITUTE(TRIM($K1452),"-","")," ",""),마스터시트!$A$2:$H$1946,5,FALSE),""))</f>
        <v/>
      </c>
      <c r="Q1452" s="18" t="str">
        <f>IF($K1452="","",IFERROR(VLOOKUP(--SUBSTITUTE(SUBSTITUTE(TRIM($K1452),"-","")," ",""),마스터시트!$A$2:$H$1946,6,FALSE),""))</f>
        <v/>
      </c>
      <c r="R1452" s="18" t="str">
        <f>IF($K1452="","",IFERROR(VLOOKUP(--SUBSTITUTE(SUBSTITUTE(TRIM($K1452),"-","")," ",""),마스터시트!$A$2:$H$1946,7,FALSE),""))</f>
        <v/>
      </c>
    </row>
    <row r="1453" spans="13:18" x14ac:dyDescent="0.3">
      <c r="M1453" s="18" t="str">
        <f>IF($K1453="","",IFERROR(VLOOKUP(--SUBSTITUTE(SUBSTITUTE(TRIM($K1453),"-","")," ",""),마스터시트!$A$2:$H$1946,2,FALSE),"미등록"))</f>
        <v/>
      </c>
      <c r="N1453" s="53" t="str">
        <f>IF($K1453="","",IFERROR(VLOOKUP(--SUBSTITUTE(SUBSTITUTE(TRIM($K1453),"-","")," ",""),마스터시트!$A$2:$H$1946,3,FALSE),"미등록"))</f>
        <v/>
      </c>
      <c r="O1453" s="18" t="str">
        <f>IF($K1453="","",IFERROR(VLOOKUP(--SUBSTITUTE(SUBSTITUTE(TRIM($K1453),"-","")," ",""),마스터시트!$A$2:$H$1946,4,FALSE),""))</f>
        <v/>
      </c>
      <c r="P1453" s="18" t="str">
        <f>IF($K1453="","",IFERROR(VLOOKUP(--SUBSTITUTE(SUBSTITUTE(TRIM($K1453),"-","")," ",""),마스터시트!$A$2:$H$1946,5,FALSE),""))</f>
        <v/>
      </c>
      <c r="Q1453" s="18" t="str">
        <f>IF($K1453="","",IFERROR(VLOOKUP(--SUBSTITUTE(SUBSTITUTE(TRIM($K1453),"-","")," ",""),마스터시트!$A$2:$H$1946,6,FALSE),""))</f>
        <v/>
      </c>
      <c r="R1453" s="18" t="str">
        <f>IF($K1453="","",IFERROR(VLOOKUP(--SUBSTITUTE(SUBSTITUTE(TRIM($K1453),"-","")," ",""),마스터시트!$A$2:$H$1946,7,FALSE),""))</f>
        <v/>
      </c>
    </row>
    <row r="1454" spans="13:18" x14ac:dyDescent="0.3">
      <c r="M1454" s="18" t="str">
        <f>IF($K1454="","",IFERROR(VLOOKUP(--SUBSTITUTE(SUBSTITUTE(TRIM($K1454),"-","")," ",""),마스터시트!$A$2:$H$1946,2,FALSE),"미등록"))</f>
        <v/>
      </c>
      <c r="N1454" s="53" t="str">
        <f>IF($K1454="","",IFERROR(VLOOKUP(--SUBSTITUTE(SUBSTITUTE(TRIM($K1454),"-","")," ",""),마스터시트!$A$2:$H$1946,3,FALSE),"미등록"))</f>
        <v/>
      </c>
      <c r="O1454" s="18" t="str">
        <f>IF($K1454="","",IFERROR(VLOOKUP(--SUBSTITUTE(SUBSTITUTE(TRIM($K1454),"-","")," ",""),마스터시트!$A$2:$H$1946,4,FALSE),""))</f>
        <v/>
      </c>
      <c r="P1454" s="18" t="str">
        <f>IF($K1454="","",IFERROR(VLOOKUP(--SUBSTITUTE(SUBSTITUTE(TRIM($K1454),"-","")," ",""),마스터시트!$A$2:$H$1946,5,FALSE),""))</f>
        <v/>
      </c>
      <c r="Q1454" s="18" t="str">
        <f>IF($K1454="","",IFERROR(VLOOKUP(--SUBSTITUTE(SUBSTITUTE(TRIM($K1454),"-","")," ",""),마스터시트!$A$2:$H$1946,6,FALSE),""))</f>
        <v/>
      </c>
      <c r="R1454" s="18" t="str">
        <f>IF($K1454="","",IFERROR(VLOOKUP(--SUBSTITUTE(SUBSTITUTE(TRIM($K1454),"-","")," ",""),마스터시트!$A$2:$H$1946,7,FALSE),""))</f>
        <v/>
      </c>
    </row>
    <row r="1455" spans="13:18" x14ac:dyDescent="0.3">
      <c r="M1455" s="18" t="str">
        <f>IF($K1455="","",IFERROR(VLOOKUP(--SUBSTITUTE(SUBSTITUTE(TRIM($K1455),"-","")," ",""),마스터시트!$A$2:$H$1946,2,FALSE),"미등록"))</f>
        <v/>
      </c>
      <c r="N1455" s="53" t="str">
        <f>IF($K1455="","",IFERROR(VLOOKUP(--SUBSTITUTE(SUBSTITUTE(TRIM($K1455),"-","")," ",""),마스터시트!$A$2:$H$1946,3,FALSE),"미등록"))</f>
        <v/>
      </c>
      <c r="O1455" s="18" t="str">
        <f>IF($K1455="","",IFERROR(VLOOKUP(--SUBSTITUTE(SUBSTITUTE(TRIM($K1455),"-","")," ",""),마스터시트!$A$2:$H$1946,4,FALSE),""))</f>
        <v/>
      </c>
      <c r="P1455" s="18" t="str">
        <f>IF($K1455="","",IFERROR(VLOOKUP(--SUBSTITUTE(SUBSTITUTE(TRIM($K1455),"-","")," ",""),마스터시트!$A$2:$H$1946,5,FALSE),""))</f>
        <v/>
      </c>
      <c r="Q1455" s="18" t="str">
        <f>IF($K1455="","",IFERROR(VLOOKUP(--SUBSTITUTE(SUBSTITUTE(TRIM($K1455),"-","")," ",""),마스터시트!$A$2:$H$1946,6,FALSE),""))</f>
        <v/>
      </c>
      <c r="R1455" s="18" t="str">
        <f>IF($K1455="","",IFERROR(VLOOKUP(--SUBSTITUTE(SUBSTITUTE(TRIM($K1455),"-","")," ",""),마스터시트!$A$2:$H$1946,7,FALSE),""))</f>
        <v/>
      </c>
    </row>
    <row r="1456" spans="13:18" x14ac:dyDescent="0.3">
      <c r="M1456" s="18" t="str">
        <f>IF($K1456="","",IFERROR(VLOOKUP(--SUBSTITUTE(SUBSTITUTE(TRIM($K1456),"-","")," ",""),마스터시트!$A$2:$H$1946,2,FALSE),"미등록"))</f>
        <v/>
      </c>
      <c r="N1456" s="53" t="str">
        <f>IF($K1456="","",IFERROR(VLOOKUP(--SUBSTITUTE(SUBSTITUTE(TRIM($K1456),"-","")," ",""),마스터시트!$A$2:$H$1946,3,FALSE),"미등록"))</f>
        <v/>
      </c>
      <c r="O1456" s="18" t="str">
        <f>IF($K1456="","",IFERROR(VLOOKUP(--SUBSTITUTE(SUBSTITUTE(TRIM($K1456),"-","")," ",""),마스터시트!$A$2:$H$1946,4,FALSE),""))</f>
        <v/>
      </c>
      <c r="P1456" s="18" t="str">
        <f>IF($K1456="","",IFERROR(VLOOKUP(--SUBSTITUTE(SUBSTITUTE(TRIM($K1456),"-","")," ",""),마스터시트!$A$2:$H$1946,5,FALSE),""))</f>
        <v/>
      </c>
      <c r="Q1456" s="18" t="str">
        <f>IF($K1456="","",IFERROR(VLOOKUP(--SUBSTITUTE(SUBSTITUTE(TRIM($K1456),"-","")," ",""),마스터시트!$A$2:$H$1946,6,FALSE),""))</f>
        <v/>
      </c>
      <c r="R1456" s="18" t="str">
        <f>IF($K1456="","",IFERROR(VLOOKUP(--SUBSTITUTE(SUBSTITUTE(TRIM($K1456),"-","")," ",""),마스터시트!$A$2:$H$1946,7,FALSE),""))</f>
        <v/>
      </c>
    </row>
    <row r="1457" spans="13:18" x14ac:dyDescent="0.3">
      <c r="M1457" s="18" t="str">
        <f>IF($K1457="","",IFERROR(VLOOKUP(--SUBSTITUTE(SUBSTITUTE(TRIM($K1457),"-","")," ",""),마스터시트!$A$2:$H$1946,2,FALSE),"미등록"))</f>
        <v/>
      </c>
      <c r="N1457" s="53" t="str">
        <f>IF($K1457="","",IFERROR(VLOOKUP(--SUBSTITUTE(SUBSTITUTE(TRIM($K1457),"-","")," ",""),마스터시트!$A$2:$H$1946,3,FALSE),"미등록"))</f>
        <v/>
      </c>
      <c r="O1457" s="18" t="str">
        <f>IF($K1457="","",IFERROR(VLOOKUP(--SUBSTITUTE(SUBSTITUTE(TRIM($K1457),"-","")," ",""),마스터시트!$A$2:$H$1946,4,FALSE),""))</f>
        <v/>
      </c>
      <c r="P1457" s="18" t="str">
        <f>IF($K1457="","",IFERROR(VLOOKUP(--SUBSTITUTE(SUBSTITUTE(TRIM($K1457),"-","")," ",""),마스터시트!$A$2:$H$1946,5,FALSE),""))</f>
        <v/>
      </c>
      <c r="Q1457" s="18" t="str">
        <f>IF($K1457="","",IFERROR(VLOOKUP(--SUBSTITUTE(SUBSTITUTE(TRIM($K1457),"-","")," ",""),마스터시트!$A$2:$H$1946,6,FALSE),""))</f>
        <v/>
      </c>
      <c r="R1457" s="18" t="str">
        <f>IF($K1457="","",IFERROR(VLOOKUP(--SUBSTITUTE(SUBSTITUTE(TRIM($K1457),"-","")," ",""),마스터시트!$A$2:$H$1946,7,FALSE),""))</f>
        <v/>
      </c>
    </row>
    <row r="1458" spans="13:18" x14ac:dyDescent="0.3">
      <c r="M1458" s="18" t="str">
        <f>IF($K1458="","",IFERROR(VLOOKUP(--SUBSTITUTE(SUBSTITUTE(TRIM($K1458),"-","")," ",""),마스터시트!$A$2:$H$1946,2,FALSE),"미등록"))</f>
        <v/>
      </c>
      <c r="N1458" s="53" t="str">
        <f>IF($K1458="","",IFERROR(VLOOKUP(--SUBSTITUTE(SUBSTITUTE(TRIM($K1458),"-","")," ",""),마스터시트!$A$2:$H$1946,3,FALSE),"미등록"))</f>
        <v/>
      </c>
      <c r="O1458" s="18" t="str">
        <f>IF($K1458="","",IFERROR(VLOOKUP(--SUBSTITUTE(SUBSTITUTE(TRIM($K1458),"-","")," ",""),마스터시트!$A$2:$H$1946,4,FALSE),""))</f>
        <v/>
      </c>
      <c r="P1458" s="18" t="str">
        <f>IF($K1458="","",IFERROR(VLOOKUP(--SUBSTITUTE(SUBSTITUTE(TRIM($K1458),"-","")," ",""),마스터시트!$A$2:$H$1946,5,FALSE),""))</f>
        <v/>
      </c>
      <c r="Q1458" s="18" t="str">
        <f>IF($K1458="","",IFERROR(VLOOKUP(--SUBSTITUTE(SUBSTITUTE(TRIM($K1458),"-","")," ",""),마스터시트!$A$2:$H$1946,6,FALSE),""))</f>
        <v/>
      </c>
      <c r="R1458" s="18" t="str">
        <f>IF($K1458="","",IFERROR(VLOOKUP(--SUBSTITUTE(SUBSTITUTE(TRIM($K1458),"-","")," ",""),마스터시트!$A$2:$H$1946,7,FALSE),""))</f>
        <v/>
      </c>
    </row>
    <row r="1459" spans="13:18" x14ac:dyDescent="0.3">
      <c r="M1459" s="18" t="str">
        <f>IF($K1459="","",IFERROR(VLOOKUP(--SUBSTITUTE(SUBSTITUTE(TRIM($K1459),"-","")," ",""),마스터시트!$A$2:$H$1946,2,FALSE),"미등록"))</f>
        <v/>
      </c>
      <c r="N1459" s="53" t="str">
        <f>IF($K1459="","",IFERROR(VLOOKUP(--SUBSTITUTE(SUBSTITUTE(TRIM($K1459),"-","")," ",""),마스터시트!$A$2:$H$1946,3,FALSE),"미등록"))</f>
        <v/>
      </c>
      <c r="O1459" s="18" t="str">
        <f>IF($K1459="","",IFERROR(VLOOKUP(--SUBSTITUTE(SUBSTITUTE(TRIM($K1459),"-","")," ",""),마스터시트!$A$2:$H$1946,4,FALSE),""))</f>
        <v/>
      </c>
      <c r="P1459" s="18" t="str">
        <f>IF($K1459="","",IFERROR(VLOOKUP(--SUBSTITUTE(SUBSTITUTE(TRIM($K1459),"-","")," ",""),마스터시트!$A$2:$H$1946,5,FALSE),""))</f>
        <v/>
      </c>
      <c r="Q1459" s="18" t="str">
        <f>IF($K1459="","",IFERROR(VLOOKUP(--SUBSTITUTE(SUBSTITUTE(TRIM($K1459),"-","")," ",""),마스터시트!$A$2:$H$1946,6,FALSE),""))</f>
        <v/>
      </c>
      <c r="R1459" s="18" t="str">
        <f>IF($K1459="","",IFERROR(VLOOKUP(--SUBSTITUTE(SUBSTITUTE(TRIM($K1459),"-","")," ",""),마스터시트!$A$2:$H$1946,7,FALSE),""))</f>
        <v/>
      </c>
    </row>
    <row r="1460" spans="13:18" x14ac:dyDescent="0.3">
      <c r="M1460" s="18" t="str">
        <f>IF($K1460="","",IFERROR(VLOOKUP(--SUBSTITUTE(SUBSTITUTE(TRIM($K1460),"-","")," ",""),마스터시트!$A$2:$H$1946,2,FALSE),"미등록"))</f>
        <v/>
      </c>
      <c r="N1460" s="53" t="str">
        <f>IF($K1460="","",IFERROR(VLOOKUP(--SUBSTITUTE(SUBSTITUTE(TRIM($K1460),"-","")," ",""),마스터시트!$A$2:$H$1946,3,FALSE),"미등록"))</f>
        <v/>
      </c>
      <c r="O1460" s="18" t="str">
        <f>IF($K1460="","",IFERROR(VLOOKUP(--SUBSTITUTE(SUBSTITUTE(TRIM($K1460),"-","")," ",""),마스터시트!$A$2:$H$1946,4,FALSE),""))</f>
        <v/>
      </c>
      <c r="P1460" s="18" t="str">
        <f>IF($K1460="","",IFERROR(VLOOKUP(--SUBSTITUTE(SUBSTITUTE(TRIM($K1460),"-","")," ",""),마스터시트!$A$2:$H$1946,5,FALSE),""))</f>
        <v/>
      </c>
      <c r="Q1460" s="18" t="str">
        <f>IF($K1460="","",IFERROR(VLOOKUP(--SUBSTITUTE(SUBSTITUTE(TRIM($K1460),"-","")," ",""),마스터시트!$A$2:$H$1946,6,FALSE),""))</f>
        <v/>
      </c>
      <c r="R1460" s="18" t="str">
        <f>IF($K1460="","",IFERROR(VLOOKUP(--SUBSTITUTE(SUBSTITUTE(TRIM($K1460),"-","")," ",""),마스터시트!$A$2:$H$1946,7,FALSE),""))</f>
        <v/>
      </c>
    </row>
    <row r="1461" spans="13:18" x14ac:dyDescent="0.3">
      <c r="M1461" s="18" t="str">
        <f>IF($K1461="","",IFERROR(VLOOKUP(--SUBSTITUTE(SUBSTITUTE(TRIM($K1461),"-","")," ",""),마스터시트!$A$2:$H$1946,2,FALSE),"미등록"))</f>
        <v/>
      </c>
      <c r="N1461" s="53" t="str">
        <f>IF($K1461="","",IFERROR(VLOOKUP(--SUBSTITUTE(SUBSTITUTE(TRIM($K1461),"-","")," ",""),마스터시트!$A$2:$H$1946,3,FALSE),"미등록"))</f>
        <v/>
      </c>
      <c r="O1461" s="18" t="str">
        <f>IF($K1461="","",IFERROR(VLOOKUP(--SUBSTITUTE(SUBSTITUTE(TRIM($K1461),"-","")," ",""),마스터시트!$A$2:$H$1946,4,FALSE),""))</f>
        <v/>
      </c>
      <c r="P1461" s="18" t="str">
        <f>IF($K1461="","",IFERROR(VLOOKUP(--SUBSTITUTE(SUBSTITUTE(TRIM($K1461),"-","")," ",""),마스터시트!$A$2:$H$1946,5,FALSE),""))</f>
        <v/>
      </c>
      <c r="Q1461" s="18" t="str">
        <f>IF($K1461="","",IFERROR(VLOOKUP(--SUBSTITUTE(SUBSTITUTE(TRIM($K1461),"-","")," ",""),마스터시트!$A$2:$H$1946,6,FALSE),""))</f>
        <v/>
      </c>
      <c r="R1461" s="18" t="str">
        <f>IF($K1461="","",IFERROR(VLOOKUP(--SUBSTITUTE(SUBSTITUTE(TRIM($K1461),"-","")," ",""),마스터시트!$A$2:$H$1946,7,FALSE),""))</f>
        <v/>
      </c>
    </row>
    <row r="1462" spans="13:18" x14ac:dyDescent="0.3">
      <c r="M1462" s="18" t="str">
        <f>IF($K1462="","",IFERROR(VLOOKUP(--SUBSTITUTE(SUBSTITUTE(TRIM($K1462),"-","")," ",""),마스터시트!$A$2:$H$1946,2,FALSE),"미등록"))</f>
        <v/>
      </c>
      <c r="N1462" s="53" t="str">
        <f>IF($K1462="","",IFERROR(VLOOKUP(--SUBSTITUTE(SUBSTITUTE(TRIM($K1462),"-","")," ",""),마스터시트!$A$2:$H$1946,3,FALSE),"미등록"))</f>
        <v/>
      </c>
      <c r="O1462" s="18" t="str">
        <f>IF($K1462="","",IFERROR(VLOOKUP(--SUBSTITUTE(SUBSTITUTE(TRIM($K1462),"-","")," ",""),마스터시트!$A$2:$H$1946,4,FALSE),""))</f>
        <v/>
      </c>
      <c r="P1462" s="18" t="str">
        <f>IF($K1462="","",IFERROR(VLOOKUP(--SUBSTITUTE(SUBSTITUTE(TRIM($K1462),"-","")," ",""),마스터시트!$A$2:$H$1946,5,FALSE),""))</f>
        <v/>
      </c>
      <c r="Q1462" s="18" t="str">
        <f>IF($K1462="","",IFERROR(VLOOKUP(--SUBSTITUTE(SUBSTITUTE(TRIM($K1462),"-","")," ",""),마스터시트!$A$2:$H$1946,6,FALSE),""))</f>
        <v/>
      </c>
      <c r="R1462" s="18" t="str">
        <f>IF($K1462="","",IFERROR(VLOOKUP(--SUBSTITUTE(SUBSTITUTE(TRIM($K1462),"-","")," ",""),마스터시트!$A$2:$H$1946,7,FALSE),""))</f>
        <v/>
      </c>
    </row>
    <row r="1463" spans="13:18" x14ac:dyDescent="0.3">
      <c r="M1463" s="18" t="str">
        <f>IF($K1463="","",IFERROR(VLOOKUP(--SUBSTITUTE(SUBSTITUTE(TRIM($K1463),"-","")," ",""),마스터시트!$A$2:$H$1946,2,FALSE),"미등록"))</f>
        <v/>
      </c>
      <c r="N1463" s="53" t="str">
        <f>IF($K1463="","",IFERROR(VLOOKUP(--SUBSTITUTE(SUBSTITUTE(TRIM($K1463),"-","")," ",""),마스터시트!$A$2:$H$1946,3,FALSE),"미등록"))</f>
        <v/>
      </c>
      <c r="O1463" s="18" t="str">
        <f>IF($K1463="","",IFERROR(VLOOKUP(--SUBSTITUTE(SUBSTITUTE(TRIM($K1463),"-","")," ",""),마스터시트!$A$2:$H$1946,4,FALSE),""))</f>
        <v/>
      </c>
      <c r="P1463" s="18" t="str">
        <f>IF($K1463="","",IFERROR(VLOOKUP(--SUBSTITUTE(SUBSTITUTE(TRIM($K1463),"-","")," ",""),마스터시트!$A$2:$H$1946,5,FALSE),""))</f>
        <v/>
      </c>
      <c r="Q1463" s="18" t="str">
        <f>IF($K1463="","",IFERROR(VLOOKUP(--SUBSTITUTE(SUBSTITUTE(TRIM($K1463),"-","")," ",""),마스터시트!$A$2:$H$1946,6,FALSE),""))</f>
        <v/>
      </c>
      <c r="R1463" s="18" t="str">
        <f>IF($K1463="","",IFERROR(VLOOKUP(--SUBSTITUTE(SUBSTITUTE(TRIM($K1463),"-","")," ",""),마스터시트!$A$2:$H$1946,7,FALSE),""))</f>
        <v/>
      </c>
    </row>
    <row r="1464" spans="13:18" x14ac:dyDescent="0.3">
      <c r="M1464" s="18" t="str">
        <f>IF($K1464="","",IFERROR(VLOOKUP(--SUBSTITUTE(SUBSTITUTE(TRIM($K1464),"-","")," ",""),마스터시트!$A$2:$H$1946,2,FALSE),"미등록"))</f>
        <v/>
      </c>
      <c r="N1464" s="53" t="str">
        <f>IF($K1464="","",IFERROR(VLOOKUP(--SUBSTITUTE(SUBSTITUTE(TRIM($K1464),"-","")," ",""),마스터시트!$A$2:$H$1946,3,FALSE),"미등록"))</f>
        <v/>
      </c>
      <c r="O1464" s="18" t="str">
        <f>IF($K1464="","",IFERROR(VLOOKUP(--SUBSTITUTE(SUBSTITUTE(TRIM($K1464),"-","")," ",""),마스터시트!$A$2:$H$1946,4,FALSE),""))</f>
        <v/>
      </c>
      <c r="P1464" s="18" t="str">
        <f>IF($K1464="","",IFERROR(VLOOKUP(--SUBSTITUTE(SUBSTITUTE(TRIM($K1464),"-","")," ",""),마스터시트!$A$2:$H$1946,5,FALSE),""))</f>
        <v/>
      </c>
      <c r="Q1464" s="18" t="str">
        <f>IF($K1464="","",IFERROR(VLOOKUP(--SUBSTITUTE(SUBSTITUTE(TRIM($K1464),"-","")," ",""),마스터시트!$A$2:$H$1946,6,FALSE),""))</f>
        <v/>
      </c>
      <c r="R1464" s="18" t="str">
        <f>IF($K1464="","",IFERROR(VLOOKUP(--SUBSTITUTE(SUBSTITUTE(TRIM($K1464),"-","")," ",""),마스터시트!$A$2:$H$1946,7,FALSE),""))</f>
        <v/>
      </c>
    </row>
    <row r="1465" spans="13:18" x14ac:dyDescent="0.3">
      <c r="M1465" s="18" t="str">
        <f>IF($K1465="","",IFERROR(VLOOKUP(--SUBSTITUTE(SUBSTITUTE(TRIM($K1465),"-","")," ",""),마스터시트!$A$2:$H$1946,2,FALSE),"미등록"))</f>
        <v/>
      </c>
      <c r="N1465" s="53" t="str">
        <f>IF($K1465="","",IFERROR(VLOOKUP(--SUBSTITUTE(SUBSTITUTE(TRIM($K1465),"-","")," ",""),마스터시트!$A$2:$H$1946,3,FALSE),"미등록"))</f>
        <v/>
      </c>
      <c r="O1465" s="18" t="str">
        <f>IF($K1465="","",IFERROR(VLOOKUP(--SUBSTITUTE(SUBSTITUTE(TRIM($K1465),"-","")," ",""),마스터시트!$A$2:$H$1946,4,FALSE),""))</f>
        <v/>
      </c>
      <c r="P1465" s="18" t="str">
        <f>IF($K1465="","",IFERROR(VLOOKUP(--SUBSTITUTE(SUBSTITUTE(TRIM($K1465),"-","")," ",""),마스터시트!$A$2:$H$1946,5,FALSE),""))</f>
        <v/>
      </c>
      <c r="Q1465" s="18" t="str">
        <f>IF($K1465="","",IFERROR(VLOOKUP(--SUBSTITUTE(SUBSTITUTE(TRIM($K1465),"-","")," ",""),마스터시트!$A$2:$H$1946,6,FALSE),""))</f>
        <v/>
      </c>
      <c r="R1465" s="18" t="str">
        <f>IF($K1465="","",IFERROR(VLOOKUP(--SUBSTITUTE(SUBSTITUTE(TRIM($K1465),"-","")," ",""),마스터시트!$A$2:$H$1946,7,FALSE),""))</f>
        <v/>
      </c>
    </row>
    <row r="1466" spans="13:18" x14ac:dyDescent="0.3">
      <c r="M1466" s="18" t="str">
        <f>IF($K1466="","",IFERROR(VLOOKUP(--SUBSTITUTE(SUBSTITUTE(TRIM($K1466),"-","")," ",""),마스터시트!$A$2:$H$1946,2,FALSE),"미등록"))</f>
        <v/>
      </c>
      <c r="N1466" s="53" t="str">
        <f>IF($K1466="","",IFERROR(VLOOKUP(--SUBSTITUTE(SUBSTITUTE(TRIM($K1466),"-","")," ",""),마스터시트!$A$2:$H$1946,3,FALSE),"미등록"))</f>
        <v/>
      </c>
      <c r="O1466" s="18" t="str">
        <f>IF($K1466="","",IFERROR(VLOOKUP(--SUBSTITUTE(SUBSTITUTE(TRIM($K1466),"-","")," ",""),마스터시트!$A$2:$H$1946,4,FALSE),""))</f>
        <v/>
      </c>
      <c r="P1466" s="18" t="str">
        <f>IF($K1466="","",IFERROR(VLOOKUP(--SUBSTITUTE(SUBSTITUTE(TRIM($K1466),"-","")," ",""),마스터시트!$A$2:$H$1946,5,FALSE),""))</f>
        <v/>
      </c>
      <c r="Q1466" s="18" t="str">
        <f>IF($K1466="","",IFERROR(VLOOKUP(--SUBSTITUTE(SUBSTITUTE(TRIM($K1466),"-","")," ",""),마스터시트!$A$2:$H$1946,6,FALSE),""))</f>
        <v/>
      </c>
      <c r="R1466" s="18" t="str">
        <f>IF($K1466="","",IFERROR(VLOOKUP(--SUBSTITUTE(SUBSTITUTE(TRIM($K1466),"-","")," ",""),마스터시트!$A$2:$H$1946,7,FALSE),""))</f>
        <v/>
      </c>
    </row>
    <row r="1467" spans="13:18" x14ac:dyDescent="0.3">
      <c r="M1467" s="18" t="str">
        <f>IF($K1467="","",IFERROR(VLOOKUP(--SUBSTITUTE(SUBSTITUTE(TRIM($K1467),"-","")," ",""),마스터시트!$A$2:$H$1946,2,FALSE),"미등록"))</f>
        <v/>
      </c>
      <c r="N1467" s="53" t="str">
        <f>IF($K1467="","",IFERROR(VLOOKUP(--SUBSTITUTE(SUBSTITUTE(TRIM($K1467),"-","")," ",""),마스터시트!$A$2:$H$1946,3,FALSE),"미등록"))</f>
        <v/>
      </c>
      <c r="O1467" s="18" t="str">
        <f>IF($K1467="","",IFERROR(VLOOKUP(--SUBSTITUTE(SUBSTITUTE(TRIM($K1467),"-","")," ",""),마스터시트!$A$2:$H$1946,4,FALSE),""))</f>
        <v/>
      </c>
      <c r="P1467" s="18" t="str">
        <f>IF($K1467="","",IFERROR(VLOOKUP(--SUBSTITUTE(SUBSTITUTE(TRIM($K1467),"-","")," ",""),마스터시트!$A$2:$H$1946,5,FALSE),""))</f>
        <v/>
      </c>
      <c r="Q1467" s="18" t="str">
        <f>IF($K1467="","",IFERROR(VLOOKUP(--SUBSTITUTE(SUBSTITUTE(TRIM($K1467),"-","")," ",""),마스터시트!$A$2:$H$1946,6,FALSE),""))</f>
        <v/>
      </c>
      <c r="R1467" s="18" t="str">
        <f>IF($K1467="","",IFERROR(VLOOKUP(--SUBSTITUTE(SUBSTITUTE(TRIM($K1467),"-","")," ",""),마스터시트!$A$2:$H$1946,7,FALSE),""))</f>
        <v/>
      </c>
    </row>
    <row r="1468" spans="13:18" x14ac:dyDescent="0.3">
      <c r="M1468" s="18" t="str">
        <f>IF($K1468="","",IFERROR(VLOOKUP(--SUBSTITUTE(SUBSTITUTE(TRIM($K1468),"-","")," ",""),마스터시트!$A$2:$H$1946,2,FALSE),"미등록"))</f>
        <v/>
      </c>
      <c r="N1468" s="53" t="str">
        <f>IF($K1468="","",IFERROR(VLOOKUP(--SUBSTITUTE(SUBSTITUTE(TRIM($K1468),"-","")," ",""),마스터시트!$A$2:$H$1946,3,FALSE),"미등록"))</f>
        <v/>
      </c>
      <c r="O1468" s="18" t="str">
        <f>IF($K1468="","",IFERROR(VLOOKUP(--SUBSTITUTE(SUBSTITUTE(TRIM($K1468),"-","")," ",""),마스터시트!$A$2:$H$1946,4,FALSE),""))</f>
        <v/>
      </c>
      <c r="P1468" s="18" t="str">
        <f>IF($K1468="","",IFERROR(VLOOKUP(--SUBSTITUTE(SUBSTITUTE(TRIM($K1468),"-","")," ",""),마스터시트!$A$2:$H$1946,5,FALSE),""))</f>
        <v/>
      </c>
      <c r="Q1468" s="18" t="str">
        <f>IF($K1468="","",IFERROR(VLOOKUP(--SUBSTITUTE(SUBSTITUTE(TRIM($K1468),"-","")," ",""),마스터시트!$A$2:$H$1946,6,FALSE),""))</f>
        <v/>
      </c>
      <c r="R1468" s="18" t="str">
        <f>IF($K1468="","",IFERROR(VLOOKUP(--SUBSTITUTE(SUBSTITUTE(TRIM($K1468),"-","")," ",""),마스터시트!$A$2:$H$1946,7,FALSE),""))</f>
        <v/>
      </c>
    </row>
    <row r="1469" spans="13:18" x14ac:dyDescent="0.3">
      <c r="M1469" s="18" t="str">
        <f>IF($K1469="","",IFERROR(VLOOKUP(--SUBSTITUTE(SUBSTITUTE(TRIM($K1469),"-","")," ",""),마스터시트!$A$2:$H$1946,2,FALSE),"미등록"))</f>
        <v/>
      </c>
      <c r="N1469" s="53" t="str">
        <f>IF($K1469="","",IFERROR(VLOOKUP(--SUBSTITUTE(SUBSTITUTE(TRIM($K1469),"-","")," ",""),마스터시트!$A$2:$H$1946,3,FALSE),"미등록"))</f>
        <v/>
      </c>
      <c r="O1469" s="18" t="str">
        <f>IF($K1469="","",IFERROR(VLOOKUP(--SUBSTITUTE(SUBSTITUTE(TRIM($K1469),"-","")," ",""),마스터시트!$A$2:$H$1946,4,FALSE),""))</f>
        <v/>
      </c>
      <c r="P1469" s="18" t="str">
        <f>IF($K1469="","",IFERROR(VLOOKUP(--SUBSTITUTE(SUBSTITUTE(TRIM($K1469),"-","")," ",""),마스터시트!$A$2:$H$1946,5,FALSE),""))</f>
        <v/>
      </c>
      <c r="Q1469" s="18" t="str">
        <f>IF($K1469="","",IFERROR(VLOOKUP(--SUBSTITUTE(SUBSTITUTE(TRIM($K1469),"-","")," ",""),마스터시트!$A$2:$H$1946,6,FALSE),""))</f>
        <v/>
      </c>
      <c r="R1469" s="18" t="str">
        <f>IF($K1469="","",IFERROR(VLOOKUP(--SUBSTITUTE(SUBSTITUTE(TRIM($K1469),"-","")," ",""),마스터시트!$A$2:$H$1946,7,FALSE),""))</f>
        <v/>
      </c>
    </row>
    <row r="1470" spans="13:18" x14ac:dyDescent="0.3">
      <c r="M1470" s="18" t="str">
        <f>IF($K1470="","",IFERROR(VLOOKUP(--SUBSTITUTE(SUBSTITUTE(TRIM($K1470),"-","")," ",""),마스터시트!$A$2:$H$1946,2,FALSE),"미등록"))</f>
        <v/>
      </c>
      <c r="N1470" s="53" t="str">
        <f>IF($K1470="","",IFERROR(VLOOKUP(--SUBSTITUTE(SUBSTITUTE(TRIM($K1470),"-","")," ",""),마스터시트!$A$2:$H$1946,3,FALSE),"미등록"))</f>
        <v/>
      </c>
      <c r="O1470" s="18" t="str">
        <f>IF($K1470="","",IFERROR(VLOOKUP(--SUBSTITUTE(SUBSTITUTE(TRIM($K1470),"-","")," ",""),마스터시트!$A$2:$H$1946,4,FALSE),""))</f>
        <v/>
      </c>
      <c r="P1470" s="18" t="str">
        <f>IF($K1470="","",IFERROR(VLOOKUP(--SUBSTITUTE(SUBSTITUTE(TRIM($K1470),"-","")," ",""),마스터시트!$A$2:$H$1946,5,FALSE),""))</f>
        <v/>
      </c>
      <c r="Q1470" s="18" t="str">
        <f>IF($K1470="","",IFERROR(VLOOKUP(--SUBSTITUTE(SUBSTITUTE(TRIM($K1470),"-","")," ",""),마스터시트!$A$2:$H$1946,6,FALSE),""))</f>
        <v/>
      </c>
      <c r="R1470" s="18" t="str">
        <f>IF($K1470="","",IFERROR(VLOOKUP(--SUBSTITUTE(SUBSTITUTE(TRIM($K1470),"-","")," ",""),마스터시트!$A$2:$H$1946,7,FALSE),""))</f>
        <v/>
      </c>
    </row>
    <row r="1471" spans="13:18" x14ac:dyDescent="0.3">
      <c r="M1471" s="18" t="str">
        <f>IF($K1471="","",IFERROR(VLOOKUP(--SUBSTITUTE(SUBSTITUTE(TRIM($K1471),"-","")," ",""),마스터시트!$A$2:$H$1946,2,FALSE),"미등록"))</f>
        <v/>
      </c>
      <c r="N1471" s="53" t="str">
        <f>IF($K1471="","",IFERROR(VLOOKUP(--SUBSTITUTE(SUBSTITUTE(TRIM($K1471),"-","")," ",""),마스터시트!$A$2:$H$1946,3,FALSE),"미등록"))</f>
        <v/>
      </c>
      <c r="O1471" s="18" t="str">
        <f>IF($K1471="","",IFERROR(VLOOKUP(--SUBSTITUTE(SUBSTITUTE(TRIM($K1471),"-","")," ",""),마스터시트!$A$2:$H$1946,4,FALSE),""))</f>
        <v/>
      </c>
      <c r="P1471" s="18" t="str">
        <f>IF($K1471="","",IFERROR(VLOOKUP(--SUBSTITUTE(SUBSTITUTE(TRIM($K1471),"-","")," ",""),마스터시트!$A$2:$H$1946,5,FALSE),""))</f>
        <v/>
      </c>
      <c r="Q1471" s="18" t="str">
        <f>IF($K1471="","",IFERROR(VLOOKUP(--SUBSTITUTE(SUBSTITUTE(TRIM($K1471),"-","")," ",""),마스터시트!$A$2:$H$1946,6,FALSE),""))</f>
        <v/>
      </c>
      <c r="R1471" s="18" t="str">
        <f>IF($K1471="","",IFERROR(VLOOKUP(--SUBSTITUTE(SUBSTITUTE(TRIM($K1471),"-","")," ",""),마스터시트!$A$2:$H$1946,7,FALSE),""))</f>
        <v/>
      </c>
    </row>
    <row r="1472" spans="13:18" x14ac:dyDescent="0.3">
      <c r="M1472" s="18" t="str">
        <f>IF($K1472="","",IFERROR(VLOOKUP(--SUBSTITUTE(SUBSTITUTE(TRIM($K1472),"-","")," ",""),마스터시트!$A$2:$H$1946,2,FALSE),"미등록"))</f>
        <v/>
      </c>
      <c r="N1472" s="53" t="str">
        <f>IF($K1472="","",IFERROR(VLOOKUP(--SUBSTITUTE(SUBSTITUTE(TRIM($K1472),"-","")," ",""),마스터시트!$A$2:$H$1946,3,FALSE),"미등록"))</f>
        <v/>
      </c>
      <c r="O1472" s="18" t="str">
        <f>IF($K1472="","",IFERROR(VLOOKUP(--SUBSTITUTE(SUBSTITUTE(TRIM($K1472),"-","")," ",""),마스터시트!$A$2:$H$1946,4,FALSE),""))</f>
        <v/>
      </c>
      <c r="P1472" s="18" t="str">
        <f>IF($K1472="","",IFERROR(VLOOKUP(--SUBSTITUTE(SUBSTITUTE(TRIM($K1472),"-","")," ",""),마스터시트!$A$2:$H$1946,5,FALSE),""))</f>
        <v/>
      </c>
      <c r="Q1472" s="18" t="str">
        <f>IF($K1472="","",IFERROR(VLOOKUP(--SUBSTITUTE(SUBSTITUTE(TRIM($K1472),"-","")," ",""),마스터시트!$A$2:$H$1946,6,FALSE),""))</f>
        <v/>
      </c>
      <c r="R1472" s="18" t="str">
        <f>IF($K1472="","",IFERROR(VLOOKUP(--SUBSTITUTE(SUBSTITUTE(TRIM($K1472),"-","")," ",""),마스터시트!$A$2:$H$1946,7,FALSE),""))</f>
        <v/>
      </c>
    </row>
    <row r="1473" spans="13:18" x14ac:dyDescent="0.3">
      <c r="M1473" s="18" t="str">
        <f>IF($K1473="","",IFERROR(VLOOKUP(--SUBSTITUTE(SUBSTITUTE(TRIM($K1473),"-","")," ",""),마스터시트!$A$2:$H$1946,2,FALSE),"미등록"))</f>
        <v/>
      </c>
      <c r="N1473" s="53" t="str">
        <f>IF($K1473="","",IFERROR(VLOOKUP(--SUBSTITUTE(SUBSTITUTE(TRIM($K1473),"-","")," ",""),마스터시트!$A$2:$H$1946,3,FALSE),"미등록"))</f>
        <v/>
      </c>
      <c r="O1473" s="18" t="str">
        <f>IF($K1473="","",IFERROR(VLOOKUP(--SUBSTITUTE(SUBSTITUTE(TRIM($K1473),"-","")," ",""),마스터시트!$A$2:$H$1946,4,FALSE),""))</f>
        <v/>
      </c>
      <c r="P1473" s="18" t="str">
        <f>IF($K1473="","",IFERROR(VLOOKUP(--SUBSTITUTE(SUBSTITUTE(TRIM($K1473),"-","")," ",""),마스터시트!$A$2:$H$1946,5,FALSE),""))</f>
        <v/>
      </c>
      <c r="Q1473" s="18" t="str">
        <f>IF($K1473="","",IFERROR(VLOOKUP(--SUBSTITUTE(SUBSTITUTE(TRIM($K1473),"-","")," ",""),마스터시트!$A$2:$H$1946,6,FALSE),""))</f>
        <v/>
      </c>
      <c r="R1473" s="18" t="str">
        <f>IF($K1473="","",IFERROR(VLOOKUP(--SUBSTITUTE(SUBSTITUTE(TRIM($K1473),"-","")," ",""),마스터시트!$A$2:$H$1946,7,FALSE),""))</f>
        <v/>
      </c>
    </row>
    <row r="1474" spans="13:18" x14ac:dyDescent="0.3">
      <c r="M1474" s="18" t="str">
        <f>IF($K1474="","",IFERROR(VLOOKUP(--SUBSTITUTE(SUBSTITUTE(TRIM($K1474),"-","")," ",""),마스터시트!$A$2:$H$1946,2,FALSE),"미등록"))</f>
        <v/>
      </c>
      <c r="N1474" s="53" t="str">
        <f>IF($K1474="","",IFERROR(VLOOKUP(--SUBSTITUTE(SUBSTITUTE(TRIM($K1474),"-","")," ",""),마스터시트!$A$2:$H$1946,3,FALSE),"미등록"))</f>
        <v/>
      </c>
      <c r="O1474" s="18" t="str">
        <f>IF($K1474="","",IFERROR(VLOOKUP(--SUBSTITUTE(SUBSTITUTE(TRIM($K1474),"-","")," ",""),마스터시트!$A$2:$H$1946,4,FALSE),""))</f>
        <v/>
      </c>
      <c r="P1474" s="18" t="str">
        <f>IF($K1474="","",IFERROR(VLOOKUP(--SUBSTITUTE(SUBSTITUTE(TRIM($K1474),"-","")," ",""),마스터시트!$A$2:$H$1946,5,FALSE),""))</f>
        <v/>
      </c>
      <c r="Q1474" s="18" t="str">
        <f>IF($K1474="","",IFERROR(VLOOKUP(--SUBSTITUTE(SUBSTITUTE(TRIM($K1474),"-","")," ",""),마스터시트!$A$2:$H$1946,6,FALSE),""))</f>
        <v/>
      </c>
      <c r="R1474" s="18" t="str">
        <f>IF($K1474="","",IFERROR(VLOOKUP(--SUBSTITUTE(SUBSTITUTE(TRIM($K1474),"-","")," ",""),마스터시트!$A$2:$H$1946,7,FALSE),""))</f>
        <v/>
      </c>
    </row>
    <row r="1475" spans="13:18" x14ac:dyDescent="0.3">
      <c r="M1475" s="18" t="str">
        <f>IF($K1475="","",IFERROR(VLOOKUP(--SUBSTITUTE(SUBSTITUTE(TRIM($K1475),"-","")," ",""),마스터시트!$A$2:$H$1946,2,FALSE),"미등록"))</f>
        <v/>
      </c>
      <c r="N1475" s="53" t="str">
        <f>IF($K1475="","",IFERROR(VLOOKUP(--SUBSTITUTE(SUBSTITUTE(TRIM($K1475),"-","")," ",""),마스터시트!$A$2:$H$1946,3,FALSE),"미등록"))</f>
        <v/>
      </c>
      <c r="O1475" s="18" t="str">
        <f>IF($K1475="","",IFERROR(VLOOKUP(--SUBSTITUTE(SUBSTITUTE(TRIM($K1475),"-","")," ",""),마스터시트!$A$2:$H$1946,4,FALSE),""))</f>
        <v/>
      </c>
      <c r="P1475" s="18" t="str">
        <f>IF($K1475="","",IFERROR(VLOOKUP(--SUBSTITUTE(SUBSTITUTE(TRIM($K1475),"-","")," ",""),마스터시트!$A$2:$H$1946,5,FALSE),""))</f>
        <v/>
      </c>
      <c r="Q1475" s="18" t="str">
        <f>IF($K1475="","",IFERROR(VLOOKUP(--SUBSTITUTE(SUBSTITUTE(TRIM($K1475),"-","")," ",""),마스터시트!$A$2:$H$1946,6,FALSE),""))</f>
        <v/>
      </c>
      <c r="R1475" s="18" t="str">
        <f>IF($K1475="","",IFERROR(VLOOKUP(--SUBSTITUTE(SUBSTITUTE(TRIM($K1475),"-","")," ",""),마스터시트!$A$2:$H$1946,7,FALSE),""))</f>
        <v/>
      </c>
    </row>
    <row r="1476" spans="13:18" x14ac:dyDescent="0.3">
      <c r="M1476" s="18" t="str">
        <f>IF($K1476="","",IFERROR(VLOOKUP(--SUBSTITUTE(SUBSTITUTE(TRIM($K1476),"-","")," ",""),마스터시트!$A$2:$H$1946,2,FALSE),"미등록"))</f>
        <v/>
      </c>
      <c r="N1476" s="53" t="str">
        <f>IF($K1476="","",IFERROR(VLOOKUP(--SUBSTITUTE(SUBSTITUTE(TRIM($K1476),"-","")," ",""),마스터시트!$A$2:$H$1946,3,FALSE),"미등록"))</f>
        <v/>
      </c>
      <c r="O1476" s="18" t="str">
        <f>IF($K1476="","",IFERROR(VLOOKUP(--SUBSTITUTE(SUBSTITUTE(TRIM($K1476),"-","")," ",""),마스터시트!$A$2:$H$1946,4,FALSE),""))</f>
        <v/>
      </c>
      <c r="P1476" s="18" t="str">
        <f>IF($K1476="","",IFERROR(VLOOKUP(--SUBSTITUTE(SUBSTITUTE(TRIM($K1476),"-","")," ",""),마스터시트!$A$2:$H$1946,5,FALSE),""))</f>
        <v/>
      </c>
      <c r="Q1476" s="18" t="str">
        <f>IF($K1476="","",IFERROR(VLOOKUP(--SUBSTITUTE(SUBSTITUTE(TRIM($K1476),"-","")," ",""),마스터시트!$A$2:$H$1946,6,FALSE),""))</f>
        <v/>
      </c>
      <c r="R1476" s="18" t="str">
        <f>IF($K1476="","",IFERROR(VLOOKUP(--SUBSTITUTE(SUBSTITUTE(TRIM($K1476),"-","")," ",""),마스터시트!$A$2:$H$1946,7,FALSE),""))</f>
        <v/>
      </c>
    </row>
    <row r="1477" spans="13:18" x14ac:dyDescent="0.3">
      <c r="M1477" s="18" t="str">
        <f>IF($K1477="","",IFERROR(VLOOKUP(--SUBSTITUTE(SUBSTITUTE(TRIM($K1477),"-","")," ",""),마스터시트!$A$2:$H$1946,2,FALSE),"미등록"))</f>
        <v/>
      </c>
      <c r="N1477" s="53" t="str">
        <f>IF($K1477="","",IFERROR(VLOOKUP(--SUBSTITUTE(SUBSTITUTE(TRIM($K1477),"-","")," ",""),마스터시트!$A$2:$H$1946,3,FALSE),"미등록"))</f>
        <v/>
      </c>
      <c r="O1477" s="18" t="str">
        <f>IF($K1477="","",IFERROR(VLOOKUP(--SUBSTITUTE(SUBSTITUTE(TRIM($K1477),"-","")," ",""),마스터시트!$A$2:$H$1946,4,FALSE),""))</f>
        <v/>
      </c>
      <c r="P1477" s="18" t="str">
        <f>IF($K1477="","",IFERROR(VLOOKUP(--SUBSTITUTE(SUBSTITUTE(TRIM($K1477),"-","")," ",""),마스터시트!$A$2:$H$1946,5,FALSE),""))</f>
        <v/>
      </c>
      <c r="Q1477" s="18" t="str">
        <f>IF($K1477="","",IFERROR(VLOOKUP(--SUBSTITUTE(SUBSTITUTE(TRIM($K1477),"-","")," ",""),마스터시트!$A$2:$H$1946,6,FALSE),""))</f>
        <v/>
      </c>
      <c r="R1477" s="18" t="str">
        <f>IF($K1477="","",IFERROR(VLOOKUP(--SUBSTITUTE(SUBSTITUTE(TRIM($K1477),"-","")," ",""),마스터시트!$A$2:$H$1946,7,FALSE),""))</f>
        <v/>
      </c>
    </row>
    <row r="1478" spans="13:18" x14ac:dyDescent="0.3">
      <c r="M1478" s="18" t="str">
        <f>IF($K1478="","",IFERROR(VLOOKUP(--SUBSTITUTE(SUBSTITUTE(TRIM($K1478),"-","")," ",""),마스터시트!$A$2:$H$1946,2,FALSE),"미등록"))</f>
        <v/>
      </c>
      <c r="N1478" s="53" t="str">
        <f>IF($K1478="","",IFERROR(VLOOKUP(--SUBSTITUTE(SUBSTITUTE(TRIM($K1478),"-","")," ",""),마스터시트!$A$2:$H$1946,3,FALSE),"미등록"))</f>
        <v/>
      </c>
      <c r="O1478" s="18" t="str">
        <f>IF($K1478="","",IFERROR(VLOOKUP(--SUBSTITUTE(SUBSTITUTE(TRIM($K1478),"-","")," ",""),마스터시트!$A$2:$H$1946,4,FALSE),""))</f>
        <v/>
      </c>
      <c r="P1478" s="18" t="str">
        <f>IF($K1478="","",IFERROR(VLOOKUP(--SUBSTITUTE(SUBSTITUTE(TRIM($K1478),"-","")," ",""),마스터시트!$A$2:$H$1946,5,FALSE),""))</f>
        <v/>
      </c>
      <c r="Q1478" s="18" t="str">
        <f>IF($K1478="","",IFERROR(VLOOKUP(--SUBSTITUTE(SUBSTITUTE(TRIM($K1478),"-","")," ",""),마스터시트!$A$2:$H$1946,6,FALSE),""))</f>
        <v/>
      </c>
      <c r="R1478" s="18" t="str">
        <f>IF($K1478="","",IFERROR(VLOOKUP(--SUBSTITUTE(SUBSTITUTE(TRIM($K1478),"-","")," ",""),마스터시트!$A$2:$H$1946,7,FALSE),""))</f>
        <v/>
      </c>
    </row>
    <row r="1479" spans="13:18" x14ac:dyDescent="0.3">
      <c r="M1479" s="18" t="str">
        <f>IF($K1479="","",IFERROR(VLOOKUP(--SUBSTITUTE(SUBSTITUTE(TRIM($K1479),"-","")," ",""),마스터시트!$A$2:$H$1946,2,FALSE),"미등록"))</f>
        <v/>
      </c>
      <c r="N1479" s="53" t="str">
        <f>IF($K1479="","",IFERROR(VLOOKUP(--SUBSTITUTE(SUBSTITUTE(TRIM($K1479),"-","")," ",""),마스터시트!$A$2:$H$1946,3,FALSE),"미등록"))</f>
        <v/>
      </c>
      <c r="O1479" s="18" t="str">
        <f>IF($K1479="","",IFERROR(VLOOKUP(--SUBSTITUTE(SUBSTITUTE(TRIM($K1479),"-","")," ",""),마스터시트!$A$2:$H$1946,4,FALSE),""))</f>
        <v/>
      </c>
      <c r="P1479" s="18" t="str">
        <f>IF($K1479="","",IFERROR(VLOOKUP(--SUBSTITUTE(SUBSTITUTE(TRIM($K1479),"-","")," ",""),마스터시트!$A$2:$H$1946,5,FALSE),""))</f>
        <v/>
      </c>
      <c r="Q1479" s="18" t="str">
        <f>IF($K1479="","",IFERROR(VLOOKUP(--SUBSTITUTE(SUBSTITUTE(TRIM($K1479),"-","")," ",""),마스터시트!$A$2:$H$1946,6,FALSE),""))</f>
        <v/>
      </c>
      <c r="R1479" s="18" t="str">
        <f>IF($K1479="","",IFERROR(VLOOKUP(--SUBSTITUTE(SUBSTITUTE(TRIM($K1479),"-","")," ",""),마스터시트!$A$2:$H$1946,7,FALSE),""))</f>
        <v/>
      </c>
    </row>
    <row r="1480" spans="13:18" x14ac:dyDescent="0.3">
      <c r="M1480" s="18" t="str">
        <f>IF($K1480="","",IFERROR(VLOOKUP(--SUBSTITUTE(SUBSTITUTE(TRIM($K1480),"-","")," ",""),마스터시트!$A$2:$H$1946,2,FALSE),"미등록"))</f>
        <v/>
      </c>
      <c r="N1480" s="53" t="str">
        <f>IF($K1480="","",IFERROR(VLOOKUP(--SUBSTITUTE(SUBSTITUTE(TRIM($K1480),"-","")," ",""),마스터시트!$A$2:$H$1946,3,FALSE),"미등록"))</f>
        <v/>
      </c>
      <c r="O1480" s="18" t="str">
        <f>IF($K1480="","",IFERROR(VLOOKUP(--SUBSTITUTE(SUBSTITUTE(TRIM($K1480),"-","")," ",""),마스터시트!$A$2:$H$1946,4,FALSE),""))</f>
        <v/>
      </c>
      <c r="P1480" s="18" t="str">
        <f>IF($K1480="","",IFERROR(VLOOKUP(--SUBSTITUTE(SUBSTITUTE(TRIM($K1480),"-","")," ",""),마스터시트!$A$2:$H$1946,5,FALSE),""))</f>
        <v/>
      </c>
      <c r="Q1480" s="18" t="str">
        <f>IF($K1480="","",IFERROR(VLOOKUP(--SUBSTITUTE(SUBSTITUTE(TRIM($K1480),"-","")," ",""),마스터시트!$A$2:$H$1946,6,FALSE),""))</f>
        <v/>
      </c>
      <c r="R1480" s="18" t="str">
        <f>IF($K1480="","",IFERROR(VLOOKUP(--SUBSTITUTE(SUBSTITUTE(TRIM($K1480),"-","")," ",""),마스터시트!$A$2:$H$1946,7,FALSE),""))</f>
        <v/>
      </c>
    </row>
    <row r="1481" spans="13:18" x14ac:dyDescent="0.3">
      <c r="M1481" s="18" t="str">
        <f>IF($K1481="","",IFERROR(VLOOKUP(--SUBSTITUTE(SUBSTITUTE(TRIM($K1481),"-","")," ",""),마스터시트!$A$2:$H$1946,2,FALSE),"미등록"))</f>
        <v/>
      </c>
      <c r="N1481" s="53" t="str">
        <f>IF($K1481="","",IFERROR(VLOOKUP(--SUBSTITUTE(SUBSTITUTE(TRIM($K1481),"-","")," ",""),마스터시트!$A$2:$H$1946,3,FALSE),"미등록"))</f>
        <v/>
      </c>
      <c r="O1481" s="18" t="str">
        <f>IF($K1481="","",IFERROR(VLOOKUP(--SUBSTITUTE(SUBSTITUTE(TRIM($K1481),"-","")," ",""),마스터시트!$A$2:$H$1946,4,FALSE),""))</f>
        <v/>
      </c>
      <c r="P1481" s="18" t="str">
        <f>IF($K1481="","",IFERROR(VLOOKUP(--SUBSTITUTE(SUBSTITUTE(TRIM($K1481),"-","")," ",""),마스터시트!$A$2:$H$1946,5,FALSE),""))</f>
        <v/>
      </c>
      <c r="Q1481" s="18" t="str">
        <f>IF($K1481="","",IFERROR(VLOOKUP(--SUBSTITUTE(SUBSTITUTE(TRIM($K1481),"-","")," ",""),마스터시트!$A$2:$H$1946,6,FALSE),""))</f>
        <v/>
      </c>
      <c r="R1481" s="18" t="str">
        <f>IF($K1481="","",IFERROR(VLOOKUP(--SUBSTITUTE(SUBSTITUTE(TRIM($K1481),"-","")," ",""),마스터시트!$A$2:$H$1946,7,FALSE),""))</f>
        <v/>
      </c>
    </row>
    <row r="1482" spans="13:18" x14ac:dyDescent="0.3">
      <c r="M1482" s="18" t="str">
        <f>IF($K1482="","",IFERROR(VLOOKUP(--SUBSTITUTE(SUBSTITUTE(TRIM($K1482),"-","")," ",""),마스터시트!$A$2:$H$1946,2,FALSE),"미등록"))</f>
        <v/>
      </c>
      <c r="N1482" s="53" t="str">
        <f>IF($K1482="","",IFERROR(VLOOKUP(--SUBSTITUTE(SUBSTITUTE(TRIM($K1482),"-","")," ",""),마스터시트!$A$2:$H$1946,3,FALSE),"미등록"))</f>
        <v/>
      </c>
      <c r="O1482" s="18" t="str">
        <f>IF($K1482="","",IFERROR(VLOOKUP(--SUBSTITUTE(SUBSTITUTE(TRIM($K1482),"-","")," ",""),마스터시트!$A$2:$H$1946,4,FALSE),""))</f>
        <v/>
      </c>
      <c r="P1482" s="18" t="str">
        <f>IF($K1482="","",IFERROR(VLOOKUP(--SUBSTITUTE(SUBSTITUTE(TRIM($K1482),"-","")," ",""),마스터시트!$A$2:$H$1946,5,FALSE),""))</f>
        <v/>
      </c>
      <c r="Q1482" s="18" t="str">
        <f>IF($K1482="","",IFERROR(VLOOKUP(--SUBSTITUTE(SUBSTITUTE(TRIM($K1482),"-","")," ",""),마스터시트!$A$2:$H$1946,6,FALSE),""))</f>
        <v/>
      </c>
      <c r="R1482" s="18" t="str">
        <f>IF($K1482="","",IFERROR(VLOOKUP(--SUBSTITUTE(SUBSTITUTE(TRIM($K1482),"-","")," ",""),마스터시트!$A$2:$H$1946,7,FALSE),""))</f>
        <v/>
      </c>
    </row>
    <row r="1483" spans="13:18" x14ac:dyDescent="0.3">
      <c r="M1483" s="18" t="str">
        <f>IF($K1483="","",IFERROR(VLOOKUP(--SUBSTITUTE(SUBSTITUTE(TRIM($K1483),"-","")," ",""),마스터시트!$A$2:$H$1946,2,FALSE),"미등록"))</f>
        <v/>
      </c>
      <c r="N1483" s="53" t="str">
        <f>IF($K1483="","",IFERROR(VLOOKUP(--SUBSTITUTE(SUBSTITUTE(TRIM($K1483),"-","")," ",""),마스터시트!$A$2:$H$1946,3,FALSE),"미등록"))</f>
        <v/>
      </c>
      <c r="O1483" s="18" t="str">
        <f>IF($K1483="","",IFERROR(VLOOKUP(--SUBSTITUTE(SUBSTITUTE(TRIM($K1483),"-","")," ",""),마스터시트!$A$2:$H$1946,4,FALSE),""))</f>
        <v/>
      </c>
      <c r="P1483" s="18" t="str">
        <f>IF($K1483="","",IFERROR(VLOOKUP(--SUBSTITUTE(SUBSTITUTE(TRIM($K1483),"-","")," ",""),마스터시트!$A$2:$H$1946,5,FALSE),""))</f>
        <v/>
      </c>
      <c r="Q1483" s="18" t="str">
        <f>IF($K1483="","",IFERROR(VLOOKUP(--SUBSTITUTE(SUBSTITUTE(TRIM($K1483),"-","")," ",""),마스터시트!$A$2:$H$1946,6,FALSE),""))</f>
        <v/>
      </c>
      <c r="R1483" s="18" t="str">
        <f>IF($K1483="","",IFERROR(VLOOKUP(--SUBSTITUTE(SUBSTITUTE(TRIM($K1483),"-","")," ",""),마스터시트!$A$2:$H$1946,7,FALSE),""))</f>
        <v/>
      </c>
    </row>
    <row r="1484" spans="13:18" x14ac:dyDescent="0.3">
      <c r="M1484" s="18" t="str">
        <f>IF($K1484="","",IFERROR(VLOOKUP(--SUBSTITUTE(SUBSTITUTE(TRIM($K1484),"-","")," ",""),마스터시트!$A$2:$H$1946,2,FALSE),"미등록"))</f>
        <v/>
      </c>
      <c r="N1484" s="53" t="str">
        <f>IF($K1484="","",IFERROR(VLOOKUP(--SUBSTITUTE(SUBSTITUTE(TRIM($K1484),"-","")," ",""),마스터시트!$A$2:$H$1946,3,FALSE),"미등록"))</f>
        <v/>
      </c>
      <c r="O1484" s="18" t="str">
        <f>IF($K1484="","",IFERROR(VLOOKUP(--SUBSTITUTE(SUBSTITUTE(TRIM($K1484),"-","")," ",""),마스터시트!$A$2:$H$1946,4,FALSE),""))</f>
        <v/>
      </c>
      <c r="P1484" s="18" t="str">
        <f>IF($K1484="","",IFERROR(VLOOKUP(--SUBSTITUTE(SUBSTITUTE(TRIM($K1484),"-","")," ",""),마스터시트!$A$2:$H$1946,5,FALSE),""))</f>
        <v/>
      </c>
      <c r="Q1484" s="18" t="str">
        <f>IF($K1484="","",IFERROR(VLOOKUP(--SUBSTITUTE(SUBSTITUTE(TRIM($K1484),"-","")," ",""),마스터시트!$A$2:$H$1946,6,FALSE),""))</f>
        <v/>
      </c>
      <c r="R1484" s="18" t="str">
        <f>IF($K1484="","",IFERROR(VLOOKUP(--SUBSTITUTE(SUBSTITUTE(TRIM($K1484),"-","")," ",""),마스터시트!$A$2:$H$1946,7,FALSE),""))</f>
        <v/>
      </c>
    </row>
    <row r="1485" spans="13:18" x14ac:dyDescent="0.3">
      <c r="M1485" s="18" t="str">
        <f>IF($K1485="","",IFERROR(VLOOKUP(--SUBSTITUTE(SUBSTITUTE(TRIM($K1485),"-","")," ",""),마스터시트!$A$2:$H$1946,2,FALSE),"미등록"))</f>
        <v/>
      </c>
      <c r="N1485" s="53" t="str">
        <f>IF($K1485="","",IFERROR(VLOOKUP(--SUBSTITUTE(SUBSTITUTE(TRIM($K1485),"-","")," ",""),마스터시트!$A$2:$H$1946,3,FALSE),"미등록"))</f>
        <v/>
      </c>
      <c r="O1485" s="18" t="str">
        <f>IF($K1485="","",IFERROR(VLOOKUP(--SUBSTITUTE(SUBSTITUTE(TRIM($K1485),"-","")," ",""),마스터시트!$A$2:$H$1946,4,FALSE),""))</f>
        <v/>
      </c>
      <c r="P1485" s="18" t="str">
        <f>IF($K1485="","",IFERROR(VLOOKUP(--SUBSTITUTE(SUBSTITUTE(TRIM($K1485),"-","")," ",""),마스터시트!$A$2:$H$1946,5,FALSE),""))</f>
        <v/>
      </c>
      <c r="Q1485" s="18" t="str">
        <f>IF($K1485="","",IFERROR(VLOOKUP(--SUBSTITUTE(SUBSTITUTE(TRIM($K1485),"-","")," ",""),마스터시트!$A$2:$H$1946,6,FALSE),""))</f>
        <v/>
      </c>
      <c r="R1485" s="18" t="str">
        <f>IF($K1485="","",IFERROR(VLOOKUP(--SUBSTITUTE(SUBSTITUTE(TRIM($K1485),"-","")," ",""),마스터시트!$A$2:$H$1946,7,FALSE),""))</f>
        <v/>
      </c>
    </row>
    <row r="1486" spans="13:18" x14ac:dyDescent="0.3">
      <c r="M1486" s="18" t="str">
        <f>IF($K1486="","",IFERROR(VLOOKUP(--SUBSTITUTE(SUBSTITUTE(TRIM($K1486),"-","")," ",""),마스터시트!$A$2:$H$1946,2,FALSE),"미등록"))</f>
        <v/>
      </c>
      <c r="N1486" s="53" t="str">
        <f>IF($K1486="","",IFERROR(VLOOKUP(--SUBSTITUTE(SUBSTITUTE(TRIM($K1486),"-","")," ",""),마스터시트!$A$2:$H$1946,3,FALSE),"미등록"))</f>
        <v/>
      </c>
      <c r="O1486" s="18" t="str">
        <f>IF($K1486="","",IFERROR(VLOOKUP(--SUBSTITUTE(SUBSTITUTE(TRIM($K1486),"-","")," ",""),마스터시트!$A$2:$H$1946,4,FALSE),""))</f>
        <v/>
      </c>
      <c r="P1486" s="18" t="str">
        <f>IF($K1486="","",IFERROR(VLOOKUP(--SUBSTITUTE(SUBSTITUTE(TRIM($K1486),"-","")," ",""),마스터시트!$A$2:$H$1946,5,FALSE),""))</f>
        <v/>
      </c>
      <c r="Q1486" s="18" t="str">
        <f>IF($K1486="","",IFERROR(VLOOKUP(--SUBSTITUTE(SUBSTITUTE(TRIM($K1486),"-","")," ",""),마스터시트!$A$2:$H$1946,6,FALSE),""))</f>
        <v/>
      </c>
      <c r="R1486" s="18" t="str">
        <f>IF($K1486="","",IFERROR(VLOOKUP(--SUBSTITUTE(SUBSTITUTE(TRIM($K1486),"-","")," ",""),마스터시트!$A$2:$H$1946,7,FALSE),""))</f>
        <v/>
      </c>
    </row>
    <row r="1487" spans="13:18" x14ac:dyDescent="0.3">
      <c r="M1487" s="18" t="str">
        <f>IF($K1487="","",IFERROR(VLOOKUP(--SUBSTITUTE(SUBSTITUTE(TRIM($K1487),"-","")," ",""),마스터시트!$A$2:$H$1946,2,FALSE),"미등록"))</f>
        <v/>
      </c>
      <c r="N1487" s="53" t="str">
        <f>IF($K1487="","",IFERROR(VLOOKUP(--SUBSTITUTE(SUBSTITUTE(TRIM($K1487),"-","")," ",""),마스터시트!$A$2:$H$1946,3,FALSE),"미등록"))</f>
        <v/>
      </c>
      <c r="O1487" s="18" t="str">
        <f>IF($K1487="","",IFERROR(VLOOKUP(--SUBSTITUTE(SUBSTITUTE(TRIM($K1487),"-","")," ",""),마스터시트!$A$2:$H$1946,4,FALSE),""))</f>
        <v/>
      </c>
      <c r="P1487" s="18" t="str">
        <f>IF($K1487="","",IFERROR(VLOOKUP(--SUBSTITUTE(SUBSTITUTE(TRIM($K1487),"-","")," ",""),마스터시트!$A$2:$H$1946,5,FALSE),""))</f>
        <v/>
      </c>
      <c r="Q1487" s="18" t="str">
        <f>IF($K1487="","",IFERROR(VLOOKUP(--SUBSTITUTE(SUBSTITUTE(TRIM($K1487),"-","")," ",""),마스터시트!$A$2:$H$1946,6,FALSE),""))</f>
        <v/>
      </c>
      <c r="R1487" s="18" t="str">
        <f>IF($K1487="","",IFERROR(VLOOKUP(--SUBSTITUTE(SUBSTITUTE(TRIM($K1487),"-","")," ",""),마스터시트!$A$2:$H$1946,7,FALSE),""))</f>
        <v/>
      </c>
    </row>
    <row r="1488" spans="13:18" x14ac:dyDescent="0.3">
      <c r="M1488" s="18" t="str">
        <f>IF($K1488="","",IFERROR(VLOOKUP(--SUBSTITUTE(SUBSTITUTE(TRIM($K1488),"-","")," ",""),마스터시트!$A$2:$H$1946,2,FALSE),"미등록"))</f>
        <v/>
      </c>
      <c r="N1488" s="53" t="str">
        <f>IF($K1488="","",IFERROR(VLOOKUP(--SUBSTITUTE(SUBSTITUTE(TRIM($K1488),"-","")," ",""),마스터시트!$A$2:$H$1946,3,FALSE),"미등록"))</f>
        <v/>
      </c>
      <c r="O1488" s="18" t="str">
        <f>IF($K1488="","",IFERROR(VLOOKUP(--SUBSTITUTE(SUBSTITUTE(TRIM($K1488),"-","")," ",""),마스터시트!$A$2:$H$1946,4,FALSE),""))</f>
        <v/>
      </c>
      <c r="P1488" s="18" t="str">
        <f>IF($K1488="","",IFERROR(VLOOKUP(--SUBSTITUTE(SUBSTITUTE(TRIM($K1488),"-","")," ",""),마스터시트!$A$2:$H$1946,5,FALSE),""))</f>
        <v/>
      </c>
      <c r="Q1488" s="18" t="str">
        <f>IF($K1488="","",IFERROR(VLOOKUP(--SUBSTITUTE(SUBSTITUTE(TRIM($K1488),"-","")," ",""),마스터시트!$A$2:$H$1946,6,FALSE),""))</f>
        <v/>
      </c>
      <c r="R1488" s="18" t="str">
        <f>IF($K1488="","",IFERROR(VLOOKUP(--SUBSTITUTE(SUBSTITUTE(TRIM($K1488),"-","")," ",""),마스터시트!$A$2:$H$1946,7,FALSE),""))</f>
        <v/>
      </c>
    </row>
    <row r="1489" spans="13:18" x14ac:dyDescent="0.3">
      <c r="M1489" s="18" t="str">
        <f>IF($K1489="","",IFERROR(VLOOKUP(--SUBSTITUTE(SUBSTITUTE(TRIM($K1489),"-","")," ",""),마스터시트!$A$2:$H$1946,2,FALSE),"미등록"))</f>
        <v/>
      </c>
      <c r="N1489" s="53" t="str">
        <f>IF($K1489="","",IFERROR(VLOOKUP(--SUBSTITUTE(SUBSTITUTE(TRIM($K1489),"-","")," ",""),마스터시트!$A$2:$H$1946,3,FALSE),"미등록"))</f>
        <v/>
      </c>
      <c r="O1489" s="18" t="str">
        <f>IF($K1489="","",IFERROR(VLOOKUP(--SUBSTITUTE(SUBSTITUTE(TRIM($K1489),"-","")," ",""),마스터시트!$A$2:$H$1946,4,FALSE),""))</f>
        <v/>
      </c>
      <c r="P1489" s="18" t="str">
        <f>IF($K1489="","",IFERROR(VLOOKUP(--SUBSTITUTE(SUBSTITUTE(TRIM($K1489),"-","")," ",""),마스터시트!$A$2:$H$1946,5,FALSE),""))</f>
        <v/>
      </c>
      <c r="Q1489" s="18" t="str">
        <f>IF($K1489="","",IFERROR(VLOOKUP(--SUBSTITUTE(SUBSTITUTE(TRIM($K1489),"-","")," ",""),마스터시트!$A$2:$H$1946,6,FALSE),""))</f>
        <v/>
      </c>
      <c r="R1489" s="18" t="str">
        <f>IF($K1489="","",IFERROR(VLOOKUP(--SUBSTITUTE(SUBSTITUTE(TRIM($K1489),"-","")," ",""),마스터시트!$A$2:$H$1946,7,FALSE),""))</f>
        <v/>
      </c>
    </row>
    <row r="1490" spans="13:18" x14ac:dyDescent="0.3">
      <c r="M1490" s="18" t="str">
        <f>IF($K1490="","",IFERROR(VLOOKUP(--SUBSTITUTE(SUBSTITUTE(TRIM($K1490),"-","")," ",""),마스터시트!$A$2:$H$1946,2,FALSE),"미등록"))</f>
        <v/>
      </c>
      <c r="N1490" s="53" t="str">
        <f>IF($K1490="","",IFERROR(VLOOKUP(--SUBSTITUTE(SUBSTITUTE(TRIM($K1490),"-","")," ",""),마스터시트!$A$2:$H$1946,3,FALSE),"미등록"))</f>
        <v/>
      </c>
      <c r="O1490" s="18" t="str">
        <f>IF($K1490="","",IFERROR(VLOOKUP(--SUBSTITUTE(SUBSTITUTE(TRIM($K1490),"-","")," ",""),마스터시트!$A$2:$H$1946,4,FALSE),""))</f>
        <v/>
      </c>
      <c r="P1490" s="18" t="str">
        <f>IF($K1490="","",IFERROR(VLOOKUP(--SUBSTITUTE(SUBSTITUTE(TRIM($K1490),"-","")," ",""),마스터시트!$A$2:$H$1946,5,FALSE),""))</f>
        <v/>
      </c>
      <c r="Q1490" s="18" t="str">
        <f>IF($K1490="","",IFERROR(VLOOKUP(--SUBSTITUTE(SUBSTITUTE(TRIM($K1490),"-","")," ",""),마스터시트!$A$2:$H$1946,6,FALSE),""))</f>
        <v/>
      </c>
      <c r="R1490" s="18" t="str">
        <f>IF($K1490="","",IFERROR(VLOOKUP(--SUBSTITUTE(SUBSTITUTE(TRIM($K1490),"-","")," ",""),마스터시트!$A$2:$H$1946,7,FALSE),""))</f>
        <v/>
      </c>
    </row>
    <row r="1491" spans="13:18" x14ac:dyDescent="0.3">
      <c r="M1491" s="18" t="str">
        <f>IF($K1491="","",IFERROR(VLOOKUP(--SUBSTITUTE(SUBSTITUTE(TRIM($K1491),"-","")," ",""),마스터시트!$A$2:$H$1946,2,FALSE),"미등록"))</f>
        <v/>
      </c>
      <c r="N1491" s="53" t="str">
        <f>IF($K1491="","",IFERROR(VLOOKUP(--SUBSTITUTE(SUBSTITUTE(TRIM($K1491),"-","")," ",""),마스터시트!$A$2:$H$1946,3,FALSE),"미등록"))</f>
        <v/>
      </c>
      <c r="O1491" s="18" t="str">
        <f>IF($K1491="","",IFERROR(VLOOKUP(--SUBSTITUTE(SUBSTITUTE(TRIM($K1491),"-","")," ",""),마스터시트!$A$2:$H$1946,4,FALSE),""))</f>
        <v/>
      </c>
      <c r="P1491" s="18" t="str">
        <f>IF($K1491="","",IFERROR(VLOOKUP(--SUBSTITUTE(SUBSTITUTE(TRIM($K1491),"-","")," ",""),마스터시트!$A$2:$H$1946,5,FALSE),""))</f>
        <v/>
      </c>
      <c r="Q1491" s="18" t="str">
        <f>IF($K1491="","",IFERROR(VLOOKUP(--SUBSTITUTE(SUBSTITUTE(TRIM($K1491),"-","")," ",""),마스터시트!$A$2:$H$1946,6,FALSE),""))</f>
        <v/>
      </c>
      <c r="R1491" s="18" t="str">
        <f>IF($K1491="","",IFERROR(VLOOKUP(--SUBSTITUTE(SUBSTITUTE(TRIM($K1491),"-","")," ",""),마스터시트!$A$2:$H$1946,7,FALSE),""))</f>
        <v/>
      </c>
    </row>
    <row r="1492" spans="13:18" x14ac:dyDescent="0.3">
      <c r="M1492" s="18" t="str">
        <f>IF($K1492="","",IFERROR(VLOOKUP(--SUBSTITUTE(SUBSTITUTE(TRIM($K1492),"-","")," ",""),마스터시트!$A$2:$H$1946,2,FALSE),"미등록"))</f>
        <v/>
      </c>
      <c r="N1492" s="53" t="str">
        <f>IF($K1492="","",IFERROR(VLOOKUP(--SUBSTITUTE(SUBSTITUTE(TRIM($K1492),"-","")," ",""),마스터시트!$A$2:$H$1946,3,FALSE),"미등록"))</f>
        <v/>
      </c>
      <c r="O1492" s="18" t="str">
        <f>IF($K1492="","",IFERROR(VLOOKUP(--SUBSTITUTE(SUBSTITUTE(TRIM($K1492),"-","")," ",""),마스터시트!$A$2:$H$1946,4,FALSE),""))</f>
        <v/>
      </c>
      <c r="P1492" s="18" t="str">
        <f>IF($K1492="","",IFERROR(VLOOKUP(--SUBSTITUTE(SUBSTITUTE(TRIM($K1492),"-","")," ",""),마스터시트!$A$2:$H$1946,5,FALSE),""))</f>
        <v/>
      </c>
      <c r="Q1492" s="18" t="str">
        <f>IF($K1492="","",IFERROR(VLOOKUP(--SUBSTITUTE(SUBSTITUTE(TRIM($K1492),"-","")," ",""),마스터시트!$A$2:$H$1946,6,FALSE),""))</f>
        <v/>
      </c>
      <c r="R1492" s="18" t="str">
        <f>IF($K1492="","",IFERROR(VLOOKUP(--SUBSTITUTE(SUBSTITUTE(TRIM($K1492),"-","")," ",""),마스터시트!$A$2:$H$1946,7,FALSE),""))</f>
        <v/>
      </c>
    </row>
    <row r="1493" spans="13:18" x14ac:dyDescent="0.3">
      <c r="M1493" s="18" t="str">
        <f>IF($K1493="","",IFERROR(VLOOKUP(--SUBSTITUTE(SUBSTITUTE(TRIM($K1493),"-","")," ",""),마스터시트!$A$2:$H$1946,2,FALSE),"미등록"))</f>
        <v/>
      </c>
      <c r="N1493" s="53" t="str">
        <f>IF($K1493="","",IFERROR(VLOOKUP(--SUBSTITUTE(SUBSTITUTE(TRIM($K1493),"-","")," ",""),마스터시트!$A$2:$H$1946,3,FALSE),"미등록"))</f>
        <v/>
      </c>
      <c r="O1493" s="18" t="str">
        <f>IF($K1493="","",IFERROR(VLOOKUP(--SUBSTITUTE(SUBSTITUTE(TRIM($K1493),"-","")," ",""),마스터시트!$A$2:$H$1946,4,FALSE),""))</f>
        <v/>
      </c>
      <c r="P1493" s="18" t="str">
        <f>IF($K1493="","",IFERROR(VLOOKUP(--SUBSTITUTE(SUBSTITUTE(TRIM($K1493),"-","")," ",""),마스터시트!$A$2:$H$1946,5,FALSE),""))</f>
        <v/>
      </c>
      <c r="Q1493" s="18" t="str">
        <f>IF($K1493="","",IFERROR(VLOOKUP(--SUBSTITUTE(SUBSTITUTE(TRIM($K1493),"-","")," ",""),마스터시트!$A$2:$H$1946,6,FALSE),""))</f>
        <v/>
      </c>
      <c r="R1493" s="18" t="str">
        <f>IF($K1493="","",IFERROR(VLOOKUP(--SUBSTITUTE(SUBSTITUTE(TRIM($K1493),"-","")," ",""),마스터시트!$A$2:$H$1946,7,FALSE),""))</f>
        <v/>
      </c>
    </row>
    <row r="1494" spans="13:18" x14ac:dyDescent="0.3">
      <c r="M1494" s="18" t="str">
        <f>IF($K1494="","",IFERROR(VLOOKUP(--SUBSTITUTE(SUBSTITUTE(TRIM($K1494),"-","")," ",""),마스터시트!$A$2:$H$1946,2,FALSE),"미등록"))</f>
        <v/>
      </c>
      <c r="N1494" s="53" t="str">
        <f>IF($K1494="","",IFERROR(VLOOKUP(--SUBSTITUTE(SUBSTITUTE(TRIM($K1494),"-","")," ",""),마스터시트!$A$2:$H$1946,3,FALSE),"미등록"))</f>
        <v/>
      </c>
      <c r="O1494" s="18" t="str">
        <f>IF($K1494="","",IFERROR(VLOOKUP(--SUBSTITUTE(SUBSTITUTE(TRIM($K1494),"-","")," ",""),마스터시트!$A$2:$H$1946,4,FALSE),""))</f>
        <v/>
      </c>
      <c r="P1494" s="18" t="str">
        <f>IF($K1494="","",IFERROR(VLOOKUP(--SUBSTITUTE(SUBSTITUTE(TRIM($K1494),"-","")," ",""),마스터시트!$A$2:$H$1946,5,FALSE),""))</f>
        <v/>
      </c>
      <c r="Q1494" s="18" t="str">
        <f>IF($K1494="","",IFERROR(VLOOKUP(--SUBSTITUTE(SUBSTITUTE(TRIM($K1494),"-","")," ",""),마스터시트!$A$2:$H$1946,6,FALSE),""))</f>
        <v/>
      </c>
      <c r="R1494" s="18" t="str">
        <f>IF($K1494="","",IFERROR(VLOOKUP(--SUBSTITUTE(SUBSTITUTE(TRIM($K1494),"-","")," ",""),마스터시트!$A$2:$H$1946,7,FALSE),""))</f>
        <v/>
      </c>
    </row>
    <row r="1495" spans="13:18" x14ac:dyDescent="0.3">
      <c r="M1495" s="18" t="str">
        <f>IF($K1495="","",IFERROR(VLOOKUP(--SUBSTITUTE(SUBSTITUTE(TRIM($K1495),"-","")," ",""),마스터시트!$A$2:$H$1946,2,FALSE),"미등록"))</f>
        <v/>
      </c>
      <c r="N1495" s="53" t="str">
        <f>IF($K1495="","",IFERROR(VLOOKUP(--SUBSTITUTE(SUBSTITUTE(TRIM($K1495),"-","")," ",""),마스터시트!$A$2:$H$1946,3,FALSE),"미등록"))</f>
        <v/>
      </c>
      <c r="O1495" s="18" t="str">
        <f>IF($K1495="","",IFERROR(VLOOKUP(--SUBSTITUTE(SUBSTITUTE(TRIM($K1495),"-","")," ",""),마스터시트!$A$2:$H$1946,4,FALSE),""))</f>
        <v/>
      </c>
      <c r="P1495" s="18" t="str">
        <f>IF($K1495="","",IFERROR(VLOOKUP(--SUBSTITUTE(SUBSTITUTE(TRIM($K1495),"-","")," ",""),마스터시트!$A$2:$H$1946,5,FALSE),""))</f>
        <v/>
      </c>
      <c r="Q1495" s="18" t="str">
        <f>IF($K1495="","",IFERROR(VLOOKUP(--SUBSTITUTE(SUBSTITUTE(TRIM($K1495),"-","")," ",""),마스터시트!$A$2:$H$1946,6,FALSE),""))</f>
        <v/>
      </c>
      <c r="R1495" s="18" t="str">
        <f>IF($K1495="","",IFERROR(VLOOKUP(--SUBSTITUTE(SUBSTITUTE(TRIM($K1495),"-","")," ",""),마스터시트!$A$2:$H$1946,7,FALSE),""))</f>
        <v/>
      </c>
    </row>
    <row r="1496" spans="13:18" x14ac:dyDescent="0.3">
      <c r="M1496" s="18" t="str">
        <f>IF($K1496="","",IFERROR(VLOOKUP(--SUBSTITUTE(SUBSTITUTE(TRIM($K1496),"-","")," ",""),마스터시트!$A$2:$H$1946,2,FALSE),"미등록"))</f>
        <v/>
      </c>
      <c r="N1496" s="53" t="str">
        <f>IF($K1496="","",IFERROR(VLOOKUP(--SUBSTITUTE(SUBSTITUTE(TRIM($K1496),"-","")," ",""),마스터시트!$A$2:$H$1946,3,FALSE),"미등록"))</f>
        <v/>
      </c>
      <c r="O1496" s="18" t="str">
        <f>IF($K1496="","",IFERROR(VLOOKUP(--SUBSTITUTE(SUBSTITUTE(TRIM($K1496),"-","")," ",""),마스터시트!$A$2:$H$1946,4,FALSE),""))</f>
        <v/>
      </c>
      <c r="P1496" s="18" t="str">
        <f>IF($K1496="","",IFERROR(VLOOKUP(--SUBSTITUTE(SUBSTITUTE(TRIM($K1496),"-","")," ",""),마스터시트!$A$2:$H$1946,5,FALSE),""))</f>
        <v/>
      </c>
      <c r="Q1496" s="18" t="str">
        <f>IF($K1496="","",IFERROR(VLOOKUP(--SUBSTITUTE(SUBSTITUTE(TRIM($K1496),"-","")," ",""),마스터시트!$A$2:$H$1946,6,FALSE),""))</f>
        <v/>
      </c>
      <c r="R1496" s="18" t="str">
        <f>IF($K1496="","",IFERROR(VLOOKUP(--SUBSTITUTE(SUBSTITUTE(TRIM($K1496),"-","")," ",""),마스터시트!$A$2:$H$1946,7,FALSE),""))</f>
        <v/>
      </c>
    </row>
    <row r="1497" spans="13:18" x14ac:dyDescent="0.3">
      <c r="M1497" s="18" t="str">
        <f>IF($K1497="","",IFERROR(VLOOKUP(--SUBSTITUTE(SUBSTITUTE(TRIM($K1497),"-","")," ",""),마스터시트!$A$2:$H$1946,2,FALSE),"미등록"))</f>
        <v/>
      </c>
      <c r="N1497" s="53" t="str">
        <f>IF($K1497="","",IFERROR(VLOOKUP(--SUBSTITUTE(SUBSTITUTE(TRIM($K1497),"-","")," ",""),마스터시트!$A$2:$H$1946,3,FALSE),"미등록"))</f>
        <v/>
      </c>
      <c r="O1497" s="18" t="str">
        <f>IF($K1497="","",IFERROR(VLOOKUP(--SUBSTITUTE(SUBSTITUTE(TRIM($K1497),"-","")," ",""),마스터시트!$A$2:$H$1946,4,FALSE),""))</f>
        <v/>
      </c>
      <c r="P1497" s="18" t="str">
        <f>IF($K1497="","",IFERROR(VLOOKUP(--SUBSTITUTE(SUBSTITUTE(TRIM($K1497),"-","")," ",""),마스터시트!$A$2:$H$1946,5,FALSE),""))</f>
        <v/>
      </c>
      <c r="Q1497" s="18" t="str">
        <f>IF($K1497="","",IFERROR(VLOOKUP(--SUBSTITUTE(SUBSTITUTE(TRIM($K1497),"-","")," ",""),마스터시트!$A$2:$H$1946,6,FALSE),""))</f>
        <v/>
      </c>
      <c r="R1497" s="18" t="str">
        <f>IF($K1497="","",IFERROR(VLOOKUP(--SUBSTITUTE(SUBSTITUTE(TRIM($K1497),"-","")," ",""),마스터시트!$A$2:$H$1946,7,FALSE),""))</f>
        <v/>
      </c>
    </row>
    <row r="1498" spans="13:18" x14ac:dyDescent="0.3">
      <c r="M1498" s="18" t="str">
        <f>IF($K1498="","",IFERROR(VLOOKUP(--SUBSTITUTE(SUBSTITUTE(TRIM($K1498),"-","")," ",""),마스터시트!$A$2:$H$1946,2,FALSE),"미등록"))</f>
        <v/>
      </c>
      <c r="N1498" s="53" t="str">
        <f>IF($K1498="","",IFERROR(VLOOKUP(--SUBSTITUTE(SUBSTITUTE(TRIM($K1498),"-","")," ",""),마스터시트!$A$2:$H$1946,3,FALSE),"미등록"))</f>
        <v/>
      </c>
      <c r="O1498" s="18" t="str">
        <f>IF($K1498="","",IFERROR(VLOOKUP(--SUBSTITUTE(SUBSTITUTE(TRIM($K1498),"-","")," ",""),마스터시트!$A$2:$H$1946,4,FALSE),""))</f>
        <v/>
      </c>
      <c r="P1498" s="18" t="str">
        <f>IF($K1498="","",IFERROR(VLOOKUP(--SUBSTITUTE(SUBSTITUTE(TRIM($K1498),"-","")," ",""),마스터시트!$A$2:$H$1946,5,FALSE),""))</f>
        <v/>
      </c>
      <c r="Q1498" s="18" t="str">
        <f>IF($K1498="","",IFERROR(VLOOKUP(--SUBSTITUTE(SUBSTITUTE(TRIM($K1498),"-","")," ",""),마스터시트!$A$2:$H$1946,6,FALSE),""))</f>
        <v/>
      </c>
      <c r="R1498" s="18" t="str">
        <f>IF($K1498="","",IFERROR(VLOOKUP(--SUBSTITUTE(SUBSTITUTE(TRIM($K1498),"-","")," ",""),마스터시트!$A$2:$H$1946,7,FALSE),""))</f>
        <v/>
      </c>
    </row>
    <row r="1499" spans="13:18" x14ac:dyDescent="0.3">
      <c r="M1499" s="18" t="str">
        <f>IF($K1499="","",IFERROR(VLOOKUP(--SUBSTITUTE(SUBSTITUTE(TRIM($K1499),"-","")," ",""),마스터시트!$A$2:$H$1946,2,FALSE),"미등록"))</f>
        <v/>
      </c>
      <c r="N1499" s="53" t="str">
        <f>IF($K1499="","",IFERROR(VLOOKUP(--SUBSTITUTE(SUBSTITUTE(TRIM($K1499),"-","")," ",""),마스터시트!$A$2:$H$1946,3,FALSE),"미등록"))</f>
        <v/>
      </c>
      <c r="O1499" s="18" t="str">
        <f>IF($K1499="","",IFERROR(VLOOKUP(--SUBSTITUTE(SUBSTITUTE(TRIM($K1499),"-","")," ",""),마스터시트!$A$2:$H$1946,4,FALSE),""))</f>
        <v/>
      </c>
      <c r="P1499" s="18" t="str">
        <f>IF($K1499="","",IFERROR(VLOOKUP(--SUBSTITUTE(SUBSTITUTE(TRIM($K1499),"-","")," ",""),마스터시트!$A$2:$H$1946,5,FALSE),""))</f>
        <v/>
      </c>
      <c r="Q1499" s="18" t="str">
        <f>IF($K1499="","",IFERROR(VLOOKUP(--SUBSTITUTE(SUBSTITUTE(TRIM($K1499),"-","")," ",""),마스터시트!$A$2:$H$1946,6,FALSE),""))</f>
        <v/>
      </c>
      <c r="R1499" s="18" t="str">
        <f>IF($K1499="","",IFERROR(VLOOKUP(--SUBSTITUTE(SUBSTITUTE(TRIM($K1499),"-","")," ",""),마스터시트!$A$2:$H$1946,7,FALSE),""))</f>
        <v/>
      </c>
    </row>
    <row r="1500" spans="13:18" x14ac:dyDescent="0.3">
      <c r="M1500" s="18" t="str">
        <f>IF($K1500="","",IFERROR(VLOOKUP(--SUBSTITUTE(SUBSTITUTE(TRIM($K1500),"-","")," ",""),마스터시트!$A$2:$H$1946,2,FALSE),"미등록"))</f>
        <v/>
      </c>
      <c r="N1500" s="53" t="str">
        <f>IF($K1500="","",IFERROR(VLOOKUP(--SUBSTITUTE(SUBSTITUTE(TRIM($K1500),"-","")," ",""),마스터시트!$A$2:$H$1946,3,FALSE),"미등록"))</f>
        <v/>
      </c>
      <c r="O1500" s="18" t="str">
        <f>IF($K1500="","",IFERROR(VLOOKUP(--SUBSTITUTE(SUBSTITUTE(TRIM($K1500),"-","")," ",""),마스터시트!$A$2:$H$1946,4,FALSE),""))</f>
        <v/>
      </c>
      <c r="P1500" s="18" t="str">
        <f>IF($K1500="","",IFERROR(VLOOKUP(--SUBSTITUTE(SUBSTITUTE(TRIM($K1500),"-","")," ",""),마스터시트!$A$2:$H$1946,5,FALSE),""))</f>
        <v/>
      </c>
      <c r="Q1500" s="18" t="str">
        <f>IF($K1500="","",IFERROR(VLOOKUP(--SUBSTITUTE(SUBSTITUTE(TRIM($K1500),"-","")," ",""),마스터시트!$A$2:$H$1946,6,FALSE),""))</f>
        <v/>
      </c>
      <c r="R1500" s="18" t="str">
        <f>IF($K1500="","",IFERROR(VLOOKUP(--SUBSTITUTE(SUBSTITUTE(TRIM($K1500),"-","")," ",""),마스터시트!$A$2:$H$1946,7,FALSE),""))</f>
        <v/>
      </c>
    </row>
    <row r="1501" spans="13:18" x14ac:dyDescent="0.3">
      <c r="M1501" s="18" t="str">
        <f>IF($K1501="","",IFERROR(VLOOKUP(--SUBSTITUTE(SUBSTITUTE(TRIM($K1501),"-","")," ",""),마스터시트!$A$2:$H$1946,2,FALSE),"미등록"))</f>
        <v/>
      </c>
      <c r="N1501" s="53" t="str">
        <f>IF($K1501="","",IFERROR(VLOOKUP(--SUBSTITUTE(SUBSTITUTE(TRIM($K1501),"-","")," ",""),마스터시트!$A$2:$H$1946,3,FALSE),"미등록"))</f>
        <v/>
      </c>
      <c r="O1501" s="18" t="str">
        <f>IF($K1501="","",IFERROR(VLOOKUP(--SUBSTITUTE(SUBSTITUTE(TRIM($K1501),"-","")," ",""),마스터시트!$A$2:$H$1946,4,FALSE),""))</f>
        <v/>
      </c>
      <c r="P1501" s="18" t="str">
        <f>IF($K1501="","",IFERROR(VLOOKUP(--SUBSTITUTE(SUBSTITUTE(TRIM($K1501),"-","")," ",""),마스터시트!$A$2:$H$1946,5,FALSE),""))</f>
        <v/>
      </c>
      <c r="Q1501" s="18" t="str">
        <f>IF($K1501="","",IFERROR(VLOOKUP(--SUBSTITUTE(SUBSTITUTE(TRIM($K1501),"-","")," ",""),마스터시트!$A$2:$H$1946,6,FALSE),""))</f>
        <v/>
      </c>
      <c r="R1501" s="18" t="str">
        <f>IF($K1501="","",IFERROR(VLOOKUP(--SUBSTITUTE(SUBSTITUTE(TRIM($K1501),"-","")," ",""),마스터시트!$A$2:$H$1946,7,FALSE),""))</f>
        <v/>
      </c>
    </row>
    <row r="1502" spans="13:18" x14ac:dyDescent="0.3">
      <c r="M1502" s="18" t="str">
        <f>IF($K1502="","",IFERROR(VLOOKUP(--SUBSTITUTE(SUBSTITUTE(TRIM($K1502),"-","")," ",""),마스터시트!$A$2:$H$1946,2,FALSE),"미등록"))</f>
        <v/>
      </c>
      <c r="N1502" s="53" t="str">
        <f>IF($K1502="","",IFERROR(VLOOKUP(--SUBSTITUTE(SUBSTITUTE(TRIM($K1502),"-","")," ",""),마스터시트!$A$2:$H$1946,3,FALSE),"미등록"))</f>
        <v/>
      </c>
      <c r="O1502" s="18" t="str">
        <f>IF($K1502="","",IFERROR(VLOOKUP(--SUBSTITUTE(SUBSTITUTE(TRIM($K1502),"-","")," ",""),마스터시트!$A$2:$H$1946,4,FALSE),""))</f>
        <v/>
      </c>
      <c r="P1502" s="18" t="str">
        <f>IF($K1502="","",IFERROR(VLOOKUP(--SUBSTITUTE(SUBSTITUTE(TRIM($K1502),"-","")," ",""),마스터시트!$A$2:$H$1946,5,FALSE),""))</f>
        <v/>
      </c>
      <c r="Q1502" s="18" t="str">
        <f>IF($K1502="","",IFERROR(VLOOKUP(--SUBSTITUTE(SUBSTITUTE(TRIM($K1502),"-","")," ",""),마스터시트!$A$2:$H$1946,6,FALSE),""))</f>
        <v/>
      </c>
      <c r="R1502" s="18" t="str">
        <f>IF($K1502="","",IFERROR(VLOOKUP(--SUBSTITUTE(SUBSTITUTE(TRIM($K1502),"-","")," ",""),마스터시트!$A$2:$H$1946,7,FALSE),""))</f>
        <v/>
      </c>
    </row>
    <row r="1503" spans="13:18" x14ac:dyDescent="0.3">
      <c r="M1503" s="18" t="str">
        <f>IF($K1503="","",IFERROR(VLOOKUP(--SUBSTITUTE(SUBSTITUTE(TRIM($K1503),"-","")," ",""),마스터시트!$A$2:$H$1946,2,FALSE),"미등록"))</f>
        <v/>
      </c>
      <c r="N1503" s="53" t="str">
        <f>IF($K1503="","",IFERROR(VLOOKUP(--SUBSTITUTE(SUBSTITUTE(TRIM($K1503),"-","")," ",""),마스터시트!$A$2:$H$1946,3,FALSE),"미등록"))</f>
        <v/>
      </c>
      <c r="O1503" s="18" t="str">
        <f>IF($K1503="","",IFERROR(VLOOKUP(--SUBSTITUTE(SUBSTITUTE(TRIM($K1503),"-","")," ",""),마스터시트!$A$2:$H$1946,4,FALSE),""))</f>
        <v/>
      </c>
      <c r="P1503" s="18" t="str">
        <f>IF($K1503="","",IFERROR(VLOOKUP(--SUBSTITUTE(SUBSTITUTE(TRIM($K1503),"-","")," ",""),마스터시트!$A$2:$H$1946,5,FALSE),""))</f>
        <v/>
      </c>
      <c r="Q1503" s="18" t="str">
        <f>IF($K1503="","",IFERROR(VLOOKUP(--SUBSTITUTE(SUBSTITUTE(TRIM($K1503),"-","")," ",""),마스터시트!$A$2:$H$1946,6,FALSE),""))</f>
        <v/>
      </c>
      <c r="R1503" s="18" t="str">
        <f>IF($K1503="","",IFERROR(VLOOKUP(--SUBSTITUTE(SUBSTITUTE(TRIM($K1503),"-","")," ",""),마스터시트!$A$2:$H$1946,7,FALSE),""))</f>
        <v/>
      </c>
    </row>
    <row r="1504" spans="13:18" x14ac:dyDescent="0.3">
      <c r="M1504" s="18" t="str">
        <f>IF($K1504="","",IFERROR(VLOOKUP(--SUBSTITUTE(SUBSTITUTE(TRIM($K1504),"-","")," ",""),마스터시트!$A$2:$H$1946,2,FALSE),"미등록"))</f>
        <v/>
      </c>
      <c r="N1504" s="53" t="str">
        <f>IF($K1504="","",IFERROR(VLOOKUP(--SUBSTITUTE(SUBSTITUTE(TRIM($K1504),"-","")," ",""),마스터시트!$A$2:$H$1946,3,FALSE),"미등록"))</f>
        <v/>
      </c>
      <c r="O1504" s="18" t="str">
        <f>IF($K1504="","",IFERROR(VLOOKUP(--SUBSTITUTE(SUBSTITUTE(TRIM($K1504),"-","")," ",""),마스터시트!$A$2:$H$1946,4,FALSE),""))</f>
        <v/>
      </c>
      <c r="P1504" s="18" t="str">
        <f>IF($K1504="","",IFERROR(VLOOKUP(--SUBSTITUTE(SUBSTITUTE(TRIM($K1504),"-","")," ",""),마스터시트!$A$2:$H$1946,5,FALSE),""))</f>
        <v/>
      </c>
      <c r="Q1504" s="18" t="str">
        <f>IF($K1504="","",IFERROR(VLOOKUP(--SUBSTITUTE(SUBSTITUTE(TRIM($K1504),"-","")," ",""),마스터시트!$A$2:$H$1946,6,FALSE),""))</f>
        <v/>
      </c>
      <c r="R1504" s="18" t="str">
        <f>IF($K1504="","",IFERROR(VLOOKUP(--SUBSTITUTE(SUBSTITUTE(TRIM($K1504),"-","")," ",""),마스터시트!$A$2:$H$1946,7,FALSE),""))</f>
        <v/>
      </c>
    </row>
    <row r="1505" spans="13:18" x14ac:dyDescent="0.3">
      <c r="M1505" s="18" t="str">
        <f>IF($K1505="","",IFERROR(VLOOKUP(--SUBSTITUTE(SUBSTITUTE(TRIM($K1505),"-","")," ",""),마스터시트!$A$2:$H$1946,2,FALSE),"미등록"))</f>
        <v/>
      </c>
      <c r="N1505" s="53" t="str">
        <f>IF($K1505="","",IFERROR(VLOOKUP(--SUBSTITUTE(SUBSTITUTE(TRIM($K1505),"-","")," ",""),마스터시트!$A$2:$H$1946,3,FALSE),"미등록"))</f>
        <v/>
      </c>
      <c r="O1505" s="18" t="str">
        <f>IF($K1505="","",IFERROR(VLOOKUP(--SUBSTITUTE(SUBSTITUTE(TRIM($K1505),"-","")," ",""),마스터시트!$A$2:$H$1946,4,FALSE),""))</f>
        <v/>
      </c>
      <c r="P1505" s="18" t="str">
        <f>IF($K1505="","",IFERROR(VLOOKUP(--SUBSTITUTE(SUBSTITUTE(TRIM($K1505),"-","")," ",""),마스터시트!$A$2:$H$1946,5,FALSE),""))</f>
        <v/>
      </c>
      <c r="Q1505" s="18" t="str">
        <f>IF($K1505="","",IFERROR(VLOOKUP(--SUBSTITUTE(SUBSTITUTE(TRIM($K1505),"-","")," ",""),마스터시트!$A$2:$H$1946,6,FALSE),""))</f>
        <v/>
      </c>
      <c r="R1505" s="18" t="str">
        <f>IF($K1505="","",IFERROR(VLOOKUP(--SUBSTITUTE(SUBSTITUTE(TRIM($K1505),"-","")," ",""),마스터시트!$A$2:$H$1946,7,FALSE),""))</f>
        <v/>
      </c>
    </row>
    <row r="1506" spans="13:18" x14ac:dyDescent="0.3">
      <c r="M1506" s="18" t="str">
        <f>IF($K1506="","",IFERROR(VLOOKUP(--SUBSTITUTE(SUBSTITUTE(TRIM($K1506),"-","")," ",""),마스터시트!$A$2:$H$1946,2,FALSE),"미등록"))</f>
        <v/>
      </c>
      <c r="N1506" s="53" t="str">
        <f>IF($K1506="","",IFERROR(VLOOKUP(--SUBSTITUTE(SUBSTITUTE(TRIM($K1506),"-","")," ",""),마스터시트!$A$2:$H$1946,3,FALSE),"미등록"))</f>
        <v/>
      </c>
      <c r="O1506" s="18" t="str">
        <f>IF($K1506="","",IFERROR(VLOOKUP(--SUBSTITUTE(SUBSTITUTE(TRIM($K1506),"-","")," ",""),마스터시트!$A$2:$H$1946,4,FALSE),""))</f>
        <v/>
      </c>
      <c r="P1506" s="18" t="str">
        <f>IF($K1506="","",IFERROR(VLOOKUP(--SUBSTITUTE(SUBSTITUTE(TRIM($K1506),"-","")," ",""),마스터시트!$A$2:$H$1946,5,FALSE),""))</f>
        <v/>
      </c>
      <c r="Q1506" s="18" t="str">
        <f>IF($K1506="","",IFERROR(VLOOKUP(--SUBSTITUTE(SUBSTITUTE(TRIM($K1506),"-","")," ",""),마스터시트!$A$2:$H$1946,6,FALSE),""))</f>
        <v/>
      </c>
      <c r="R1506" s="18" t="str">
        <f>IF($K1506="","",IFERROR(VLOOKUP(--SUBSTITUTE(SUBSTITUTE(TRIM($K1506),"-","")," ",""),마스터시트!$A$2:$H$1946,7,FALSE),""))</f>
        <v/>
      </c>
    </row>
    <row r="1507" spans="13:18" x14ac:dyDescent="0.3">
      <c r="M1507" s="18" t="str">
        <f>IF($K1507="","",IFERROR(VLOOKUP(--SUBSTITUTE(SUBSTITUTE(TRIM($K1507),"-","")," ",""),마스터시트!$A$2:$H$1946,2,FALSE),"미등록"))</f>
        <v/>
      </c>
      <c r="N1507" s="53" t="str">
        <f>IF($K1507="","",IFERROR(VLOOKUP(--SUBSTITUTE(SUBSTITUTE(TRIM($K1507),"-","")," ",""),마스터시트!$A$2:$H$1946,3,FALSE),"미등록"))</f>
        <v/>
      </c>
      <c r="O1507" s="18" t="str">
        <f>IF($K1507="","",IFERROR(VLOOKUP(--SUBSTITUTE(SUBSTITUTE(TRIM($K1507),"-","")," ",""),마스터시트!$A$2:$H$1946,4,FALSE),""))</f>
        <v/>
      </c>
      <c r="P1507" s="18" t="str">
        <f>IF($K1507="","",IFERROR(VLOOKUP(--SUBSTITUTE(SUBSTITUTE(TRIM($K1507),"-","")," ",""),마스터시트!$A$2:$H$1946,5,FALSE),""))</f>
        <v/>
      </c>
      <c r="Q1507" s="18" t="str">
        <f>IF($K1507="","",IFERROR(VLOOKUP(--SUBSTITUTE(SUBSTITUTE(TRIM($K1507),"-","")," ",""),마스터시트!$A$2:$H$1946,6,FALSE),""))</f>
        <v/>
      </c>
      <c r="R1507" s="18" t="str">
        <f>IF($K1507="","",IFERROR(VLOOKUP(--SUBSTITUTE(SUBSTITUTE(TRIM($K1507),"-","")," ",""),마스터시트!$A$2:$H$1946,7,FALSE),""))</f>
        <v/>
      </c>
    </row>
    <row r="1508" spans="13:18" x14ac:dyDescent="0.3">
      <c r="M1508" s="18" t="str">
        <f>IF($K1508="","",IFERROR(VLOOKUP(--SUBSTITUTE(SUBSTITUTE(TRIM($K1508),"-","")," ",""),마스터시트!$A$2:$H$1946,2,FALSE),"미등록"))</f>
        <v/>
      </c>
      <c r="N1508" s="53" t="str">
        <f>IF($K1508="","",IFERROR(VLOOKUP(--SUBSTITUTE(SUBSTITUTE(TRIM($K1508),"-","")," ",""),마스터시트!$A$2:$H$1946,3,FALSE),"미등록"))</f>
        <v/>
      </c>
      <c r="O1508" s="18" t="str">
        <f>IF($K1508="","",IFERROR(VLOOKUP(--SUBSTITUTE(SUBSTITUTE(TRIM($K1508),"-","")," ",""),마스터시트!$A$2:$H$1946,4,FALSE),""))</f>
        <v/>
      </c>
      <c r="P1508" s="18" t="str">
        <f>IF($K1508="","",IFERROR(VLOOKUP(--SUBSTITUTE(SUBSTITUTE(TRIM($K1508),"-","")," ",""),마스터시트!$A$2:$H$1946,5,FALSE),""))</f>
        <v/>
      </c>
      <c r="Q1508" s="18" t="str">
        <f>IF($K1508="","",IFERROR(VLOOKUP(--SUBSTITUTE(SUBSTITUTE(TRIM($K1508),"-","")," ",""),마스터시트!$A$2:$H$1946,6,FALSE),""))</f>
        <v/>
      </c>
      <c r="R1508" s="18" t="str">
        <f>IF($K1508="","",IFERROR(VLOOKUP(--SUBSTITUTE(SUBSTITUTE(TRIM($K1508),"-","")," ",""),마스터시트!$A$2:$H$1946,7,FALSE),""))</f>
        <v/>
      </c>
    </row>
    <row r="1509" spans="13:18" x14ac:dyDescent="0.3">
      <c r="M1509" s="18" t="str">
        <f>IF($K1509="","",IFERROR(VLOOKUP(--SUBSTITUTE(SUBSTITUTE(TRIM($K1509),"-","")," ",""),마스터시트!$A$2:$H$1946,2,FALSE),"미등록"))</f>
        <v/>
      </c>
      <c r="N1509" s="53" t="str">
        <f>IF($K1509="","",IFERROR(VLOOKUP(--SUBSTITUTE(SUBSTITUTE(TRIM($K1509),"-","")," ",""),마스터시트!$A$2:$H$1946,3,FALSE),"미등록"))</f>
        <v/>
      </c>
      <c r="O1509" s="18" t="str">
        <f>IF($K1509="","",IFERROR(VLOOKUP(--SUBSTITUTE(SUBSTITUTE(TRIM($K1509),"-","")," ",""),마스터시트!$A$2:$H$1946,4,FALSE),""))</f>
        <v/>
      </c>
      <c r="P1509" s="18" t="str">
        <f>IF($K1509="","",IFERROR(VLOOKUP(--SUBSTITUTE(SUBSTITUTE(TRIM($K1509),"-","")," ",""),마스터시트!$A$2:$H$1946,5,FALSE),""))</f>
        <v/>
      </c>
      <c r="Q1509" s="18" t="str">
        <f>IF($K1509="","",IFERROR(VLOOKUP(--SUBSTITUTE(SUBSTITUTE(TRIM($K1509),"-","")," ",""),마스터시트!$A$2:$H$1946,6,FALSE),""))</f>
        <v/>
      </c>
      <c r="R1509" s="18" t="str">
        <f>IF($K1509="","",IFERROR(VLOOKUP(--SUBSTITUTE(SUBSTITUTE(TRIM($K1509),"-","")," ",""),마스터시트!$A$2:$H$1946,7,FALSE),""))</f>
        <v/>
      </c>
    </row>
    <row r="1510" spans="13:18" x14ac:dyDescent="0.3">
      <c r="M1510" s="18" t="str">
        <f>IF($K1510="","",IFERROR(VLOOKUP(--SUBSTITUTE(SUBSTITUTE(TRIM($K1510),"-","")," ",""),마스터시트!$A$2:$H$1946,2,FALSE),"미등록"))</f>
        <v/>
      </c>
      <c r="N1510" s="53" t="str">
        <f>IF($K1510="","",IFERROR(VLOOKUP(--SUBSTITUTE(SUBSTITUTE(TRIM($K1510),"-","")," ",""),마스터시트!$A$2:$H$1946,3,FALSE),"미등록"))</f>
        <v/>
      </c>
      <c r="O1510" s="18" t="str">
        <f>IF($K1510="","",IFERROR(VLOOKUP(--SUBSTITUTE(SUBSTITUTE(TRIM($K1510),"-","")," ",""),마스터시트!$A$2:$H$1946,4,FALSE),""))</f>
        <v/>
      </c>
      <c r="P1510" s="18" t="str">
        <f>IF($K1510="","",IFERROR(VLOOKUP(--SUBSTITUTE(SUBSTITUTE(TRIM($K1510),"-","")," ",""),마스터시트!$A$2:$H$1946,5,FALSE),""))</f>
        <v/>
      </c>
      <c r="Q1510" s="18" t="str">
        <f>IF($K1510="","",IFERROR(VLOOKUP(--SUBSTITUTE(SUBSTITUTE(TRIM($K1510),"-","")," ",""),마스터시트!$A$2:$H$1946,6,FALSE),""))</f>
        <v/>
      </c>
      <c r="R1510" s="18" t="str">
        <f>IF($K1510="","",IFERROR(VLOOKUP(--SUBSTITUTE(SUBSTITUTE(TRIM($K1510),"-","")," ",""),마스터시트!$A$2:$H$1946,7,FALSE),""))</f>
        <v/>
      </c>
    </row>
    <row r="1511" spans="13:18" x14ac:dyDescent="0.3">
      <c r="M1511" s="18" t="str">
        <f>IF($K1511="","",IFERROR(VLOOKUP(--SUBSTITUTE(SUBSTITUTE(TRIM($K1511),"-","")," ",""),마스터시트!$A$2:$H$1946,2,FALSE),"미등록"))</f>
        <v/>
      </c>
      <c r="N1511" s="53" t="str">
        <f>IF($K1511="","",IFERROR(VLOOKUP(--SUBSTITUTE(SUBSTITUTE(TRIM($K1511),"-","")," ",""),마스터시트!$A$2:$H$1946,3,FALSE),"미등록"))</f>
        <v/>
      </c>
      <c r="O1511" s="18" t="str">
        <f>IF($K1511="","",IFERROR(VLOOKUP(--SUBSTITUTE(SUBSTITUTE(TRIM($K1511),"-","")," ",""),마스터시트!$A$2:$H$1946,4,FALSE),""))</f>
        <v/>
      </c>
      <c r="P1511" s="18" t="str">
        <f>IF($K1511="","",IFERROR(VLOOKUP(--SUBSTITUTE(SUBSTITUTE(TRIM($K1511),"-","")," ",""),마스터시트!$A$2:$H$1946,5,FALSE),""))</f>
        <v/>
      </c>
      <c r="Q1511" s="18" t="str">
        <f>IF($K1511="","",IFERROR(VLOOKUP(--SUBSTITUTE(SUBSTITUTE(TRIM($K1511),"-","")," ",""),마스터시트!$A$2:$H$1946,6,FALSE),""))</f>
        <v/>
      </c>
      <c r="R1511" s="18" t="str">
        <f>IF($K1511="","",IFERROR(VLOOKUP(--SUBSTITUTE(SUBSTITUTE(TRIM($K1511),"-","")," ",""),마스터시트!$A$2:$H$1946,7,FALSE),""))</f>
        <v/>
      </c>
    </row>
    <row r="1512" spans="13:18" x14ac:dyDescent="0.3">
      <c r="M1512" s="18" t="str">
        <f>IF($K1512="","",IFERROR(VLOOKUP(--SUBSTITUTE(SUBSTITUTE(TRIM($K1512),"-","")," ",""),마스터시트!$A$2:$H$1946,2,FALSE),"미등록"))</f>
        <v/>
      </c>
      <c r="N1512" s="53" t="str">
        <f>IF($K1512="","",IFERROR(VLOOKUP(--SUBSTITUTE(SUBSTITUTE(TRIM($K1512),"-","")," ",""),마스터시트!$A$2:$H$1946,3,FALSE),"미등록"))</f>
        <v/>
      </c>
      <c r="O1512" s="18" t="str">
        <f>IF($K1512="","",IFERROR(VLOOKUP(--SUBSTITUTE(SUBSTITUTE(TRIM($K1512),"-","")," ",""),마스터시트!$A$2:$H$1946,4,FALSE),""))</f>
        <v/>
      </c>
      <c r="P1512" s="18" t="str">
        <f>IF($K1512="","",IFERROR(VLOOKUP(--SUBSTITUTE(SUBSTITUTE(TRIM($K1512),"-","")," ",""),마스터시트!$A$2:$H$1946,5,FALSE),""))</f>
        <v/>
      </c>
      <c r="Q1512" s="18" t="str">
        <f>IF($K1512="","",IFERROR(VLOOKUP(--SUBSTITUTE(SUBSTITUTE(TRIM($K1512),"-","")," ",""),마스터시트!$A$2:$H$1946,6,FALSE),""))</f>
        <v/>
      </c>
      <c r="R1512" s="18" t="str">
        <f>IF($K1512="","",IFERROR(VLOOKUP(--SUBSTITUTE(SUBSTITUTE(TRIM($K1512),"-","")," ",""),마스터시트!$A$2:$H$1946,7,FALSE),""))</f>
        <v/>
      </c>
    </row>
    <row r="1513" spans="13:18" x14ac:dyDescent="0.3">
      <c r="M1513" s="18" t="str">
        <f>IF($K1513="","",IFERROR(VLOOKUP(--SUBSTITUTE(SUBSTITUTE(TRIM($K1513),"-","")," ",""),마스터시트!$A$2:$H$1946,2,FALSE),"미등록"))</f>
        <v/>
      </c>
      <c r="N1513" s="53" t="str">
        <f>IF($K1513="","",IFERROR(VLOOKUP(--SUBSTITUTE(SUBSTITUTE(TRIM($K1513),"-","")," ",""),마스터시트!$A$2:$H$1946,3,FALSE),"미등록"))</f>
        <v/>
      </c>
      <c r="O1513" s="18" t="str">
        <f>IF($K1513="","",IFERROR(VLOOKUP(--SUBSTITUTE(SUBSTITUTE(TRIM($K1513),"-","")," ",""),마스터시트!$A$2:$H$1946,4,FALSE),""))</f>
        <v/>
      </c>
      <c r="P1513" s="18" t="str">
        <f>IF($K1513="","",IFERROR(VLOOKUP(--SUBSTITUTE(SUBSTITUTE(TRIM($K1513),"-","")," ",""),마스터시트!$A$2:$H$1946,5,FALSE),""))</f>
        <v/>
      </c>
      <c r="Q1513" s="18" t="str">
        <f>IF($K1513="","",IFERROR(VLOOKUP(--SUBSTITUTE(SUBSTITUTE(TRIM($K1513),"-","")," ",""),마스터시트!$A$2:$H$1946,6,FALSE),""))</f>
        <v/>
      </c>
      <c r="R1513" s="18" t="str">
        <f>IF($K1513="","",IFERROR(VLOOKUP(--SUBSTITUTE(SUBSTITUTE(TRIM($K1513),"-","")," ",""),마스터시트!$A$2:$H$1946,7,FALSE),""))</f>
        <v/>
      </c>
    </row>
    <row r="1514" spans="13:18" x14ac:dyDescent="0.3">
      <c r="M1514" s="18" t="str">
        <f>IF($K1514="","",IFERROR(VLOOKUP(--SUBSTITUTE(SUBSTITUTE(TRIM($K1514),"-","")," ",""),마스터시트!$A$2:$H$1946,2,FALSE),"미등록"))</f>
        <v/>
      </c>
      <c r="N1514" s="53" t="str">
        <f>IF($K1514="","",IFERROR(VLOOKUP(--SUBSTITUTE(SUBSTITUTE(TRIM($K1514),"-","")," ",""),마스터시트!$A$2:$H$1946,3,FALSE),"미등록"))</f>
        <v/>
      </c>
      <c r="O1514" s="18" t="str">
        <f>IF($K1514="","",IFERROR(VLOOKUP(--SUBSTITUTE(SUBSTITUTE(TRIM($K1514),"-","")," ",""),마스터시트!$A$2:$H$1946,4,FALSE),""))</f>
        <v/>
      </c>
      <c r="P1514" s="18" t="str">
        <f>IF($K1514="","",IFERROR(VLOOKUP(--SUBSTITUTE(SUBSTITUTE(TRIM($K1514),"-","")," ",""),마스터시트!$A$2:$H$1946,5,FALSE),""))</f>
        <v/>
      </c>
      <c r="Q1514" s="18" t="str">
        <f>IF($K1514="","",IFERROR(VLOOKUP(--SUBSTITUTE(SUBSTITUTE(TRIM($K1514),"-","")," ",""),마스터시트!$A$2:$H$1946,6,FALSE),""))</f>
        <v/>
      </c>
      <c r="R1514" s="18" t="str">
        <f>IF($K1514="","",IFERROR(VLOOKUP(--SUBSTITUTE(SUBSTITUTE(TRIM($K1514),"-","")," ",""),마스터시트!$A$2:$H$1946,7,FALSE),""))</f>
        <v/>
      </c>
    </row>
    <row r="1515" spans="13:18" x14ac:dyDescent="0.3">
      <c r="M1515" s="18" t="str">
        <f>IF($K1515="","",IFERROR(VLOOKUP(--SUBSTITUTE(SUBSTITUTE(TRIM($K1515),"-","")," ",""),마스터시트!$A$2:$H$1946,2,FALSE),"미등록"))</f>
        <v/>
      </c>
      <c r="N1515" s="53" t="str">
        <f>IF($K1515="","",IFERROR(VLOOKUP(--SUBSTITUTE(SUBSTITUTE(TRIM($K1515),"-","")," ",""),마스터시트!$A$2:$H$1946,3,FALSE),"미등록"))</f>
        <v/>
      </c>
      <c r="O1515" s="18" t="str">
        <f>IF($K1515="","",IFERROR(VLOOKUP(--SUBSTITUTE(SUBSTITUTE(TRIM($K1515),"-","")," ",""),마스터시트!$A$2:$H$1946,4,FALSE),""))</f>
        <v/>
      </c>
      <c r="P1515" s="18" t="str">
        <f>IF($K1515="","",IFERROR(VLOOKUP(--SUBSTITUTE(SUBSTITUTE(TRIM($K1515),"-","")," ",""),마스터시트!$A$2:$H$1946,5,FALSE),""))</f>
        <v/>
      </c>
      <c r="Q1515" s="18" t="str">
        <f>IF($K1515="","",IFERROR(VLOOKUP(--SUBSTITUTE(SUBSTITUTE(TRIM($K1515),"-","")," ",""),마스터시트!$A$2:$H$1946,6,FALSE),""))</f>
        <v/>
      </c>
      <c r="R1515" s="18" t="str">
        <f>IF($K1515="","",IFERROR(VLOOKUP(--SUBSTITUTE(SUBSTITUTE(TRIM($K1515),"-","")," ",""),마스터시트!$A$2:$H$1946,7,FALSE),""))</f>
        <v/>
      </c>
    </row>
    <row r="1516" spans="13:18" x14ac:dyDescent="0.3">
      <c r="M1516" s="18" t="str">
        <f>IF($K1516="","",IFERROR(VLOOKUP(--SUBSTITUTE(SUBSTITUTE(TRIM($K1516),"-","")," ",""),마스터시트!$A$2:$H$1946,2,FALSE),"미등록"))</f>
        <v/>
      </c>
      <c r="N1516" s="53" t="str">
        <f>IF($K1516="","",IFERROR(VLOOKUP(--SUBSTITUTE(SUBSTITUTE(TRIM($K1516),"-","")," ",""),마스터시트!$A$2:$H$1946,3,FALSE),"미등록"))</f>
        <v/>
      </c>
      <c r="O1516" s="18" t="str">
        <f>IF($K1516="","",IFERROR(VLOOKUP(--SUBSTITUTE(SUBSTITUTE(TRIM($K1516),"-","")," ",""),마스터시트!$A$2:$H$1946,4,FALSE),""))</f>
        <v/>
      </c>
      <c r="P1516" s="18" t="str">
        <f>IF($K1516="","",IFERROR(VLOOKUP(--SUBSTITUTE(SUBSTITUTE(TRIM($K1516),"-","")," ",""),마스터시트!$A$2:$H$1946,5,FALSE),""))</f>
        <v/>
      </c>
      <c r="Q1516" s="18" t="str">
        <f>IF($K1516="","",IFERROR(VLOOKUP(--SUBSTITUTE(SUBSTITUTE(TRIM($K1516),"-","")," ",""),마스터시트!$A$2:$H$1946,6,FALSE),""))</f>
        <v/>
      </c>
      <c r="R1516" s="18" t="str">
        <f>IF($K1516="","",IFERROR(VLOOKUP(--SUBSTITUTE(SUBSTITUTE(TRIM($K1516),"-","")," ",""),마스터시트!$A$2:$H$1946,7,FALSE),""))</f>
        <v/>
      </c>
    </row>
    <row r="1517" spans="13:18" x14ac:dyDescent="0.3">
      <c r="M1517" s="18" t="str">
        <f>IF($K1517="","",IFERROR(VLOOKUP(--SUBSTITUTE(SUBSTITUTE(TRIM($K1517),"-","")," ",""),마스터시트!$A$2:$H$1946,2,FALSE),"미등록"))</f>
        <v/>
      </c>
      <c r="N1517" s="53" t="str">
        <f>IF($K1517="","",IFERROR(VLOOKUP(--SUBSTITUTE(SUBSTITUTE(TRIM($K1517),"-","")," ",""),마스터시트!$A$2:$H$1946,3,FALSE),"미등록"))</f>
        <v/>
      </c>
      <c r="O1517" s="18" t="str">
        <f>IF($K1517="","",IFERROR(VLOOKUP(--SUBSTITUTE(SUBSTITUTE(TRIM($K1517),"-","")," ",""),마스터시트!$A$2:$H$1946,4,FALSE),""))</f>
        <v/>
      </c>
      <c r="P1517" s="18" t="str">
        <f>IF($K1517="","",IFERROR(VLOOKUP(--SUBSTITUTE(SUBSTITUTE(TRIM($K1517),"-","")," ",""),마스터시트!$A$2:$H$1946,5,FALSE),""))</f>
        <v/>
      </c>
      <c r="Q1517" s="18" t="str">
        <f>IF($K1517="","",IFERROR(VLOOKUP(--SUBSTITUTE(SUBSTITUTE(TRIM($K1517),"-","")," ",""),마스터시트!$A$2:$H$1946,6,FALSE),""))</f>
        <v/>
      </c>
      <c r="R1517" s="18" t="str">
        <f>IF($K1517="","",IFERROR(VLOOKUP(--SUBSTITUTE(SUBSTITUTE(TRIM($K1517),"-","")," ",""),마스터시트!$A$2:$H$1946,7,FALSE),""))</f>
        <v/>
      </c>
    </row>
    <row r="1518" spans="13:18" x14ac:dyDescent="0.3">
      <c r="M1518" s="18" t="str">
        <f>IF($K1518="","",IFERROR(VLOOKUP(--SUBSTITUTE(SUBSTITUTE(TRIM($K1518),"-","")," ",""),마스터시트!$A$2:$H$1946,2,FALSE),"미등록"))</f>
        <v/>
      </c>
      <c r="N1518" s="53" t="str">
        <f>IF($K1518="","",IFERROR(VLOOKUP(--SUBSTITUTE(SUBSTITUTE(TRIM($K1518),"-","")," ",""),마스터시트!$A$2:$H$1946,3,FALSE),"미등록"))</f>
        <v/>
      </c>
      <c r="O1518" s="18" t="str">
        <f>IF($K1518="","",IFERROR(VLOOKUP(--SUBSTITUTE(SUBSTITUTE(TRIM($K1518),"-","")," ",""),마스터시트!$A$2:$H$1946,4,FALSE),""))</f>
        <v/>
      </c>
      <c r="P1518" s="18" t="str">
        <f>IF($K1518="","",IFERROR(VLOOKUP(--SUBSTITUTE(SUBSTITUTE(TRIM($K1518),"-","")," ",""),마스터시트!$A$2:$H$1946,5,FALSE),""))</f>
        <v/>
      </c>
      <c r="Q1518" s="18" t="str">
        <f>IF($K1518="","",IFERROR(VLOOKUP(--SUBSTITUTE(SUBSTITUTE(TRIM($K1518),"-","")," ",""),마스터시트!$A$2:$H$1946,6,FALSE),""))</f>
        <v/>
      </c>
      <c r="R1518" s="18" t="str">
        <f>IF($K1518="","",IFERROR(VLOOKUP(--SUBSTITUTE(SUBSTITUTE(TRIM($K1518),"-","")," ",""),마스터시트!$A$2:$H$1946,7,FALSE),""))</f>
        <v/>
      </c>
    </row>
    <row r="1519" spans="13:18" x14ac:dyDescent="0.3">
      <c r="M1519" s="18" t="str">
        <f>IF($K1519="","",IFERROR(VLOOKUP(--SUBSTITUTE(SUBSTITUTE(TRIM($K1519),"-","")," ",""),마스터시트!$A$2:$H$1946,2,FALSE),"미등록"))</f>
        <v/>
      </c>
      <c r="N1519" s="53" t="str">
        <f>IF($K1519="","",IFERROR(VLOOKUP(--SUBSTITUTE(SUBSTITUTE(TRIM($K1519),"-","")," ",""),마스터시트!$A$2:$H$1946,3,FALSE),"미등록"))</f>
        <v/>
      </c>
      <c r="O1519" s="18" t="str">
        <f>IF($K1519="","",IFERROR(VLOOKUP(--SUBSTITUTE(SUBSTITUTE(TRIM($K1519),"-","")," ",""),마스터시트!$A$2:$H$1946,4,FALSE),""))</f>
        <v/>
      </c>
      <c r="P1519" s="18" t="str">
        <f>IF($K1519="","",IFERROR(VLOOKUP(--SUBSTITUTE(SUBSTITUTE(TRIM($K1519),"-","")," ",""),마스터시트!$A$2:$H$1946,5,FALSE),""))</f>
        <v/>
      </c>
      <c r="Q1519" s="18" t="str">
        <f>IF($K1519="","",IFERROR(VLOOKUP(--SUBSTITUTE(SUBSTITUTE(TRIM($K1519),"-","")," ",""),마스터시트!$A$2:$H$1946,6,FALSE),""))</f>
        <v/>
      </c>
      <c r="R1519" s="18" t="str">
        <f>IF($K1519="","",IFERROR(VLOOKUP(--SUBSTITUTE(SUBSTITUTE(TRIM($K1519),"-","")," ",""),마스터시트!$A$2:$H$1946,7,FALSE),""))</f>
        <v/>
      </c>
    </row>
    <row r="1520" spans="13:18" x14ac:dyDescent="0.3">
      <c r="M1520" s="18" t="str">
        <f>IF($K1520="","",IFERROR(VLOOKUP(--SUBSTITUTE(SUBSTITUTE(TRIM($K1520),"-","")," ",""),마스터시트!$A$2:$H$1946,2,FALSE),"미등록"))</f>
        <v/>
      </c>
      <c r="N1520" s="53" t="str">
        <f>IF($K1520="","",IFERROR(VLOOKUP(--SUBSTITUTE(SUBSTITUTE(TRIM($K1520),"-","")," ",""),마스터시트!$A$2:$H$1946,3,FALSE),"미등록"))</f>
        <v/>
      </c>
      <c r="O1520" s="18" t="str">
        <f>IF($K1520="","",IFERROR(VLOOKUP(--SUBSTITUTE(SUBSTITUTE(TRIM($K1520),"-","")," ",""),마스터시트!$A$2:$H$1946,4,FALSE),""))</f>
        <v/>
      </c>
      <c r="P1520" s="18" t="str">
        <f>IF($K1520="","",IFERROR(VLOOKUP(--SUBSTITUTE(SUBSTITUTE(TRIM($K1520),"-","")," ",""),마스터시트!$A$2:$H$1946,5,FALSE),""))</f>
        <v/>
      </c>
      <c r="Q1520" s="18" t="str">
        <f>IF($K1520="","",IFERROR(VLOOKUP(--SUBSTITUTE(SUBSTITUTE(TRIM($K1520),"-","")," ",""),마스터시트!$A$2:$H$1946,6,FALSE),""))</f>
        <v/>
      </c>
      <c r="R1520" s="18" t="str">
        <f>IF($K1520="","",IFERROR(VLOOKUP(--SUBSTITUTE(SUBSTITUTE(TRIM($K1520),"-","")," ",""),마스터시트!$A$2:$H$1946,7,FALSE),""))</f>
        <v/>
      </c>
    </row>
    <row r="1521" spans="13:18" x14ac:dyDescent="0.3">
      <c r="M1521" s="18" t="str">
        <f>IF($K1521="","",IFERROR(VLOOKUP(--SUBSTITUTE(SUBSTITUTE(TRIM($K1521),"-","")," ",""),마스터시트!$A$2:$H$1946,2,FALSE),"미등록"))</f>
        <v/>
      </c>
      <c r="N1521" s="53" t="str">
        <f>IF($K1521="","",IFERROR(VLOOKUP(--SUBSTITUTE(SUBSTITUTE(TRIM($K1521),"-","")," ",""),마스터시트!$A$2:$H$1946,3,FALSE),"미등록"))</f>
        <v/>
      </c>
      <c r="O1521" s="18" t="str">
        <f>IF($K1521="","",IFERROR(VLOOKUP(--SUBSTITUTE(SUBSTITUTE(TRIM($K1521),"-","")," ",""),마스터시트!$A$2:$H$1946,4,FALSE),""))</f>
        <v/>
      </c>
      <c r="P1521" s="18" t="str">
        <f>IF($K1521="","",IFERROR(VLOOKUP(--SUBSTITUTE(SUBSTITUTE(TRIM($K1521),"-","")," ",""),마스터시트!$A$2:$H$1946,5,FALSE),""))</f>
        <v/>
      </c>
      <c r="Q1521" s="18" t="str">
        <f>IF($K1521="","",IFERROR(VLOOKUP(--SUBSTITUTE(SUBSTITUTE(TRIM($K1521),"-","")," ",""),마스터시트!$A$2:$H$1946,6,FALSE),""))</f>
        <v/>
      </c>
      <c r="R1521" s="18" t="str">
        <f>IF($K1521="","",IFERROR(VLOOKUP(--SUBSTITUTE(SUBSTITUTE(TRIM($K1521),"-","")," ",""),마스터시트!$A$2:$H$1946,7,FALSE),""))</f>
        <v/>
      </c>
    </row>
    <row r="1522" spans="13:18" x14ac:dyDescent="0.3">
      <c r="M1522" s="18" t="str">
        <f>IF($K1522="","",IFERROR(VLOOKUP(--SUBSTITUTE(SUBSTITUTE(TRIM($K1522),"-","")," ",""),마스터시트!$A$2:$H$1946,2,FALSE),"미등록"))</f>
        <v/>
      </c>
      <c r="N1522" s="53" t="str">
        <f>IF($K1522="","",IFERROR(VLOOKUP(--SUBSTITUTE(SUBSTITUTE(TRIM($K1522),"-","")," ",""),마스터시트!$A$2:$H$1946,3,FALSE),"미등록"))</f>
        <v/>
      </c>
      <c r="O1522" s="18" t="str">
        <f>IF($K1522="","",IFERROR(VLOOKUP(--SUBSTITUTE(SUBSTITUTE(TRIM($K1522),"-","")," ",""),마스터시트!$A$2:$H$1946,4,FALSE),""))</f>
        <v/>
      </c>
      <c r="P1522" s="18" t="str">
        <f>IF($K1522="","",IFERROR(VLOOKUP(--SUBSTITUTE(SUBSTITUTE(TRIM($K1522),"-","")," ",""),마스터시트!$A$2:$H$1946,5,FALSE),""))</f>
        <v/>
      </c>
      <c r="Q1522" s="18" t="str">
        <f>IF($K1522="","",IFERROR(VLOOKUP(--SUBSTITUTE(SUBSTITUTE(TRIM($K1522),"-","")," ",""),마스터시트!$A$2:$H$1946,6,FALSE),""))</f>
        <v/>
      </c>
      <c r="R1522" s="18" t="str">
        <f>IF($K1522="","",IFERROR(VLOOKUP(--SUBSTITUTE(SUBSTITUTE(TRIM($K1522),"-","")," ",""),마스터시트!$A$2:$H$1946,7,FALSE),""))</f>
        <v/>
      </c>
    </row>
    <row r="1523" spans="13:18" x14ac:dyDescent="0.3">
      <c r="M1523" s="18" t="str">
        <f>IF($K1523="","",IFERROR(VLOOKUP(--SUBSTITUTE(SUBSTITUTE(TRIM($K1523),"-","")," ",""),마스터시트!$A$2:$H$1946,2,FALSE),"미등록"))</f>
        <v/>
      </c>
      <c r="N1523" s="53" t="str">
        <f>IF($K1523="","",IFERROR(VLOOKUP(--SUBSTITUTE(SUBSTITUTE(TRIM($K1523),"-","")," ",""),마스터시트!$A$2:$H$1946,3,FALSE),"미등록"))</f>
        <v/>
      </c>
      <c r="O1523" s="18" t="str">
        <f>IF($K1523="","",IFERROR(VLOOKUP(--SUBSTITUTE(SUBSTITUTE(TRIM($K1523),"-","")," ",""),마스터시트!$A$2:$H$1946,4,FALSE),""))</f>
        <v/>
      </c>
      <c r="P1523" s="18" t="str">
        <f>IF($K1523="","",IFERROR(VLOOKUP(--SUBSTITUTE(SUBSTITUTE(TRIM($K1523),"-","")," ",""),마스터시트!$A$2:$H$1946,5,FALSE),""))</f>
        <v/>
      </c>
      <c r="Q1523" s="18" t="str">
        <f>IF($K1523="","",IFERROR(VLOOKUP(--SUBSTITUTE(SUBSTITUTE(TRIM($K1523),"-","")," ",""),마스터시트!$A$2:$H$1946,6,FALSE),""))</f>
        <v/>
      </c>
      <c r="R1523" s="18" t="str">
        <f>IF($K1523="","",IFERROR(VLOOKUP(--SUBSTITUTE(SUBSTITUTE(TRIM($K1523),"-","")," ",""),마스터시트!$A$2:$H$1946,7,FALSE),""))</f>
        <v/>
      </c>
    </row>
    <row r="1524" spans="13:18" x14ac:dyDescent="0.3">
      <c r="M1524" s="18" t="str">
        <f>IF($K1524="","",IFERROR(VLOOKUP(--SUBSTITUTE(SUBSTITUTE(TRIM($K1524),"-","")," ",""),마스터시트!$A$2:$H$1946,2,FALSE),"미등록"))</f>
        <v/>
      </c>
      <c r="N1524" s="53" t="str">
        <f>IF($K1524="","",IFERROR(VLOOKUP(--SUBSTITUTE(SUBSTITUTE(TRIM($K1524),"-","")," ",""),마스터시트!$A$2:$H$1946,3,FALSE),"미등록"))</f>
        <v/>
      </c>
      <c r="O1524" s="18" t="str">
        <f>IF($K1524="","",IFERROR(VLOOKUP(--SUBSTITUTE(SUBSTITUTE(TRIM($K1524),"-","")," ",""),마스터시트!$A$2:$H$1946,4,FALSE),""))</f>
        <v/>
      </c>
      <c r="P1524" s="18" t="str">
        <f>IF($K1524="","",IFERROR(VLOOKUP(--SUBSTITUTE(SUBSTITUTE(TRIM($K1524),"-","")," ",""),마스터시트!$A$2:$H$1946,5,FALSE),""))</f>
        <v/>
      </c>
      <c r="Q1524" s="18" t="str">
        <f>IF($K1524="","",IFERROR(VLOOKUP(--SUBSTITUTE(SUBSTITUTE(TRIM($K1524),"-","")," ",""),마스터시트!$A$2:$H$1946,6,FALSE),""))</f>
        <v/>
      </c>
      <c r="R1524" s="18" t="str">
        <f>IF($K1524="","",IFERROR(VLOOKUP(--SUBSTITUTE(SUBSTITUTE(TRIM($K1524),"-","")," ",""),마스터시트!$A$2:$H$1946,7,FALSE),""))</f>
        <v/>
      </c>
    </row>
    <row r="1525" spans="13:18" x14ac:dyDescent="0.3">
      <c r="M1525" s="18" t="str">
        <f>IF($K1525="","",IFERROR(VLOOKUP(--SUBSTITUTE(SUBSTITUTE(TRIM($K1525),"-","")," ",""),마스터시트!$A$2:$H$1946,2,FALSE),"미등록"))</f>
        <v/>
      </c>
      <c r="N1525" s="53" t="str">
        <f>IF($K1525="","",IFERROR(VLOOKUP(--SUBSTITUTE(SUBSTITUTE(TRIM($K1525),"-","")," ",""),마스터시트!$A$2:$H$1946,3,FALSE),"미등록"))</f>
        <v/>
      </c>
      <c r="O1525" s="18" t="str">
        <f>IF($K1525="","",IFERROR(VLOOKUP(--SUBSTITUTE(SUBSTITUTE(TRIM($K1525),"-","")," ",""),마스터시트!$A$2:$H$1946,4,FALSE),""))</f>
        <v/>
      </c>
      <c r="P1525" s="18" t="str">
        <f>IF($K1525="","",IFERROR(VLOOKUP(--SUBSTITUTE(SUBSTITUTE(TRIM($K1525),"-","")," ",""),마스터시트!$A$2:$H$1946,5,FALSE),""))</f>
        <v/>
      </c>
      <c r="Q1525" s="18" t="str">
        <f>IF($K1525="","",IFERROR(VLOOKUP(--SUBSTITUTE(SUBSTITUTE(TRIM($K1525),"-","")," ",""),마스터시트!$A$2:$H$1946,6,FALSE),""))</f>
        <v/>
      </c>
      <c r="R1525" s="18" t="str">
        <f>IF($K1525="","",IFERROR(VLOOKUP(--SUBSTITUTE(SUBSTITUTE(TRIM($K1525),"-","")," ",""),마스터시트!$A$2:$H$1946,7,FALSE),""))</f>
        <v/>
      </c>
    </row>
    <row r="1526" spans="13:18" x14ac:dyDescent="0.3">
      <c r="M1526" s="18" t="str">
        <f>IF($K1526="","",IFERROR(VLOOKUP(--SUBSTITUTE(SUBSTITUTE(TRIM($K1526),"-","")," ",""),마스터시트!$A$2:$H$1946,2,FALSE),"미등록"))</f>
        <v/>
      </c>
      <c r="N1526" s="53" t="str">
        <f>IF($K1526="","",IFERROR(VLOOKUP(--SUBSTITUTE(SUBSTITUTE(TRIM($K1526),"-","")," ",""),마스터시트!$A$2:$H$1946,3,FALSE),"미등록"))</f>
        <v/>
      </c>
      <c r="O1526" s="18" t="str">
        <f>IF($K1526="","",IFERROR(VLOOKUP(--SUBSTITUTE(SUBSTITUTE(TRIM($K1526),"-","")," ",""),마스터시트!$A$2:$H$1946,4,FALSE),""))</f>
        <v/>
      </c>
      <c r="P1526" s="18" t="str">
        <f>IF($K1526="","",IFERROR(VLOOKUP(--SUBSTITUTE(SUBSTITUTE(TRIM($K1526),"-","")," ",""),마스터시트!$A$2:$H$1946,5,FALSE),""))</f>
        <v/>
      </c>
      <c r="Q1526" s="18" t="str">
        <f>IF($K1526="","",IFERROR(VLOOKUP(--SUBSTITUTE(SUBSTITUTE(TRIM($K1526),"-","")," ",""),마스터시트!$A$2:$H$1946,6,FALSE),""))</f>
        <v/>
      </c>
      <c r="R1526" s="18" t="str">
        <f>IF($K1526="","",IFERROR(VLOOKUP(--SUBSTITUTE(SUBSTITUTE(TRIM($K1526),"-","")," ",""),마스터시트!$A$2:$H$1946,7,FALSE),""))</f>
        <v/>
      </c>
    </row>
    <row r="1527" spans="13:18" x14ac:dyDescent="0.3">
      <c r="M1527" s="18" t="str">
        <f>IF($K1527="","",IFERROR(VLOOKUP(--SUBSTITUTE(SUBSTITUTE(TRIM($K1527),"-","")," ",""),마스터시트!$A$2:$H$1946,2,FALSE),"미등록"))</f>
        <v/>
      </c>
      <c r="N1527" s="53" t="str">
        <f>IF($K1527="","",IFERROR(VLOOKUP(--SUBSTITUTE(SUBSTITUTE(TRIM($K1527),"-","")," ",""),마스터시트!$A$2:$H$1946,3,FALSE),"미등록"))</f>
        <v/>
      </c>
      <c r="O1527" s="18" t="str">
        <f>IF($K1527="","",IFERROR(VLOOKUP(--SUBSTITUTE(SUBSTITUTE(TRIM($K1527),"-","")," ",""),마스터시트!$A$2:$H$1946,4,FALSE),""))</f>
        <v/>
      </c>
      <c r="P1527" s="18" t="str">
        <f>IF($K1527="","",IFERROR(VLOOKUP(--SUBSTITUTE(SUBSTITUTE(TRIM($K1527),"-","")," ",""),마스터시트!$A$2:$H$1946,5,FALSE),""))</f>
        <v/>
      </c>
      <c r="Q1527" s="18" t="str">
        <f>IF($K1527="","",IFERROR(VLOOKUP(--SUBSTITUTE(SUBSTITUTE(TRIM($K1527),"-","")," ",""),마스터시트!$A$2:$H$1946,6,FALSE),""))</f>
        <v/>
      </c>
      <c r="R1527" s="18" t="str">
        <f>IF($K1527="","",IFERROR(VLOOKUP(--SUBSTITUTE(SUBSTITUTE(TRIM($K1527),"-","")," ",""),마스터시트!$A$2:$H$1946,7,FALSE),""))</f>
        <v/>
      </c>
    </row>
    <row r="1528" spans="13:18" x14ac:dyDescent="0.3">
      <c r="M1528" s="18" t="str">
        <f>IF($K1528="","",IFERROR(VLOOKUP(--SUBSTITUTE(SUBSTITUTE(TRIM($K1528),"-","")," ",""),마스터시트!$A$2:$H$1946,2,FALSE),"미등록"))</f>
        <v/>
      </c>
      <c r="N1528" s="53" t="str">
        <f>IF($K1528="","",IFERROR(VLOOKUP(--SUBSTITUTE(SUBSTITUTE(TRIM($K1528),"-","")," ",""),마스터시트!$A$2:$H$1946,3,FALSE),"미등록"))</f>
        <v/>
      </c>
      <c r="O1528" s="18" t="str">
        <f>IF($K1528="","",IFERROR(VLOOKUP(--SUBSTITUTE(SUBSTITUTE(TRIM($K1528),"-","")," ",""),마스터시트!$A$2:$H$1946,4,FALSE),""))</f>
        <v/>
      </c>
      <c r="P1528" s="18" t="str">
        <f>IF($K1528="","",IFERROR(VLOOKUP(--SUBSTITUTE(SUBSTITUTE(TRIM($K1528),"-","")," ",""),마스터시트!$A$2:$H$1946,5,FALSE),""))</f>
        <v/>
      </c>
      <c r="Q1528" s="18" t="str">
        <f>IF($K1528="","",IFERROR(VLOOKUP(--SUBSTITUTE(SUBSTITUTE(TRIM($K1528),"-","")," ",""),마스터시트!$A$2:$H$1946,6,FALSE),""))</f>
        <v/>
      </c>
      <c r="R1528" s="18" t="str">
        <f>IF($K1528="","",IFERROR(VLOOKUP(--SUBSTITUTE(SUBSTITUTE(TRIM($K1528),"-","")," ",""),마스터시트!$A$2:$H$1946,7,FALSE),""))</f>
        <v/>
      </c>
    </row>
    <row r="1529" spans="13:18" x14ac:dyDescent="0.3">
      <c r="M1529" s="18" t="str">
        <f>IF($K1529="","",IFERROR(VLOOKUP(--SUBSTITUTE(SUBSTITUTE(TRIM($K1529),"-","")," ",""),마스터시트!$A$2:$H$1946,2,FALSE),"미등록"))</f>
        <v/>
      </c>
      <c r="N1529" s="53" t="str">
        <f>IF($K1529="","",IFERROR(VLOOKUP(--SUBSTITUTE(SUBSTITUTE(TRIM($K1529),"-","")," ",""),마스터시트!$A$2:$H$1946,3,FALSE),"미등록"))</f>
        <v/>
      </c>
      <c r="O1529" s="18" t="str">
        <f>IF($K1529="","",IFERROR(VLOOKUP(--SUBSTITUTE(SUBSTITUTE(TRIM($K1529),"-","")," ",""),마스터시트!$A$2:$H$1946,4,FALSE),""))</f>
        <v/>
      </c>
      <c r="P1529" s="18" t="str">
        <f>IF($K1529="","",IFERROR(VLOOKUP(--SUBSTITUTE(SUBSTITUTE(TRIM($K1529),"-","")," ",""),마스터시트!$A$2:$H$1946,5,FALSE),""))</f>
        <v/>
      </c>
      <c r="Q1529" s="18" t="str">
        <f>IF($K1529="","",IFERROR(VLOOKUP(--SUBSTITUTE(SUBSTITUTE(TRIM($K1529),"-","")," ",""),마스터시트!$A$2:$H$1946,6,FALSE),""))</f>
        <v/>
      </c>
      <c r="R1529" s="18" t="str">
        <f>IF($K1529="","",IFERROR(VLOOKUP(--SUBSTITUTE(SUBSTITUTE(TRIM($K1529),"-","")," ",""),마스터시트!$A$2:$H$1946,7,FALSE),""))</f>
        <v/>
      </c>
    </row>
    <row r="1530" spans="13:18" x14ac:dyDescent="0.3">
      <c r="M1530" s="18" t="str">
        <f>IF($K1530="","",IFERROR(VLOOKUP(--SUBSTITUTE(SUBSTITUTE(TRIM($K1530),"-","")," ",""),마스터시트!$A$2:$H$1946,2,FALSE),"미등록"))</f>
        <v/>
      </c>
      <c r="N1530" s="53" t="str">
        <f>IF($K1530="","",IFERROR(VLOOKUP(--SUBSTITUTE(SUBSTITUTE(TRIM($K1530),"-","")," ",""),마스터시트!$A$2:$H$1946,3,FALSE),"미등록"))</f>
        <v/>
      </c>
      <c r="O1530" s="18" t="str">
        <f>IF($K1530="","",IFERROR(VLOOKUP(--SUBSTITUTE(SUBSTITUTE(TRIM($K1530),"-","")," ",""),마스터시트!$A$2:$H$1946,4,FALSE),""))</f>
        <v/>
      </c>
      <c r="P1530" s="18" t="str">
        <f>IF($K1530="","",IFERROR(VLOOKUP(--SUBSTITUTE(SUBSTITUTE(TRIM($K1530),"-","")," ",""),마스터시트!$A$2:$H$1946,5,FALSE),""))</f>
        <v/>
      </c>
      <c r="Q1530" s="18" t="str">
        <f>IF($K1530="","",IFERROR(VLOOKUP(--SUBSTITUTE(SUBSTITUTE(TRIM($K1530),"-","")," ",""),마스터시트!$A$2:$H$1946,6,FALSE),""))</f>
        <v/>
      </c>
      <c r="R1530" s="18" t="str">
        <f>IF($K1530="","",IFERROR(VLOOKUP(--SUBSTITUTE(SUBSTITUTE(TRIM($K1530),"-","")," ",""),마스터시트!$A$2:$H$1946,7,FALSE),""))</f>
        <v/>
      </c>
    </row>
    <row r="1531" spans="13:18" x14ac:dyDescent="0.3">
      <c r="M1531" s="18" t="str">
        <f>IF($K1531="","",IFERROR(VLOOKUP(--SUBSTITUTE(SUBSTITUTE(TRIM($K1531),"-","")," ",""),마스터시트!$A$2:$H$1946,2,FALSE),"미등록"))</f>
        <v/>
      </c>
      <c r="N1531" s="53" t="str">
        <f>IF($K1531="","",IFERROR(VLOOKUP(--SUBSTITUTE(SUBSTITUTE(TRIM($K1531),"-","")," ",""),마스터시트!$A$2:$H$1946,3,FALSE),"미등록"))</f>
        <v/>
      </c>
      <c r="O1531" s="18" t="str">
        <f>IF($K1531="","",IFERROR(VLOOKUP(--SUBSTITUTE(SUBSTITUTE(TRIM($K1531),"-","")," ",""),마스터시트!$A$2:$H$1946,4,FALSE),""))</f>
        <v/>
      </c>
      <c r="P1531" s="18" t="str">
        <f>IF($K1531="","",IFERROR(VLOOKUP(--SUBSTITUTE(SUBSTITUTE(TRIM($K1531),"-","")," ",""),마스터시트!$A$2:$H$1946,5,FALSE),""))</f>
        <v/>
      </c>
      <c r="Q1531" s="18" t="str">
        <f>IF($K1531="","",IFERROR(VLOOKUP(--SUBSTITUTE(SUBSTITUTE(TRIM($K1531),"-","")," ",""),마스터시트!$A$2:$H$1946,6,FALSE),""))</f>
        <v/>
      </c>
      <c r="R1531" s="18" t="str">
        <f>IF($K1531="","",IFERROR(VLOOKUP(--SUBSTITUTE(SUBSTITUTE(TRIM($K1531),"-","")," ",""),마스터시트!$A$2:$H$1946,7,FALSE),""))</f>
        <v/>
      </c>
    </row>
    <row r="1532" spans="13:18" x14ac:dyDescent="0.3">
      <c r="M1532" s="18" t="str">
        <f>IF($K1532="","",IFERROR(VLOOKUP(--SUBSTITUTE(SUBSTITUTE(TRIM($K1532),"-","")," ",""),마스터시트!$A$2:$H$1946,2,FALSE),"미등록"))</f>
        <v/>
      </c>
      <c r="N1532" s="53" t="str">
        <f>IF($K1532="","",IFERROR(VLOOKUP(--SUBSTITUTE(SUBSTITUTE(TRIM($K1532),"-","")," ",""),마스터시트!$A$2:$H$1946,3,FALSE),"미등록"))</f>
        <v/>
      </c>
      <c r="O1532" s="18" t="str">
        <f>IF($K1532="","",IFERROR(VLOOKUP(--SUBSTITUTE(SUBSTITUTE(TRIM($K1532),"-","")," ",""),마스터시트!$A$2:$H$1946,4,FALSE),""))</f>
        <v/>
      </c>
      <c r="P1532" s="18" t="str">
        <f>IF($K1532="","",IFERROR(VLOOKUP(--SUBSTITUTE(SUBSTITUTE(TRIM($K1532),"-","")," ",""),마스터시트!$A$2:$H$1946,5,FALSE),""))</f>
        <v/>
      </c>
      <c r="Q1532" s="18" t="str">
        <f>IF($K1532="","",IFERROR(VLOOKUP(--SUBSTITUTE(SUBSTITUTE(TRIM($K1532),"-","")," ",""),마스터시트!$A$2:$H$1946,6,FALSE),""))</f>
        <v/>
      </c>
      <c r="R1532" s="18" t="str">
        <f>IF($K1532="","",IFERROR(VLOOKUP(--SUBSTITUTE(SUBSTITUTE(TRIM($K1532),"-","")," ",""),마스터시트!$A$2:$H$1946,7,FALSE),""))</f>
        <v/>
      </c>
    </row>
    <row r="1533" spans="13:18" x14ac:dyDescent="0.3">
      <c r="M1533" s="18" t="str">
        <f>IF($K1533="","",IFERROR(VLOOKUP(--SUBSTITUTE(SUBSTITUTE(TRIM($K1533),"-","")," ",""),마스터시트!$A$2:$H$1946,2,FALSE),"미등록"))</f>
        <v/>
      </c>
      <c r="N1533" s="53" t="str">
        <f>IF($K1533="","",IFERROR(VLOOKUP(--SUBSTITUTE(SUBSTITUTE(TRIM($K1533),"-","")," ",""),마스터시트!$A$2:$H$1946,3,FALSE),"미등록"))</f>
        <v/>
      </c>
      <c r="O1533" s="18" t="str">
        <f>IF($K1533="","",IFERROR(VLOOKUP(--SUBSTITUTE(SUBSTITUTE(TRIM($K1533),"-","")," ",""),마스터시트!$A$2:$H$1946,4,FALSE),""))</f>
        <v/>
      </c>
      <c r="P1533" s="18" t="str">
        <f>IF($K1533="","",IFERROR(VLOOKUP(--SUBSTITUTE(SUBSTITUTE(TRIM($K1533),"-","")," ",""),마스터시트!$A$2:$H$1946,5,FALSE),""))</f>
        <v/>
      </c>
      <c r="Q1533" s="18" t="str">
        <f>IF($K1533="","",IFERROR(VLOOKUP(--SUBSTITUTE(SUBSTITUTE(TRIM($K1533),"-","")," ",""),마스터시트!$A$2:$H$1946,6,FALSE),""))</f>
        <v/>
      </c>
      <c r="R1533" s="18" t="str">
        <f>IF($K1533="","",IFERROR(VLOOKUP(--SUBSTITUTE(SUBSTITUTE(TRIM($K1533),"-","")," ",""),마스터시트!$A$2:$H$1946,7,FALSE),""))</f>
        <v/>
      </c>
    </row>
    <row r="1534" spans="13:18" x14ac:dyDescent="0.3">
      <c r="M1534" s="18" t="str">
        <f>IF($K1534="","",IFERROR(VLOOKUP(--SUBSTITUTE(SUBSTITUTE(TRIM($K1534),"-","")," ",""),마스터시트!$A$2:$H$1946,2,FALSE),"미등록"))</f>
        <v/>
      </c>
      <c r="N1534" s="53" t="str">
        <f>IF($K1534="","",IFERROR(VLOOKUP(--SUBSTITUTE(SUBSTITUTE(TRIM($K1534),"-","")," ",""),마스터시트!$A$2:$H$1946,3,FALSE),"미등록"))</f>
        <v/>
      </c>
      <c r="O1534" s="18" t="str">
        <f>IF($K1534="","",IFERROR(VLOOKUP(--SUBSTITUTE(SUBSTITUTE(TRIM($K1534),"-","")," ",""),마스터시트!$A$2:$H$1946,4,FALSE),""))</f>
        <v/>
      </c>
      <c r="P1534" s="18" t="str">
        <f>IF($K1534="","",IFERROR(VLOOKUP(--SUBSTITUTE(SUBSTITUTE(TRIM($K1534),"-","")," ",""),마스터시트!$A$2:$H$1946,5,FALSE),""))</f>
        <v/>
      </c>
      <c r="Q1534" s="18" t="str">
        <f>IF($K1534="","",IFERROR(VLOOKUP(--SUBSTITUTE(SUBSTITUTE(TRIM($K1534),"-","")," ",""),마스터시트!$A$2:$H$1946,6,FALSE),""))</f>
        <v/>
      </c>
      <c r="R1534" s="18" t="str">
        <f>IF($K1534="","",IFERROR(VLOOKUP(--SUBSTITUTE(SUBSTITUTE(TRIM($K1534),"-","")," ",""),마스터시트!$A$2:$H$1946,7,FALSE),""))</f>
        <v/>
      </c>
    </row>
    <row r="1535" spans="13:18" x14ac:dyDescent="0.3">
      <c r="M1535" s="18" t="str">
        <f>IF($K1535="","",IFERROR(VLOOKUP(--SUBSTITUTE(SUBSTITUTE(TRIM($K1535),"-","")," ",""),마스터시트!$A$2:$H$1946,2,FALSE),"미등록"))</f>
        <v/>
      </c>
      <c r="N1535" s="53" t="str">
        <f>IF($K1535="","",IFERROR(VLOOKUP(--SUBSTITUTE(SUBSTITUTE(TRIM($K1535),"-","")," ",""),마스터시트!$A$2:$H$1946,3,FALSE),"미등록"))</f>
        <v/>
      </c>
      <c r="O1535" s="18" t="str">
        <f>IF($K1535="","",IFERROR(VLOOKUP(--SUBSTITUTE(SUBSTITUTE(TRIM($K1535),"-","")," ",""),마스터시트!$A$2:$H$1946,4,FALSE),""))</f>
        <v/>
      </c>
      <c r="P1535" s="18" t="str">
        <f>IF($K1535="","",IFERROR(VLOOKUP(--SUBSTITUTE(SUBSTITUTE(TRIM($K1535),"-","")," ",""),마스터시트!$A$2:$H$1946,5,FALSE),""))</f>
        <v/>
      </c>
      <c r="Q1535" s="18" t="str">
        <f>IF($K1535="","",IFERROR(VLOOKUP(--SUBSTITUTE(SUBSTITUTE(TRIM($K1535),"-","")," ",""),마스터시트!$A$2:$H$1946,6,FALSE),""))</f>
        <v/>
      </c>
      <c r="R1535" s="18" t="str">
        <f>IF($K1535="","",IFERROR(VLOOKUP(--SUBSTITUTE(SUBSTITUTE(TRIM($K1535),"-","")," ",""),마스터시트!$A$2:$H$1946,7,FALSE),""))</f>
        <v/>
      </c>
    </row>
    <row r="1536" spans="13:18" x14ac:dyDescent="0.3">
      <c r="M1536" s="18" t="str">
        <f>IF($K1536="","",IFERROR(VLOOKUP(--SUBSTITUTE(SUBSTITUTE(TRIM($K1536),"-","")," ",""),마스터시트!$A$2:$H$1946,2,FALSE),"미등록"))</f>
        <v/>
      </c>
      <c r="N1536" s="53" t="str">
        <f>IF($K1536="","",IFERROR(VLOOKUP(--SUBSTITUTE(SUBSTITUTE(TRIM($K1536),"-","")," ",""),마스터시트!$A$2:$H$1946,3,FALSE),"미등록"))</f>
        <v/>
      </c>
      <c r="O1536" s="18" t="str">
        <f>IF($K1536="","",IFERROR(VLOOKUP(--SUBSTITUTE(SUBSTITUTE(TRIM($K1536),"-","")," ",""),마스터시트!$A$2:$H$1946,4,FALSE),""))</f>
        <v/>
      </c>
      <c r="P1536" s="18" t="str">
        <f>IF($K1536="","",IFERROR(VLOOKUP(--SUBSTITUTE(SUBSTITUTE(TRIM($K1536),"-","")," ",""),마스터시트!$A$2:$H$1946,5,FALSE),""))</f>
        <v/>
      </c>
      <c r="Q1536" s="18" t="str">
        <f>IF($K1536="","",IFERROR(VLOOKUP(--SUBSTITUTE(SUBSTITUTE(TRIM($K1536),"-","")," ",""),마스터시트!$A$2:$H$1946,6,FALSE),""))</f>
        <v/>
      </c>
      <c r="R1536" s="18" t="str">
        <f>IF($K1536="","",IFERROR(VLOOKUP(--SUBSTITUTE(SUBSTITUTE(TRIM($K1536),"-","")," ",""),마스터시트!$A$2:$H$1946,7,FALSE),""))</f>
        <v/>
      </c>
    </row>
    <row r="1537" spans="13:18" x14ac:dyDescent="0.3">
      <c r="M1537" s="18" t="str">
        <f>IF($K1537="","",IFERROR(VLOOKUP(--SUBSTITUTE(SUBSTITUTE(TRIM($K1537),"-","")," ",""),마스터시트!$A$2:$H$1946,2,FALSE),"미등록"))</f>
        <v/>
      </c>
      <c r="N1537" s="53" t="str">
        <f>IF($K1537="","",IFERROR(VLOOKUP(--SUBSTITUTE(SUBSTITUTE(TRIM($K1537),"-","")," ",""),마스터시트!$A$2:$H$1946,3,FALSE),"미등록"))</f>
        <v/>
      </c>
      <c r="O1537" s="18" t="str">
        <f>IF($K1537="","",IFERROR(VLOOKUP(--SUBSTITUTE(SUBSTITUTE(TRIM($K1537),"-","")," ",""),마스터시트!$A$2:$H$1946,4,FALSE),""))</f>
        <v/>
      </c>
      <c r="P1537" s="18" t="str">
        <f>IF($K1537="","",IFERROR(VLOOKUP(--SUBSTITUTE(SUBSTITUTE(TRIM($K1537),"-","")," ",""),마스터시트!$A$2:$H$1946,5,FALSE),""))</f>
        <v/>
      </c>
      <c r="Q1537" s="18" t="str">
        <f>IF($K1537="","",IFERROR(VLOOKUP(--SUBSTITUTE(SUBSTITUTE(TRIM($K1537),"-","")," ",""),마스터시트!$A$2:$H$1946,6,FALSE),""))</f>
        <v/>
      </c>
      <c r="R1537" s="18" t="str">
        <f>IF($K1537="","",IFERROR(VLOOKUP(--SUBSTITUTE(SUBSTITUTE(TRIM($K1537),"-","")," ",""),마스터시트!$A$2:$H$1946,7,FALSE),""))</f>
        <v/>
      </c>
    </row>
    <row r="1538" spans="13:18" x14ac:dyDescent="0.3">
      <c r="M1538" s="18" t="str">
        <f>IF($K1538="","",IFERROR(VLOOKUP(--SUBSTITUTE(SUBSTITUTE(TRIM($K1538),"-","")," ",""),마스터시트!$A$2:$H$1946,2,FALSE),"미등록"))</f>
        <v/>
      </c>
      <c r="N1538" s="53" t="str">
        <f>IF($K1538="","",IFERROR(VLOOKUP(--SUBSTITUTE(SUBSTITUTE(TRIM($K1538),"-","")," ",""),마스터시트!$A$2:$H$1946,3,FALSE),"미등록"))</f>
        <v/>
      </c>
      <c r="O1538" s="18" t="str">
        <f>IF($K1538="","",IFERROR(VLOOKUP(--SUBSTITUTE(SUBSTITUTE(TRIM($K1538),"-","")," ",""),마스터시트!$A$2:$H$1946,4,FALSE),""))</f>
        <v/>
      </c>
      <c r="P1538" s="18" t="str">
        <f>IF($K1538="","",IFERROR(VLOOKUP(--SUBSTITUTE(SUBSTITUTE(TRIM($K1538),"-","")," ",""),마스터시트!$A$2:$H$1946,5,FALSE),""))</f>
        <v/>
      </c>
      <c r="Q1538" s="18" t="str">
        <f>IF($K1538="","",IFERROR(VLOOKUP(--SUBSTITUTE(SUBSTITUTE(TRIM($K1538),"-","")," ",""),마스터시트!$A$2:$H$1946,6,FALSE),""))</f>
        <v/>
      </c>
      <c r="R1538" s="18" t="str">
        <f>IF($K1538="","",IFERROR(VLOOKUP(--SUBSTITUTE(SUBSTITUTE(TRIM($K1538),"-","")," ",""),마스터시트!$A$2:$H$1946,7,FALSE),""))</f>
        <v/>
      </c>
    </row>
    <row r="1539" spans="13:18" x14ac:dyDescent="0.3">
      <c r="M1539" s="18" t="str">
        <f>IF($K1539="","",IFERROR(VLOOKUP(--SUBSTITUTE(SUBSTITUTE(TRIM($K1539),"-","")," ",""),마스터시트!$A$2:$H$1946,2,FALSE),"미등록"))</f>
        <v/>
      </c>
      <c r="N1539" s="53" t="str">
        <f>IF($K1539="","",IFERROR(VLOOKUP(--SUBSTITUTE(SUBSTITUTE(TRIM($K1539),"-","")," ",""),마스터시트!$A$2:$H$1946,3,FALSE),"미등록"))</f>
        <v/>
      </c>
      <c r="O1539" s="18" t="str">
        <f>IF($K1539="","",IFERROR(VLOOKUP(--SUBSTITUTE(SUBSTITUTE(TRIM($K1539),"-","")," ",""),마스터시트!$A$2:$H$1946,4,FALSE),""))</f>
        <v/>
      </c>
      <c r="P1539" s="18" t="str">
        <f>IF($K1539="","",IFERROR(VLOOKUP(--SUBSTITUTE(SUBSTITUTE(TRIM($K1539),"-","")," ",""),마스터시트!$A$2:$H$1946,5,FALSE),""))</f>
        <v/>
      </c>
      <c r="Q1539" s="18" t="str">
        <f>IF($K1539="","",IFERROR(VLOOKUP(--SUBSTITUTE(SUBSTITUTE(TRIM($K1539),"-","")," ",""),마스터시트!$A$2:$H$1946,6,FALSE),""))</f>
        <v/>
      </c>
      <c r="R1539" s="18" t="str">
        <f>IF($K1539="","",IFERROR(VLOOKUP(--SUBSTITUTE(SUBSTITUTE(TRIM($K1539),"-","")," ",""),마스터시트!$A$2:$H$1946,7,FALSE),""))</f>
        <v/>
      </c>
    </row>
    <row r="1540" spans="13:18" x14ac:dyDescent="0.3">
      <c r="M1540" s="18" t="str">
        <f>IF($K1540="","",IFERROR(VLOOKUP(--SUBSTITUTE(SUBSTITUTE(TRIM($K1540),"-","")," ",""),마스터시트!$A$2:$H$1946,2,FALSE),"미등록"))</f>
        <v/>
      </c>
      <c r="N1540" s="53" t="str">
        <f>IF($K1540="","",IFERROR(VLOOKUP(--SUBSTITUTE(SUBSTITUTE(TRIM($K1540),"-","")," ",""),마스터시트!$A$2:$H$1946,3,FALSE),"미등록"))</f>
        <v/>
      </c>
      <c r="O1540" s="18" t="str">
        <f>IF($K1540="","",IFERROR(VLOOKUP(--SUBSTITUTE(SUBSTITUTE(TRIM($K1540),"-","")," ",""),마스터시트!$A$2:$H$1946,4,FALSE),""))</f>
        <v/>
      </c>
      <c r="P1540" s="18" t="str">
        <f>IF($K1540="","",IFERROR(VLOOKUP(--SUBSTITUTE(SUBSTITUTE(TRIM($K1540),"-","")," ",""),마스터시트!$A$2:$H$1946,5,FALSE),""))</f>
        <v/>
      </c>
      <c r="Q1540" s="18" t="str">
        <f>IF($K1540="","",IFERROR(VLOOKUP(--SUBSTITUTE(SUBSTITUTE(TRIM($K1540),"-","")," ",""),마스터시트!$A$2:$H$1946,6,FALSE),""))</f>
        <v/>
      </c>
      <c r="R1540" s="18" t="str">
        <f>IF($K1540="","",IFERROR(VLOOKUP(--SUBSTITUTE(SUBSTITUTE(TRIM($K1540),"-","")," ",""),마스터시트!$A$2:$H$1946,7,FALSE),""))</f>
        <v/>
      </c>
    </row>
    <row r="1541" spans="13:18" x14ac:dyDescent="0.3">
      <c r="M1541" s="18" t="str">
        <f>IF($K1541="","",IFERROR(VLOOKUP(--SUBSTITUTE(SUBSTITUTE(TRIM($K1541),"-","")," ",""),마스터시트!$A$2:$H$1946,2,FALSE),"미등록"))</f>
        <v/>
      </c>
      <c r="N1541" s="53" t="str">
        <f>IF($K1541="","",IFERROR(VLOOKUP(--SUBSTITUTE(SUBSTITUTE(TRIM($K1541),"-","")," ",""),마스터시트!$A$2:$H$1946,3,FALSE),"미등록"))</f>
        <v/>
      </c>
      <c r="O1541" s="18" t="str">
        <f>IF($K1541="","",IFERROR(VLOOKUP(--SUBSTITUTE(SUBSTITUTE(TRIM($K1541),"-","")," ",""),마스터시트!$A$2:$H$1946,4,FALSE),""))</f>
        <v/>
      </c>
      <c r="P1541" s="18" t="str">
        <f>IF($K1541="","",IFERROR(VLOOKUP(--SUBSTITUTE(SUBSTITUTE(TRIM($K1541),"-","")," ",""),마스터시트!$A$2:$H$1946,5,FALSE),""))</f>
        <v/>
      </c>
      <c r="Q1541" s="18" t="str">
        <f>IF($K1541="","",IFERROR(VLOOKUP(--SUBSTITUTE(SUBSTITUTE(TRIM($K1541),"-","")," ",""),마스터시트!$A$2:$H$1946,6,FALSE),""))</f>
        <v/>
      </c>
      <c r="R1541" s="18" t="str">
        <f>IF($K1541="","",IFERROR(VLOOKUP(--SUBSTITUTE(SUBSTITUTE(TRIM($K1541),"-","")," ",""),마스터시트!$A$2:$H$1946,7,FALSE),""))</f>
        <v/>
      </c>
    </row>
    <row r="1542" spans="13:18" x14ac:dyDescent="0.3">
      <c r="M1542" s="18" t="str">
        <f>IF($K1542="","",IFERROR(VLOOKUP(--SUBSTITUTE(SUBSTITUTE(TRIM($K1542),"-","")," ",""),마스터시트!$A$2:$H$1946,2,FALSE),"미등록"))</f>
        <v/>
      </c>
      <c r="N1542" s="53" t="str">
        <f>IF($K1542="","",IFERROR(VLOOKUP(--SUBSTITUTE(SUBSTITUTE(TRIM($K1542),"-","")," ",""),마스터시트!$A$2:$H$1946,3,FALSE),"미등록"))</f>
        <v/>
      </c>
      <c r="O1542" s="18" t="str">
        <f>IF($K1542="","",IFERROR(VLOOKUP(--SUBSTITUTE(SUBSTITUTE(TRIM($K1542),"-","")," ",""),마스터시트!$A$2:$H$1946,4,FALSE),""))</f>
        <v/>
      </c>
      <c r="P1542" s="18" t="str">
        <f>IF($K1542="","",IFERROR(VLOOKUP(--SUBSTITUTE(SUBSTITUTE(TRIM($K1542),"-","")," ",""),마스터시트!$A$2:$H$1946,5,FALSE),""))</f>
        <v/>
      </c>
      <c r="Q1542" s="18" t="str">
        <f>IF($K1542="","",IFERROR(VLOOKUP(--SUBSTITUTE(SUBSTITUTE(TRIM($K1542),"-","")," ",""),마스터시트!$A$2:$H$1946,6,FALSE),""))</f>
        <v/>
      </c>
      <c r="R1542" s="18" t="str">
        <f>IF($K1542="","",IFERROR(VLOOKUP(--SUBSTITUTE(SUBSTITUTE(TRIM($K1542),"-","")," ",""),마스터시트!$A$2:$H$1946,7,FALSE),""))</f>
        <v/>
      </c>
    </row>
    <row r="1543" spans="13:18" x14ac:dyDescent="0.3">
      <c r="M1543" s="18" t="str">
        <f>IF($K1543="","",IFERROR(VLOOKUP(--SUBSTITUTE(SUBSTITUTE(TRIM($K1543),"-","")," ",""),마스터시트!$A$2:$H$1946,2,FALSE),"미등록"))</f>
        <v/>
      </c>
      <c r="N1543" s="53" t="str">
        <f>IF($K1543="","",IFERROR(VLOOKUP(--SUBSTITUTE(SUBSTITUTE(TRIM($K1543),"-","")," ",""),마스터시트!$A$2:$H$1946,3,FALSE),"미등록"))</f>
        <v/>
      </c>
      <c r="O1543" s="18" t="str">
        <f>IF($K1543="","",IFERROR(VLOOKUP(--SUBSTITUTE(SUBSTITUTE(TRIM($K1543),"-","")," ",""),마스터시트!$A$2:$H$1946,4,FALSE),""))</f>
        <v/>
      </c>
      <c r="P1543" s="18" t="str">
        <f>IF($K1543="","",IFERROR(VLOOKUP(--SUBSTITUTE(SUBSTITUTE(TRIM($K1543),"-","")," ",""),마스터시트!$A$2:$H$1946,5,FALSE),""))</f>
        <v/>
      </c>
      <c r="Q1543" s="18" t="str">
        <f>IF($K1543="","",IFERROR(VLOOKUP(--SUBSTITUTE(SUBSTITUTE(TRIM($K1543),"-","")," ",""),마스터시트!$A$2:$H$1946,6,FALSE),""))</f>
        <v/>
      </c>
      <c r="R1543" s="18" t="str">
        <f>IF($K1543="","",IFERROR(VLOOKUP(--SUBSTITUTE(SUBSTITUTE(TRIM($K1543),"-","")," ",""),마스터시트!$A$2:$H$1946,7,FALSE),""))</f>
        <v/>
      </c>
    </row>
    <row r="1544" spans="13:18" x14ac:dyDescent="0.3">
      <c r="M1544" s="18" t="str">
        <f>IF($K1544="","",IFERROR(VLOOKUP(--SUBSTITUTE(SUBSTITUTE(TRIM($K1544),"-","")," ",""),마스터시트!$A$2:$H$1946,2,FALSE),"미등록"))</f>
        <v/>
      </c>
      <c r="N1544" s="53" t="str">
        <f>IF($K1544="","",IFERROR(VLOOKUP(--SUBSTITUTE(SUBSTITUTE(TRIM($K1544),"-","")," ",""),마스터시트!$A$2:$H$1946,3,FALSE),"미등록"))</f>
        <v/>
      </c>
      <c r="O1544" s="18" t="str">
        <f>IF($K1544="","",IFERROR(VLOOKUP(--SUBSTITUTE(SUBSTITUTE(TRIM($K1544),"-","")," ",""),마스터시트!$A$2:$H$1946,4,FALSE),""))</f>
        <v/>
      </c>
      <c r="P1544" s="18" t="str">
        <f>IF($K1544="","",IFERROR(VLOOKUP(--SUBSTITUTE(SUBSTITUTE(TRIM($K1544),"-","")," ",""),마스터시트!$A$2:$H$1946,5,FALSE),""))</f>
        <v/>
      </c>
      <c r="Q1544" s="18" t="str">
        <f>IF($K1544="","",IFERROR(VLOOKUP(--SUBSTITUTE(SUBSTITUTE(TRIM($K1544),"-","")," ",""),마스터시트!$A$2:$H$1946,6,FALSE),""))</f>
        <v/>
      </c>
      <c r="R1544" s="18" t="str">
        <f>IF($K1544="","",IFERROR(VLOOKUP(--SUBSTITUTE(SUBSTITUTE(TRIM($K1544),"-","")," ",""),마스터시트!$A$2:$H$1946,7,FALSE),""))</f>
        <v/>
      </c>
    </row>
    <row r="1545" spans="13:18" x14ac:dyDescent="0.3">
      <c r="M1545" s="18" t="str">
        <f>IF($K1545="","",IFERROR(VLOOKUP(--SUBSTITUTE(SUBSTITUTE(TRIM($K1545),"-","")," ",""),마스터시트!$A$2:$H$1946,2,FALSE),"미등록"))</f>
        <v/>
      </c>
      <c r="N1545" s="53" t="str">
        <f>IF($K1545="","",IFERROR(VLOOKUP(--SUBSTITUTE(SUBSTITUTE(TRIM($K1545),"-","")," ",""),마스터시트!$A$2:$H$1946,3,FALSE),"미등록"))</f>
        <v/>
      </c>
      <c r="O1545" s="18" t="str">
        <f>IF($K1545="","",IFERROR(VLOOKUP(--SUBSTITUTE(SUBSTITUTE(TRIM($K1545),"-","")," ",""),마스터시트!$A$2:$H$1946,4,FALSE),""))</f>
        <v/>
      </c>
      <c r="P1545" s="18" t="str">
        <f>IF($K1545="","",IFERROR(VLOOKUP(--SUBSTITUTE(SUBSTITUTE(TRIM($K1545),"-","")," ",""),마스터시트!$A$2:$H$1946,5,FALSE),""))</f>
        <v/>
      </c>
      <c r="Q1545" s="18" t="str">
        <f>IF($K1545="","",IFERROR(VLOOKUP(--SUBSTITUTE(SUBSTITUTE(TRIM($K1545),"-","")," ",""),마스터시트!$A$2:$H$1946,6,FALSE),""))</f>
        <v/>
      </c>
      <c r="R1545" s="18" t="str">
        <f>IF($K1545="","",IFERROR(VLOOKUP(--SUBSTITUTE(SUBSTITUTE(TRIM($K1545),"-","")," ",""),마스터시트!$A$2:$H$1946,7,FALSE),""))</f>
        <v/>
      </c>
    </row>
    <row r="1546" spans="13:18" x14ac:dyDescent="0.3">
      <c r="M1546" s="18" t="str">
        <f>IF($K1546="","",IFERROR(VLOOKUP(--SUBSTITUTE(SUBSTITUTE(TRIM($K1546),"-","")," ",""),마스터시트!$A$2:$H$1946,2,FALSE),"미등록"))</f>
        <v/>
      </c>
      <c r="N1546" s="53" t="str">
        <f>IF($K1546="","",IFERROR(VLOOKUP(--SUBSTITUTE(SUBSTITUTE(TRIM($K1546),"-","")," ",""),마스터시트!$A$2:$H$1946,3,FALSE),"미등록"))</f>
        <v/>
      </c>
      <c r="O1546" s="18" t="str">
        <f>IF($K1546="","",IFERROR(VLOOKUP(--SUBSTITUTE(SUBSTITUTE(TRIM($K1546),"-","")," ",""),마스터시트!$A$2:$H$1946,4,FALSE),""))</f>
        <v/>
      </c>
      <c r="P1546" s="18" t="str">
        <f>IF($K1546="","",IFERROR(VLOOKUP(--SUBSTITUTE(SUBSTITUTE(TRIM($K1546),"-","")," ",""),마스터시트!$A$2:$H$1946,5,FALSE),""))</f>
        <v/>
      </c>
      <c r="Q1546" s="18" t="str">
        <f>IF($K1546="","",IFERROR(VLOOKUP(--SUBSTITUTE(SUBSTITUTE(TRIM($K1546),"-","")," ",""),마스터시트!$A$2:$H$1946,6,FALSE),""))</f>
        <v/>
      </c>
      <c r="R1546" s="18" t="str">
        <f>IF($K1546="","",IFERROR(VLOOKUP(--SUBSTITUTE(SUBSTITUTE(TRIM($K1546),"-","")," ",""),마스터시트!$A$2:$H$1946,7,FALSE),""))</f>
        <v/>
      </c>
    </row>
    <row r="1547" spans="13:18" x14ac:dyDescent="0.3">
      <c r="M1547" s="18" t="str">
        <f>IF($K1547="","",IFERROR(VLOOKUP(--SUBSTITUTE(SUBSTITUTE(TRIM($K1547),"-","")," ",""),마스터시트!$A$2:$H$1946,2,FALSE),"미등록"))</f>
        <v/>
      </c>
      <c r="N1547" s="53" t="str">
        <f>IF($K1547="","",IFERROR(VLOOKUP(--SUBSTITUTE(SUBSTITUTE(TRIM($K1547),"-","")," ",""),마스터시트!$A$2:$H$1946,3,FALSE),"미등록"))</f>
        <v/>
      </c>
      <c r="O1547" s="18" t="str">
        <f>IF($K1547="","",IFERROR(VLOOKUP(--SUBSTITUTE(SUBSTITUTE(TRIM($K1547),"-","")," ",""),마스터시트!$A$2:$H$1946,4,FALSE),""))</f>
        <v/>
      </c>
      <c r="P1547" s="18" t="str">
        <f>IF($K1547="","",IFERROR(VLOOKUP(--SUBSTITUTE(SUBSTITUTE(TRIM($K1547),"-","")," ",""),마스터시트!$A$2:$H$1946,5,FALSE),""))</f>
        <v/>
      </c>
      <c r="Q1547" s="18" t="str">
        <f>IF($K1547="","",IFERROR(VLOOKUP(--SUBSTITUTE(SUBSTITUTE(TRIM($K1547),"-","")," ",""),마스터시트!$A$2:$H$1946,6,FALSE),""))</f>
        <v/>
      </c>
      <c r="R1547" s="18" t="str">
        <f>IF($K1547="","",IFERROR(VLOOKUP(--SUBSTITUTE(SUBSTITUTE(TRIM($K1547),"-","")," ",""),마스터시트!$A$2:$H$1946,7,FALSE),""))</f>
        <v/>
      </c>
    </row>
    <row r="1548" spans="13:18" x14ac:dyDescent="0.3">
      <c r="M1548" s="18" t="str">
        <f>IF($K1548="","",IFERROR(VLOOKUP(--SUBSTITUTE(SUBSTITUTE(TRIM($K1548),"-","")," ",""),마스터시트!$A$2:$H$1946,2,FALSE),"미등록"))</f>
        <v/>
      </c>
      <c r="N1548" s="53" t="str">
        <f>IF($K1548="","",IFERROR(VLOOKUP(--SUBSTITUTE(SUBSTITUTE(TRIM($K1548),"-","")," ",""),마스터시트!$A$2:$H$1946,3,FALSE),"미등록"))</f>
        <v/>
      </c>
      <c r="O1548" s="18" t="str">
        <f>IF($K1548="","",IFERROR(VLOOKUP(--SUBSTITUTE(SUBSTITUTE(TRIM($K1548),"-","")," ",""),마스터시트!$A$2:$H$1946,4,FALSE),""))</f>
        <v/>
      </c>
      <c r="P1548" s="18" t="str">
        <f>IF($K1548="","",IFERROR(VLOOKUP(--SUBSTITUTE(SUBSTITUTE(TRIM($K1548),"-","")," ",""),마스터시트!$A$2:$H$1946,5,FALSE),""))</f>
        <v/>
      </c>
      <c r="Q1548" s="18" t="str">
        <f>IF($K1548="","",IFERROR(VLOOKUP(--SUBSTITUTE(SUBSTITUTE(TRIM($K1548),"-","")," ",""),마스터시트!$A$2:$H$1946,6,FALSE),""))</f>
        <v/>
      </c>
      <c r="R1548" s="18" t="str">
        <f>IF($K1548="","",IFERROR(VLOOKUP(--SUBSTITUTE(SUBSTITUTE(TRIM($K1548),"-","")," ",""),마스터시트!$A$2:$H$1946,7,FALSE),""))</f>
        <v/>
      </c>
    </row>
    <row r="1549" spans="13:18" x14ac:dyDescent="0.3">
      <c r="M1549" s="18" t="str">
        <f>IF($K1549="","",IFERROR(VLOOKUP(--SUBSTITUTE(SUBSTITUTE(TRIM($K1549),"-","")," ",""),마스터시트!$A$2:$H$1946,2,FALSE),"미등록"))</f>
        <v/>
      </c>
      <c r="N1549" s="53" t="str">
        <f>IF($K1549="","",IFERROR(VLOOKUP(--SUBSTITUTE(SUBSTITUTE(TRIM($K1549),"-","")," ",""),마스터시트!$A$2:$H$1946,3,FALSE),"미등록"))</f>
        <v/>
      </c>
      <c r="O1549" s="18" t="str">
        <f>IF($K1549="","",IFERROR(VLOOKUP(--SUBSTITUTE(SUBSTITUTE(TRIM($K1549),"-","")," ",""),마스터시트!$A$2:$H$1946,4,FALSE),""))</f>
        <v/>
      </c>
      <c r="P1549" s="18" t="str">
        <f>IF($K1549="","",IFERROR(VLOOKUP(--SUBSTITUTE(SUBSTITUTE(TRIM($K1549),"-","")," ",""),마스터시트!$A$2:$H$1946,5,FALSE),""))</f>
        <v/>
      </c>
      <c r="Q1549" s="18" t="str">
        <f>IF($K1549="","",IFERROR(VLOOKUP(--SUBSTITUTE(SUBSTITUTE(TRIM($K1549),"-","")," ",""),마스터시트!$A$2:$H$1946,6,FALSE),""))</f>
        <v/>
      </c>
      <c r="R1549" s="18" t="str">
        <f>IF($K1549="","",IFERROR(VLOOKUP(--SUBSTITUTE(SUBSTITUTE(TRIM($K1549),"-","")," ",""),마스터시트!$A$2:$H$1946,7,FALSE),""))</f>
        <v/>
      </c>
    </row>
    <row r="1550" spans="13:18" x14ac:dyDescent="0.3">
      <c r="M1550" s="18" t="str">
        <f>IF($K1550="","",IFERROR(VLOOKUP(--SUBSTITUTE(SUBSTITUTE(TRIM($K1550),"-","")," ",""),마스터시트!$A$2:$H$1946,2,FALSE),"미등록"))</f>
        <v/>
      </c>
      <c r="N1550" s="53" t="str">
        <f>IF($K1550="","",IFERROR(VLOOKUP(--SUBSTITUTE(SUBSTITUTE(TRIM($K1550),"-","")," ",""),마스터시트!$A$2:$H$1946,3,FALSE),"미등록"))</f>
        <v/>
      </c>
      <c r="O1550" s="18" t="str">
        <f>IF($K1550="","",IFERROR(VLOOKUP(--SUBSTITUTE(SUBSTITUTE(TRIM($K1550),"-","")," ",""),마스터시트!$A$2:$H$1946,4,FALSE),""))</f>
        <v/>
      </c>
      <c r="P1550" s="18" t="str">
        <f>IF($K1550="","",IFERROR(VLOOKUP(--SUBSTITUTE(SUBSTITUTE(TRIM($K1550),"-","")," ",""),마스터시트!$A$2:$H$1946,5,FALSE),""))</f>
        <v/>
      </c>
      <c r="Q1550" s="18" t="str">
        <f>IF($K1550="","",IFERROR(VLOOKUP(--SUBSTITUTE(SUBSTITUTE(TRIM($K1550),"-","")," ",""),마스터시트!$A$2:$H$1946,6,FALSE),""))</f>
        <v/>
      </c>
      <c r="R1550" s="18" t="str">
        <f>IF($K1550="","",IFERROR(VLOOKUP(--SUBSTITUTE(SUBSTITUTE(TRIM($K1550),"-","")," ",""),마스터시트!$A$2:$H$1946,7,FALSE),""))</f>
        <v/>
      </c>
    </row>
    <row r="1551" spans="13:18" x14ac:dyDescent="0.3">
      <c r="M1551" s="18" t="str">
        <f>IF($K1551="","",IFERROR(VLOOKUP(--SUBSTITUTE(SUBSTITUTE(TRIM($K1551),"-","")," ",""),마스터시트!$A$2:$H$1946,2,FALSE),"미등록"))</f>
        <v/>
      </c>
      <c r="N1551" s="53" t="str">
        <f>IF($K1551="","",IFERROR(VLOOKUP(--SUBSTITUTE(SUBSTITUTE(TRIM($K1551),"-","")," ",""),마스터시트!$A$2:$H$1946,3,FALSE),"미등록"))</f>
        <v/>
      </c>
      <c r="O1551" s="18" t="str">
        <f>IF($K1551="","",IFERROR(VLOOKUP(--SUBSTITUTE(SUBSTITUTE(TRIM($K1551),"-","")," ",""),마스터시트!$A$2:$H$1946,4,FALSE),""))</f>
        <v/>
      </c>
      <c r="P1551" s="18" t="str">
        <f>IF($K1551="","",IFERROR(VLOOKUP(--SUBSTITUTE(SUBSTITUTE(TRIM($K1551),"-","")," ",""),마스터시트!$A$2:$H$1946,5,FALSE),""))</f>
        <v/>
      </c>
      <c r="Q1551" s="18" t="str">
        <f>IF($K1551="","",IFERROR(VLOOKUP(--SUBSTITUTE(SUBSTITUTE(TRIM($K1551),"-","")," ",""),마스터시트!$A$2:$H$1946,6,FALSE),""))</f>
        <v/>
      </c>
      <c r="R1551" s="18" t="str">
        <f>IF($K1551="","",IFERROR(VLOOKUP(--SUBSTITUTE(SUBSTITUTE(TRIM($K1551),"-","")," ",""),마스터시트!$A$2:$H$1946,7,FALSE),""))</f>
        <v/>
      </c>
    </row>
    <row r="1552" spans="13:18" x14ac:dyDescent="0.3">
      <c r="M1552" s="18" t="str">
        <f>IF($K1552="","",IFERROR(VLOOKUP(--SUBSTITUTE(SUBSTITUTE(TRIM($K1552),"-","")," ",""),마스터시트!$A$2:$H$1946,2,FALSE),"미등록"))</f>
        <v/>
      </c>
      <c r="N1552" s="53" t="str">
        <f>IF($K1552="","",IFERROR(VLOOKUP(--SUBSTITUTE(SUBSTITUTE(TRIM($K1552),"-","")," ",""),마스터시트!$A$2:$H$1946,3,FALSE),"미등록"))</f>
        <v/>
      </c>
      <c r="O1552" s="18" t="str">
        <f>IF($K1552="","",IFERROR(VLOOKUP(--SUBSTITUTE(SUBSTITUTE(TRIM($K1552),"-","")," ",""),마스터시트!$A$2:$H$1946,4,FALSE),""))</f>
        <v/>
      </c>
      <c r="P1552" s="18" t="str">
        <f>IF($K1552="","",IFERROR(VLOOKUP(--SUBSTITUTE(SUBSTITUTE(TRIM($K1552),"-","")," ",""),마스터시트!$A$2:$H$1946,5,FALSE),""))</f>
        <v/>
      </c>
      <c r="Q1552" s="18" t="str">
        <f>IF($K1552="","",IFERROR(VLOOKUP(--SUBSTITUTE(SUBSTITUTE(TRIM($K1552),"-","")," ",""),마스터시트!$A$2:$H$1946,6,FALSE),""))</f>
        <v/>
      </c>
      <c r="R1552" s="18" t="str">
        <f>IF($K1552="","",IFERROR(VLOOKUP(--SUBSTITUTE(SUBSTITUTE(TRIM($K1552),"-","")," ",""),마스터시트!$A$2:$H$1946,7,FALSE),""))</f>
        <v/>
      </c>
    </row>
    <row r="1553" spans="13:18" x14ac:dyDescent="0.3">
      <c r="M1553" s="18" t="str">
        <f>IF($K1553="","",IFERROR(VLOOKUP(--SUBSTITUTE(SUBSTITUTE(TRIM($K1553),"-","")," ",""),마스터시트!$A$2:$H$1946,2,FALSE),"미등록"))</f>
        <v/>
      </c>
      <c r="N1553" s="53" t="str">
        <f>IF($K1553="","",IFERROR(VLOOKUP(--SUBSTITUTE(SUBSTITUTE(TRIM($K1553),"-","")," ",""),마스터시트!$A$2:$H$1946,3,FALSE),"미등록"))</f>
        <v/>
      </c>
      <c r="O1553" s="18" t="str">
        <f>IF($K1553="","",IFERROR(VLOOKUP(--SUBSTITUTE(SUBSTITUTE(TRIM($K1553),"-","")," ",""),마스터시트!$A$2:$H$1946,4,FALSE),""))</f>
        <v/>
      </c>
      <c r="P1553" s="18" t="str">
        <f>IF($K1553="","",IFERROR(VLOOKUP(--SUBSTITUTE(SUBSTITUTE(TRIM($K1553),"-","")," ",""),마스터시트!$A$2:$H$1946,5,FALSE),""))</f>
        <v/>
      </c>
      <c r="Q1553" s="18" t="str">
        <f>IF($K1553="","",IFERROR(VLOOKUP(--SUBSTITUTE(SUBSTITUTE(TRIM($K1553),"-","")," ",""),마스터시트!$A$2:$H$1946,6,FALSE),""))</f>
        <v/>
      </c>
      <c r="R1553" s="18" t="str">
        <f>IF($K1553="","",IFERROR(VLOOKUP(--SUBSTITUTE(SUBSTITUTE(TRIM($K1553),"-","")," ",""),마스터시트!$A$2:$H$1946,7,FALSE),""))</f>
        <v/>
      </c>
    </row>
    <row r="1554" spans="13:18" x14ac:dyDescent="0.3">
      <c r="M1554" s="18" t="str">
        <f>IF($K1554="","",IFERROR(VLOOKUP(--SUBSTITUTE(SUBSTITUTE(TRIM($K1554),"-","")," ",""),마스터시트!$A$2:$H$1946,2,FALSE),"미등록"))</f>
        <v/>
      </c>
      <c r="N1554" s="53" t="str">
        <f>IF($K1554="","",IFERROR(VLOOKUP(--SUBSTITUTE(SUBSTITUTE(TRIM($K1554),"-","")," ",""),마스터시트!$A$2:$H$1946,3,FALSE),"미등록"))</f>
        <v/>
      </c>
      <c r="O1554" s="18" t="str">
        <f>IF($K1554="","",IFERROR(VLOOKUP(--SUBSTITUTE(SUBSTITUTE(TRIM($K1554),"-","")," ",""),마스터시트!$A$2:$H$1946,4,FALSE),""))</f>
        <v/>
      </c>
      <c r="P1554" s="18" t="str">
        <f>IF($K1554="","",IFERROR(VLOOKUP(--SUBSTITUTE(SUBSTITUTE(TRIM($K1554),"-","")," ",""),마스터시트!$A$2:$H$1946,5,FALSE),""))</f>
        <v/>
      </c>
      <c r="Q1554" s="18" t="str">
        <f>IF($K1554="","",IFERROR(VLOOKUP(--SUBSTITUTE(SUBSTITUTE(TRIM($K1554),"-","")," ",""),마스터시트!$A$2:$H$1946,6,FALSE),""))</f>
        <v/>
      </c>
      <c r="R1554" s="18" t="str">
        <f>IF($K1554="","",IFERROR(VLOOKUP(--SUBSTITUTE(SUBSTITUTE(TRIM($K1554),"-","")," ",""),마스터시트!$A$2:$H$1946,7,FALSE),""))</f>
        <v/>
      </c>
    </row>
    <row r="1555" spans="13:18" x14ac:dyDescent="0.3">
      <c r="M1555" s="18" t="str">
        <f>IF($K1555="","",IFERROR(VLOOKUP(--SUBSTITUTE(SUBSTITUTE(TRIM($K1555),"-","")," ",""),마스터시트!$A$2:$H$1946,2,FALSE),"미등록"))</f>
        <v/>
      </c>
      <c r="N1555" s="53" t="str">
        <f>IF($K1555="","",IFERROR(VLOOKUP(--SUBSTITUTE(SUBSTITUTE(TRIM($K1555),"-","")," ",""),마스터시트!$A$2:$H$1946,3,FALSE),"미등록"))</f>
        <v/>
      </c>
      <c r="O1555" s="18" t="str">
        <f>IF($K1555="","",IFERROR(VLOOKUP(--SUBSTITUTE(SUBSTITUTE(TRIM($K1555),"-","")," ",""),마스터시트!$A$2:$H$1946,4,FALSE),""))</f>
        <v/>
      </c>
      <c r="P1555" s="18" t="str">
        <f>IF($K1555="","",IFERROR(VLOOKUP(--SUBSTITUTE(SUBSTITUTE(TRIM($K1555),"-","")," ",""),마스터시트!$A$2:$H$1946,5,FALSE),""))</f>
        <v/>
      </c>
      <c r="Q1555" s="18" t="str">
        <f>IF($K1555="","",IFERROR(VLOOKUP(--SUBSTITUTE(SUBSTITUTE(TRIM($K1555),"-","")," ",""),마스터시트!$A$2:$H$1946,6,FALSE),""))</f>
        <v/>
      </c>
      <c r="R1555" s="18" t="str">
        <f>IF($K1555="","",IFERROR(VLOOKUP(--SUBSTITUTE(SUBSTITUTE(TRIM($K1555),"-","")," ",""),마스터시트!$A$2:$H$1946,7,FALSE),""))</f>
        <v/>
      </c>
    </row>
    <row r="1556" spans="13:18" x14ac:dyDescent="0.3">
      <c r="M1556" s="18" t="str">
        <f>IF($K1556="","",IFERROR(VLOOKUP(--SUBSTITUTE(SUBSTITUTE(TRIM($K1556),"-","")," ",""),마스터시트!$A$2:$H$1946,2,FALSE),"미등록"))</f>
        <v/>
      </c>
      <c r="N1556" s="53" t="str">
        <f>IF($K1556="","",IFERROR(VLOOKUP(--SUBSTITUTE(SUBSTITUTE(TRIM($K1556),"-","")," ",""),마스터시트!$A$2:$H$1946,3,FALSE),"미등록"))</f>
        <v/>
      </c>
      <c r="O1556" s="18" t="str">
        <f>IF($K1556="","",IFERROR(VLOOKUP(--SUBSTITUTE(SUBSTITUTE(TRIM($K1556),"-","")," ",""),마스터시트!$A$2:$H$1946,4,FALSE),""))</f>
        <v/>
      </c>
      <c r="P1556" s="18" t="str">
        <f>IF($K1556="","",IFERROR(VLOOKUP(--SUBSTITUTE(SUBSTITUTE(TRIM($K1556),"-","")," ",""),마스터시트!$A$2:$H$1946,5,FALSE),""))</f>
        <v/>
      </c>
      <c r="Q1556" s="18" t="str">
        <f>IF($K1556="","",IFERROR(VLOOKUP(--SUBSTITUTE(SUBSTITUTE(TRIM($K1556),"-","")," ",""),마스터시트!$A$2:$H$1946,6,FALSE),""))</f>
        <v/>
      </c>
      <c r="R1556" s="18" t="str">
        <f>IF($K1556="","",IFERROR(VLOOKUP(--SUBSTITUTE(SUBSTITUTE(TRIM($K1556),"-","")," ",""),마스터시트!$A$2:$H$1946,7,FALSE),""))</f>
        <v/>
      </c>
    </row>
    <row r="1557" spans="13:18" x14ac:dyDescent="0.3">
      <c r="M1557" s="18" t="str">
        <f>IF($K1557="","",IFERROR(VLOOKUP(--SUBSTITUTE(SUBSTITUTE(TRIM($K1557),"-","")," ",""),마스터시트!$A$2:$H$1946,2,FALSE),"미등록"))</f>
        <v/>
      </c>
      <c r="N1557" s="53" t="str">
        <f>IF($K1557="","",IFERROR(VLOOKUP(--SUBSTITUTE(SUBSTITUTE(TRIM($K1557),"-","")," ",""),마스터시트!$A$2:$H$1946,3,FALSE),"미등록"))</f>
        <v/>
      </c>
      <c r="O1557" s="18" t="str">
        <f>IF($K1557="","",IFERROR(VLOOKUP(--SUBSTITUTE(SUBSTITUTE(TRIM($K1557),"-","")," ",""),마스터시트!$A$2:$H$1946,4,FALSE),""))</f>
        <v/>
      </c>
      <c r="P1557" s="18" t="str">
        <f>IF($K1557="","",IFERROR(VLOOKUP(--SUBSTITUTE(SUBSTITUTE(TRIM($K1557),"-","")," ",""),마스터시트!$A$2:$H$1946,5,FALSE),""))</f>
        <v/>
      </c>
      <c r="Q1557" s="18" t="str">
        <f>IF($K1557="","",IFERROR(VLOOKUP(--SUBSTITUTE(SUBSTITUTE(TRIM($K1557),"-","")," ",""),마스터시트!$A$2:$H$1946,6,FALSE),""))</f>
        <v/>
      </c>
      <c r="R1557" s="18" t="str">
        <f>IF($K1557="","",IFERROR(VLOOKUP(--SUBSTITUTE(SUBSTITUTE(TRIM($K1557),"-","")," ",""),마스터시트!$A$2:$H$1946,7,FALSE),""))</f>
        <v/>
      </c>
    </row>
    <row r="1558" spans="13:18" x14ac:dyDescent="0.3">
      <c r="M1558" s="18" t="str">
        <f>IF($K1558="","",IFERROR(VLOOKUP(--SUBSTITUTE(SUBSTITUTE(TRIM($K1558),"-","")," ",""),마스터시트!$A$2:$H$1946,2,FALSE),"미등록"))</f>
        <v/>
      </c>
      <c r="N1558" s="53" t="str">
        <f>IF($K1558="","",IFERROR(VLOOKUP(--SUBSTITUTE(SUBSTITUTE(TRIM($K1558),"-","")," ",""),마스터시트!$A$2:$H$1946,3,FALSE),"미등록"))</f>
        <v/>
      </c>
      <c r="O1558" s="18" t="str">
        <f>IF($K1558="","",IFERROR(VLOOKUP(--SUBSTITUTE(SUBSTITUTE(TRIM($K1558),"-","")," ",""),마스터시트!$A$2:$H$1946,4,FALSE),""))</f>
        <v/>
      </c>
      <c r="P1558" s="18" t="str">
        <f>IF($K1558="","",IFERROR(VLOOKUP(--SUBSTITUTE(SUBSTITUTE(TRIM($K1558),"-","")," ",""),마스터시트!$A$2:$H$1946,5,FALSE),""))</f>
        <v/>
      </c>
      <c r="Q1558" s="18" t="str">
        <f>IF($K1558="","",IFERROR(VLOOKUP(--SUBSTITUTE(SUBSTITUTE(TRIM($K1558),"-","")," ",""),마스터시트!$A$2:$H$1946,6,FALSE),""))</f>
        <v/>
      </c>
      <c r="R1558" s="18" t="str">
        <f>IF($K1558="","",IFERROR(VLOOKUP(--SUBSTITUTE(SUBSTITUTE(TRIM($K1558),"-","")," ",""),마스터시트!$A$2:$H$1946,7,FALSE),""))</f>
        <v/>
      </c>
    </row>
    <row r="1559" spans="13:18" x14ac:dyDescent="0.3">
      <c r="M1559" s="18" t="str">
        <f>IF($K1559="","",IFERROR(VLOOKUP(--SUBSTITUTE(SUBSTITUTE(TRIM($K1559),"-","")," ",""),마스터시트!$A$2:$H$1946,2,FALSE),"미등록"))</f>
        <v/>
      </c>
      <c r="N1559" s="53" t="str">
        <f>IF($K1559="","",IFERROR(VLOOKUP(--SUBSTITUTE(SUBSTITUTE(TRIM($K1559),"-","")," ",""),마스터시트!$A$2:$H$1946,3,FALSE),"미등록"))</f>
        <v/>
      </c>
      <c r="O1559" s="18" t="str">
        <f>IF($K1559="","",IFERROR(VLOOKUP(--SUBSTITUTE(SUBSTITUTE(TRIM($K1559),"-","")," ",""),마스터시트!$A$2:$H$1946,4,FALSE),""))</f>
        <v/>
      </c>
      <c r="P1559" s="18" t="str">
        <f>IF($K1559="","",IFERROR(VLOOKUP(--SUBSTITUTE(SUBSTITUTE(TRIM($K1559),"-","")," ",""),마스터시트!$A$2:$H$1946,5,FALSE),""))</f>
        <v/>
      </c>
      <c r="Q1559" s="18" t="str">
        <f>IF($K1559="","",IFERROR(VLOOKUP(--SUBSTITUTE(SUBSTITUTE(TRIM($K1559),"-","")," ",""),마스터시트!$A$2:$H$1946,6,FALSE),""))</f>
        <v/>
      </c>
      <c r="R1559" s="18" t="str">
        <f>IF($K1559="","",IFERROR(VLOOKUP(--SUBSTITUTE(SUBSTITUTE(TRIM($K1559),"-","")," ",""),마스터시트!$A$2:$H$1946,7,FALSE),""))</f>
        <v/>
      </c>
    </row>
    <row r="1560" spans="13:18" x14ac:dyDescent="0.3">
      <c r="M1560" s="18" t="str">
        <f>IF($K1560="","",IFERROR(VLOOKUP(--SUBSTITUTE(SUBSTITUTE(TRIM($K1560),"-","")," ",""),마스터시트!$A$2:$H$1946,2,FALSE),"미등록"))</f>
        <v/>
      </c>
      <c r="N1560" s="53" t="str">
        <f>IF($K1560="","",IFERROR(VLOOKUP(--SUBSTITUTE(SUBSTITUTE(TRIM($K1560),"-","")," ",""),마스터시트!$A$2:$H$1946,3,FALSE),"미등록"))</f>
        <v/>
      </c>
      <c r="O1560" s="18" t="str">
        <f>IF($K1560="","",IFERROR(VLOOKUP(--SUBSTITUTE(SUBSTITUTE(TRIM($K1560),"-","")," ",""),마스터시트!$A$2:$H$1946,4,FALSE),""))</f>
        <v/>
      </c>
      <c r="P1560" s="18" t="str">
        <f>IF($K1560="","",IFERROR(VLOOKUP(--SUBSTITUTE(SUBSTITUTE(TRIM($K1560),"-","")," ",""),마스터시트!$A$2:$H$1946,5,FALSE),""))</f>
        <v/>
      </c>
      <c r="Q1560" s="18" t="str">
        <f>IF($K1560="","",IFERROR(VLOOKUP(--SUBSTITUTE(SUBSTITUTE(TRIM($K1560),"-","")," ",""),마스터시트!$A$2:$H$1946,6,FALSE),""))</f>
        <v/>
      </c>
      <c r="R1560" s="18" t="str">
        <f>IF($K1560="","",IFERROR(VLOOKUP(--SUBSTITUTE(SUBSTITUTE(TRIM($K1560),"-","")," ",""),마스터시트!$A$2:$H$1946,7,FALSE),""))</f>
        <v/>
      </c>
    </row>
    <row r="1561" spans="13:18" x14ac:dyDescent="0.3">
      <c r="M1561" s="18" t="str">
        <f>IF($K1561="","",IFERROR(VLOOKUP(--SUBSTITUTE(SUBSTITUTE(TRIM($K1561),"-","")," ",""),마스터시트!$A$2:$H$1946,2,FALSE),"미등록"))</f>
        <v/>
      </c>
      <c r="N1561" s="53" t="str">
        <f>IF($K1561="","",IFERROR(VLOOKUP(--SUBSTITUTE(SUBSTITUTE(TRIM($K1561),"-","")," ",""),마스터시트!$A$2:$H$1946,3,FALSE),"미등록"))</f>
        <v/>
      </c>
      <c r="O1561" s="18" t="str">
        <f>IF($K1561="","",IFERROR(VLOOKUP(--SUBSTITUTE(SUBSTITUTE(TRIM($K1561),"-","")," ",""),마스터시트!$A$2:$H$1946,4,FALSE),""))</f>
        <v/>
      </c>
      <c r="P1561" s="18" t="str">
        <f>IF($K1561="","",IFERROR(VLOOKUP(--SUBSTITUTE(SUBSTITUTE(TRIM($K1561),"-","")," ",""),마스터시트!$A$2:$H$1946,5,FALSE),""))</f>
        <v/>
      </c>
      <c r="Q1561" s="18" t="str">
        <f>IF($K1561="","",IFERROR(VLOOKUP(--SUBSTITUTE(SUBSTITUTE(TRIM($K1561),"-","")," ",""),마스터시트!$A$2:$H$1946,6,FALSE),""))</f>
        <v/>
      </c>
      <c r="R1561" s="18" t="str">
        <f>IF($K1561="","",IFERROR(VLOOKUP(--SUBSTITUTE(SUBSTITUTE(TRIM($K1561),"-","")," ",""),마스터시트!$A$2:$H$1946,7,FALSE),""))</f>
        <v/>
      </c>
    </row>
    <row r="1562" spans="13:18" x14ac:dyDescent="0.3">
      <c r="M1562" s="18" t="str">
        <f>IF($K1562="","",IFERROR(VLOOKUP(--SUBSTITUTE(SUBSTITUTE(TRIM($K1562),"-","")," ",""),마스터시트!$A$2:$H$1946,2,FALSE),"미등록"))</f>
        <v/>
      </c>
      <c r="N1562" s="53" t="str">
        <f>IF($K1562="","",IFERROR(VLOOKUP(--SUBSTITUTE(SUBSTITUTE(TRIM($K1562),"-","")," ",""),마스터시트!$A$2:$H$1946,3,FALSE),"미등록"))</f>
        <v/>
      </c>
      <c r="O1562" s="18" t="str">
        <f>IF($K1562="","",IFERROR(VLOOKUP(--SUBSTITUTE(SUBSTITUTE(TRIM($K1562),"-","")," ",""),마스터시트!$A$2:$H$1946,4,FALSE),""))</f>
        <v/>
      </c>
      <c r="P1562" s="18" t="str">
        <f>IF($K1562="","",IFERROR(VLOOKUP(--SUBSTITUTE(SUBSTITUTE(TRIM($K1562),"-","")," ",""),마스터시트!$A$2:$H$1946,5,FALSE),""))</f>
        <v/>
      </c>
      <c r="Q1562" s="18" t="str">
        <f>IF($K1562="","",IFERROR(VLOOKUP(--SUBSTITUTE(SUBSTITUTE(TRIM($K1562),"-","")," ",""),마스터시트!$A$2:$H$1946,6,FALSE),""))</f>
        <v/>
      </c>
      <c r="R1562" s="18" t="str">
        <f>IF($K1562="","",IFERROR(VLOOKUP(--SUBSTITUTE(SUBSTITUTE(TRIM($K1562),"-","")," ",""),마스터시트!$A$2:$H$1946,7,FALSE),""))</f>
        <v/>
      </c>
    </row>
    <row r="1563" spans="13:18" x14ac:dyDescent="0.3">
      <c r="M1563" s="18" t="str">
        <f>IF($K1563="","",IFERROR(VLOOKUP(--SUBSTITUTE(SUBSTITUTE(TRIM($K1563),"-","")," ",""),마스터시트!$A$2:$H$1946,2,FALSE),"미등록"))</f>
        <v/>
      </c>
      <c r="N1563" s="53" t="str">
        <f>IF($K1563="","",IFERROR(VLOOKUP(--SUBSTITUTE(SUBSTITUTE(TRIM($K1563),"-","")," ",""),마스터시트!$A$2:$H$1946,3,FALSE),"미등록"))</f>
        <v/>
      </c>
      <c r="O1563" s="18" t="str">
        <f>IF($K1563="","",IFERROR(VLOOKUP(--SUBSTITUTE(SUBSTITUTE(TRIM($K1563),"-","")," ",""),마스터시트!$A$2:$H$1946,4,FALSE),""))</f>
        <v/>
      </c>
      <c r="P1563" s="18" t="str">
        <f>IF($K1563="","",IFERROR(VLOOKUP(--SUBSTITUTE(SUBSTITUTE(TRIM($K1563),"-","")," ",""),마스터시트!$A$2:$H$1946,5,FALSE),""))</f>
        <v/>
      </c>
      <c r="Q1563" s="18" t="str">
        <f>IF($K1563="","",IFERROR(VLOOKUP(--SUBSTITUTE(SUBSTITUTE(TRIM($K1563),"-","")," ",""),마스터시트!$A$2:$H$1946,6,FALSE),""))</f>
        <v/>
      </c>
      <c r="R1563" s="18" t="str">
        <f>IF($K1563="","",IFERROR(VLOOKUP(--SUBSTITUTE(SUBSTITUTE(TRIM($K1563),"-","")," ",""),마스터시트!$A$2:$H$1946,7,FALSE),""))</f>
        <v/>
      </c>
    </row>
    <row r="1564" spans="13:18" x14ac:dyDescent="0.3">
      <c r="M1564" s="18" t="str">
        <f>IF($K1564="","",IFERROR(VLOOKUP(--SUBSTITUTE(SUBSTITUTE(TRIM($K1564),"-","")," ",""),마스터시트!$A$2:$H$1946,2,FALSE),"미등록"))</f>
        <v/>
      </c>
      <c r="N1564" s="53" t="str">
        <f>IF($K1564="","",IFERROR(VLOOKUP(--SUBSTITUTE(SUBSTITUTE(TRIM($K1564),"-","")," ",""),마스터시트!$A$2:$H$1946,3,FALSE),"미등록"))</f>
        <v/>
      </c>
      <c r="O1564" s="18" t="str">
        <f>IF($K1564="","",IFERROR(VLOOKUP(--SUBSTITUTE(SUBSTITUTE(TRIM($K1564),"-","")," ",""),마스터시트!$A$2:$H$1946,4,FALSE),""))</f>
        <v/>
      </c>
      <c r="P1564" s="18" t="str">
        <f>IF($K1564="","",IFERROR(VLOOKUP(--SUBSTITUTE(SUBSTITUTE(TRIM($K1564),"-","")," ",""),마스터시트!$A$2:$H$1946,5,FALSE),""))</f>
        <v/>
      </c>
      <c r="Q1564" s="18" t="str">
        <f>IF($K1564="","",IFERROR(VLOOKUP(--SUBSTITUTE(SUBSTITUTE(TRIM($K1564),"-","")," ",""),마스터시트!$A$2:$H$1946,6,FALSE),""))</f>
        <v/>
      </c>
      <c r="R1564" s="18" t="str">
        <f>IF($K1564="","",IFERROR(VLOOKUP(--SUBSTITUTE(SUBSTITUTE(TRIM($K1564),"-","")," ",""),마스터시트!$A$2:$H$1946,7,FALSE),""))</f>
        <v/>
      </c>
    </row>
    <row r="1565" spans="13:18" x14ac:dyDescent="0.3">
      <c r="M1565" s="18" t="str">
        <f>IF($K1565="","",IFERROR(VLOOKUP(--SUBSTITUTE(SUBSTITUTE(TRIM($K1565),"-","")," ",""),마스터시트!$A$2:$H$1946,2,FALSE),"미등록"))</f>
        <v/>
      </c>
      <c r="N1565" s="53" t="str">
        <f>IF($K1565="","",IFERROR(VLOOKUP(--SUBSTITUTE(SUBSTITUTE(TRIM($K1565),"-","")," ",""),마스터시트!$A$2:$H$1946,3,FALSE),"미등록"))</f>
        <v/>
      </c>
      <c r="O1565" s="18" t="str">
        <f>IF($K1565="","",IFERROR(VLOOKUP(--SUBSTITUTE(SUBSTITUTE(TRIM($K1565),"-","")," ",""),마스터시트!$A$2:$H$1946,4,FALSE),""))</f>
        <v/>
      </c>
      <c r="P1565" s="18" t="str">
        <f>IF($K1565="","",IFERROR(VLOOKUP(--SUBSTITUTE(SUBSTITUTE(TRIM($K1565),"-","")," ",""),마스터시트!$A$2:$H$1946,5,FALSE),""))</f>
        <v/>
      </c>
      <c r="Q1565" s="18" t="str">
        <f>IF($K1565="","",IFERROR(VLOOKUP(--SUBSTITUTE(SUBSTITUTE(TRIM($K1565),"-","")," ",""),마스터시트!$A$2:$H$1946,6,FALSE),""))</f>
        <v/>
      </c>
      <c r="R1565" s="18" t="str">
        <f>IF($K1565="","",IFERROR(VLOOKUP(--SUBSTITUTE(SUBSTITUTE(TRIM($K1565),"-","")," ",""),마스터시트!$A$2:$H$1946,7,FALSE),""))</f>
        <v/>
      </c>
    </row>
    <row r="1566" spans="13:18" x14ac:dyDescent="0.3">
      <c r="M1566" s="18" t="str">
        <f>IF($K1566="","",IFERROR(VLOOKUP(--SUBSTITUTE(SUBSTITUTE(TRIM($K1566),"-","")," ",""),마스터시트!$A$2:$H$1946,2,FALSE),"미등록"))</f>
        <v/>
      </c>
      <c r="N1566" s="53" t="str">
        <f>IF($K1566="","",IFERROR(VLOOKUP(--SUBSTITUTE(SUBSTITUTE(TRIM($K1566),"-","")," ",""),마스터시트!$A$2:$H$1946,3,FALSE),"미등록"))</f>
        <v/>
      </c>
      <c r="O1566" s="18" t="str">
        <f>IF($K1566="","",IFERROR(VLOOKUP(--SUBSTITUTE(SUBSTITUTE(TRIM($K1566),"-","")," ",""),마스터시트!$A$2:$H$1946,4,FALSE),""))</f>
        <v/>
      </c>
      <c r="P1566" s="18" t="str">
        <f>IF($K1566="","",IFERROR(VLOOKUP(--SUBSTITUTE(SUBSTITUTE(TRIM($K1566),"-","")," ",""),마스터시트!$A$2:$H$1946,5,FALSE),""))</f>
        <v/>
      </c>
      <c r="Q1566" s="18" t="str">
        <f>IF($K1566="","",IFERROR(VLOOKUP(--SUBSTITUTE(SUBSTITUTE(TRIM($K1566),"-","")," ",""),마스터시트!$A$2:$H$1946,6,FALSE),""))</f>
        <v/>
      </c>
      <c r="R1566" s="18" t="str">
        <f>IF($K1566="","",IFERROR(VLOOKUP(--SUBSTITUTE(SUBSTITUTE(TRIM($K1566),"-","")," ",""),마스터시트!$A$2:$H$1946,7,FALSE),""))</f>
        <v/>
      </c>
    </row>
    <row r="1567" spans="13:18" x14ac:dyDescent="0.3">
      <c r="M1567" s="18" t="str">
        <f>IF($K1567="","",IFERROR(VLOOKUP(--SUBSTITUTE(SUBSTITUTE(TRIM($K1567),"-","")," ",""),마스터시트!$A$2:$H$1946,2,FALSE),"미등록"))</f>
        <v/>
      </c>
      <c r="N1567" s="53" t="str">
        <f>IF($K1567="","",IFERROR(VLOOKUP(--SUBSTITUTE(SUBSTITUTE(TRIM($K1567),"-","")," ",""),마스터시트!$A$2:$H$1946,3,FALSE),"미등록"))</f>
        <v/>
      </c>
      <c r="O1567" s="18" t="str">
        <f>IF($K1567="","",IFERROR(VLOOKUP(--SUBSTITUTE(SUBSTITUTE(TRIM($K1567),"-","")," ",""),마스터시트!$A$2:$H$1946,4,FALSE),""))</f>
        <v/>
      </c>
      <c r="P1567" s="18" t="str">
        <f>IF($K1567="","",IFERROR(VLOOKUP(--SUBSTITUTE(SUBSTITUTE(TRIM($K1567),"-","")," ",""),마스터시트!$A$2:$H$1946,5,FALSE),""))</f>
        <v/>
      </c>
      <c r="Q1567" s="18" t="str">
        <f>IF($K1567="","",IFERROR(VLOOKUP(--SUBSTITUTE(SUBSTITUTE(TRIM($K1567),"-","")," ",""),마스터시트!$A$2:$H$1946,6,FALSE),""))</f>
        <v/>
      </c>
      <c r="R1567" s="18" t="str">
        <f>IF($K1567="","",IFERROR(VLOOKUP(--SUBSTITUTE(SUBSTITUTE(TRIM($K1567),"-","")," ",""),마스터시트!$A$2:$H$1946,7,FALSE),""))</f>
        <v/>
      </c>
    </row>
    <row r="1568" spans="13:18" x14ac:dyDescent="0.3">
      <c r="M1568" s="18" t="str">
        <f>IF($K1568="","",IFERROR(VLOOKUP(--SUBSTITUTE(SUBSTITUTE(TRIM($K1568),"-","")," ",""),마스터시트!$A$2:$H$1946,2,FALSE),"미등록"))</f>
        <v/>
      </c>
      <c r="N1568" s="53" t="str">
        <f>IF($K1568="","",IFERROR(VLOOKUP(--SUBSTITUTE(SUBSTITUTE(TRIM($K1568),"-","")," ",""),마스터시트!$A$2:$H$1946,3,FALSE),"미등록"))</f>
        <v/>
      </c>
      <c r="O1568" s="18" t="str">
        <f>IF($K1568="","",IFERROR(VLOOKUP(--SUBSTITUTE(SUBSTITUTE(TRIM($K1568),"-","")," ",""),마스터시트!$A$2:$H$1946,4,FALSE),""))</f>
        <v/>
      </c>
      <c r="P1568" s="18" t="str">
        <f>IF($K1568="","",IFERROR(VLOOKUP(--SUBSTITUTE(SUBSTITUTE(TRIM($K1568),"-","")," ",""),마스터시트!$A$2:$H$1946,5,FALSE),""))</f>
        <v/>
      </c>
      <c r="Q1568" s="18" t="str">
        <f>IF($K1568="","",IFERROR(VLOOKUP(--SUBSTITUTE(SUBSTITUTE(TRIM($K1568),"-","")," ",""),마스터시트!$A$2:$H$1946,6,FALSE),""))</f>
        <v/>
      </c>
      <c r="R1568" s="18" t="str">
        <f>IF($K1568="","",IFERROR(VLOOKUP(--SUBSTITUTE(SUBSTITUTE(TRIM($K1568),"-","")," ",""),마스터시트!$A$2:$H$1946,7,FALSE),""))</f>
        <v/>
      </c>
    </row>
    <row r="1569" spans="13:18" x14ac:dyDescent="0.3">
      <c r="M1569" s="18" t="str">
        <f>IF($K1569="","",IFERROR(VLOOKUP(--SUBSTITUTE(SUBSTITUTE(TRIM($K1569),"-","")," ",""),마스터시트!$A$2:$H$1946,2,FALSE),"미등록"))</f>
        <v/>
      </c>
      <c r="N1569" s="53" t="str">
        <f>IF($K1569="","",IFERROR(VLOOKUP(--SUBSTITUTE(SUBSTITUTE(TRIM($K1569),"-","")," ",""),마스터시트!$A$2:$H$1946,3,FALSE),"미등록"))</f>
        <v/>
      </c>
      <c r="O1569" s="18" t="str">
        <f>IF($K1569="","",IFERROR(VLOOKUP(--SUBSTITUTE(SUBSTITUTE(TRIM($K1569),"-","")," ",""),마스터시트!$A$2:$H$1946,4,FALSE),""))</f>
        <v/>
      </c>
      <c r="P1569" s="18" t="str">
        <f>IF($K1569="","",IFERROR(VLOOKUP(--SUBSTITUTE(SUBSTITUTE(TRIM($K1569),"-","")," ",""),마스터시트!$A$2:$H$1946,5,FALSE),""))</f>
        <v/>
      </c>
      <c r="Q1569" s="18" t="str">
        <f>IF($K1569="","",IFERROR(VLOOKUP(--SUBSTITUTE(SUBSTITUTE(TRIM($K1569),"-","")," ",""),마스터시트!$A$2:$H$1946,6,FALSE),""))</f>
        <v/>
      </c>
      <c r="R1569" s="18" t="str">
        <f>IF($K1569="","",IFERROR(VLOOKUP(--SUBSTITUTE(SUBSTITUTE(TRIM($K1569),"-","")," ",""),마스터시트!$A$2:$H$1946,7,FALSE),""))</f>
        <v/>
      </c>
    </row>
    <row r="1570" spans="13:18" x14ac:dyDescent="0.3">
      <c r="M1570" s="18" t="str">
        <f>IF($K1570="","",IFERROR(VLOOKUP(--SUBSTITUTE(SUBSTITUTE(TRIM($K1570),"-","")," ",""),마스터시트!$A$2:$H$1946,2,FALSE),"미등록"))</f>
        <v/>
      </c>
      <c r="N1570" s="53" t="str">
        <f>IF($K1570="","",IFERROR(VLOOKUP(--SUBSTITUTE(SUBSTITUTE(TRIM($K1570),"-","")," ",""),마스터시트!$A$2:$H$1946,3,FALSE),"미등록"))</f>
        <v/>
      </c>
      <c r="O1570" s="18" t="str">
        <f>IF($K1570="","",IFERROR(VLOOKUP(--SUBSTITUTE(SUBSTITUTE(TRIM($K1570),"-","")," ",""),마스터시트!$A$2:$H$1946,4,FALSE),""))</f>
        <v/>
      </c>
      <c r="P1570" s="18" t="str">
        <f>IF($K1570="","",IFERROR(VLOOKUP(--SUBSTITUTE(SUBSTITUTE(TRIM($K1570),"-","")," ",""),마스터시트!$A$2:$H$1946,5,FALSE),""))</f>
        <v/>
      </c>
      <c r="Q1570" s="18" t="str">
        <f>IF($K1570="","",IFERROR(VLOOKUP(--SUBSTITUTE(SUBSTITUTE(TRIM($K1570),"-","")," ",""),마스터시트!$A$2:$H$1946,6,FALSE),""))</f>
        <v/>
      </c>
      <c r="R1570" s="18" t="str">
        <f>IF($K1570="","",IFERROR(VLOOKUP(--SUBSTITUTE(SUBSTITUTE(TRIM($K1570),"-","")," ",""),마스터시트!$A$2:$H$1946,7,FALSE),""))</f>
        <v/>
      </c>
    </row>
    <row r="1571" spans="13:18" x14ac:dyDescent="0.3">
      <c r="M1571" s="18" t="str">
        <f>IF($K1571="","",IFERROR(VLOOKUP(--SUBSTITUTE(SUBSTITUTE(TRIM($K1571),"-","")," ",""),마스터시트!$A$2:$H$1946,2,FALSE),"미등록"))</f>
        <v/>
      </c>
      <c r="N1571" s="53" t="str">
        <f>IF($K1571="","",IFERROR(VLOOKUP(--SUBSTITUTE(SUBSTITUTE(TRIM($K1571),"-","")," ",""),마스터시트!$A$2:$H$1946,3,FALSE),"미등록"))</f>
        <v/>
      </c>
      <c r="O1571" s="18" t="str">
        <f>IF($K1571="","",IFERROR(VLOOKUP(--SUBSTITUTE(SUBSTITUTE(TRIM($K1571),"-","")," ",""),마스터시트!$A$2:$H$1946,4,FALSE),""))</f>
        <v/>
      </c>
      <c r="P1571" s="18" t="str">
        <f>IF($K1571="","",IFERROR(VLOOKUP(--SUBSTITUTE(SUBSTITUTE(TRIM($K1571),"-","")," ",""),마스터시트!$A$2:$H$1946,5,FALSE),""))</f>
        <v/>
      </c>
      <c r="Q1571" s="18" t="str">
        <f>IF($K1571="","",IFERROR(VLOOKUP(--SUBSTITUTE(SUBSTITUTE(TRIM($K1571),"-","")," ",""),마스터시트!$A$2:$H$1946,6,FALSE),""))</f>
        <v/>
      </c>
      <c r="R1571" s="18" t="str">
        <f>IF($K1571="","",IFERROR(VLOOKUP(--SUBSTITUTE(SUBSTITUTE(TRIM($K1571),"-","")," ",""),마스터시트!$A$2:$H$1946,7,FALSE),""))</f>
        <v/>
      </c>
    </row>
    <row r="1572" spans="13:18" x14ac:dyDescent="0.3">
      <c r="M1572" s="18" t="str">
        <f>IF($K1572="","",IFERROR(VLOOKUP(--SUBSTITUTE(SUBSTITUTE(TRIM($K1572),"-","")," ",""),마스터시트!$A$2:$H$1946,2,FALSE),"미등록"))</f>
        <v/>
      </c>
      <c r="N1572" s="53" t="str">
        <f>IF($K1572="","",IFERROR(VLOOKUP(--SUBSTITUTE(SUBSTITUTE(TRIM($K1572),"-","")," ",""),마스터시트!$A$2:$H$1946,3,FALSE),"미등록"))</f>
        <v/>
      </c>
      <c r="O1572" s="18" t="str">
        <f>IF($K1572="","",IFERROR(VLOOKUP(--SUBSTITUTE(SUBSTITUTE(TRIM($K1572),"-","")," ",""),마스터시트!$A$2:$H$1946,4,FALSE),""))</f>
        <v/>
      </c>
      <c r="P1572" s="18" t="str">
        <f>IF($K1572="","",IFERROR(VLOOKUP(--SUBSTITUTE(SUBSTITUTE(TRIM($K1572),"-","")," ",""),마스터시트!$A$2:$H$1946,5,FALSE),""))</f>
        <v/>
      </c>
      <c r="Q1572" s="18" t="str">
        <f>IF($K1572="","",IFERROR(VLOOKUP(--SUBSTITUTE(SUBSTITUTE(TRIM($K1572),"-","")," ",""),마스터시트!$A$2:$H$1946,6,FALSE),""))</f>
        <v/>
      </c>
      <c r="R1572" s="18" t="str">
        <f>IF($K1572="","",IFERROR(VLOOKUP(--SUBSTITUTE(SUBSTITUTE(TRIM($K1572),"-","")," ",""),마스터시트!$A$2:$H$1946,7,FALSE),""))</f>
        <v/>
      </c>
    </row>
    <row r="1573" spans="13:18" x14ac:dyDescent="0.3">
      <c r="M1573" s="18" t="str">
        <f>IF($K1573="","",IFERROR(VLOOKUP(--SUBSTITUTE(SUBSTITUTE(TRIM($K1573),"-","")," ",""),마스터시트!$A$2:$H$1946,2,FALSE),"미등록"))</f>
        <v/>
      </c>
      <c r="N1573" s="53" t="str">
        <f>IF($K1573="","",IFERROR(VLOOKUP(--SUBSTITUTE(SUBSTITUTE(TRIM($K1573),"-","")," ",""),마스터시트!$A$2:$H$1946,3,FALSE),"미등록"))</f>
        <v/>
      </c>
      <c r="O1573" s="18" t="str">
        <f>IF($K1573="","",IFERROR(VLOOKUP(--SUBSTITUTE(SUBSTITUTE(TRIM($K1573),"-","")," ",""),마스터시트!$A$2:$H$1946,4,FALSE),""))</f>
        <v/>
      </c>
      <c r="P1573" s="18" t="str">
        <f>IF($K1573="","",IFERROR(VLOOKUP(--SUBSTITUTE(SUBSTITUTE(TRIM($K1573),"-","")," ",""),마스터시트!$A$2:$H$1946,5,FALSE),""))</f>
        <v/>
      </c>
      <c r="Q1573" s="18" t="str">
        <f>IF($K1573="","",IFERROR(VLOOKUP(--SUBSTITUTE(SUBSTITUTE(TRIM($K1573),"-","")," ",""),마스터시트!$A$2:$H$1946,6,FALSE),""))</f>
        <v/>
      </c>
      <c r="R1573" s="18" t="str">
        <f>IF($K1573="","",IFERROR(VLOOKUP(--SUBSTITUTE(SUBSTITUTE(TRIM($K1573),"-","")," ",""),마스터시트!$A$2:$H$1946,7,FALSE),""))</f>
        <v/>
      </c>
    </row>
    <row r="1574" spans="13:18" x14ac:dyDescent="0.3">
      <c r="M1574" s="18" t="str">
        <f>IF($K1574="","",IFERROR(VLOOKUP(--SUBSTITUTE(SUBSTITUTE(TRIM($K1574),"-","")," ",""),마스터시트!$A$2:$H$1946,2,FALSE),"미등록"))</f>
        <v/>
      </c>
      <c r="N1574" s="53" t="str">
        <f>IF($K1574="","",IFERROR(VLOOKUP(--SUBSTITUTE(SUBSTITUTE(TRIM($K1574),"-","")," ",""),마스터시트!$A$2:$H$1946,3,FALSE),"미등록"))</f>
        <v/>
      </c>
      <c r="O1574" s="18" t="str">
        <f>IF($K1574="","",IFERROR(VLOOKUP(--SUBSTITUTE(SUBSTITUTE(TRIM($K1574),"-","")," ",""),마스터시트!$A$2:$H$1946,4,FALSE),""))</f>
        <v/>
      </c>
      <c r="P1574" s="18" t="str">
        <f>IF($K1574="","",IFERROR(VLOOKUP(--SUBSTITUTE(SUBSTITUTE(TRIM($K1574),"-","")," ",""),마스터시트!$A$2:$H$1946,5,FALSE),""))</f>
        <v/>
      </c>
      <c r="Q1574" s="18" t="str">
        <f>IF($K1574="","",IFERROR(VLOOKUP(--SUBSTITUTE(SUBSTITUTE(TRIM($K1574),"-","")," ",""),마스터시트!$A$2:$H$1946,6,FALSE),""))</f>
        <v/>
      </c>
      <c r="R1574" s="18" t="str">
        <f>IF($K1574="","",IFERROR(VLOOKUP(--SUBSTITUTE(SUBSTITUTE(TRIM($K1574),"-","")," ",""),마스터시트!$A$2:$H$1946,7,FALSE),""))</f>
        <v/>
      </c>
    </row>
    <row r="1575" spans="13:18" x14ac:dyDescent="0.3">
      <c r="M1575" s="18" t="str">
        <f>IF($K1575="","",IFERROR(VLOOKUP(--SUBSTITUTE(SUBSTITUTE(TRIM($K1575),"-","")," ",""),마스터시트!$A$2:$H$1946,2,FALSE),"미등록"))</f>
        <v/>
      </c>
      <c r="N1575" s="53" t="str">
        <f>IF($K1575="","",IFERROR(VLOOKUP(--SUBSTITUTE(SUBSTITUTE(TRIM($K1575),"-","")," ",""),마스터시트!$A$2:$H$1946,3,FALSE),"미등록"))</f>
        <v/>
      </c>
      <c r="O1575" s="18" t="str">
        <f>IF($K1575="","",IFERROR(VLOOKUP(--SUBSTITUTE(SUBSTITUTE(TRIM($K1575),"-","")," ",""),마스터시트!$A$2:$H$1946,4,FALSE),""))</f>
        <v/>
      </c>
      <c r="P1575" s="18" t="str">
        <f>IF($K1575="","",IFERROR(VLOOKUP(--SUBSTITUTE(SUBSTITUTE(TRIM($K1575),"-","")," ",""),마스터시트!$A$2:$H$1946,5,FALSE),""))</f>
        <v/>
      </c>
      <c r="Q1575" s="18" t="str">
        <f>IF($K1575="","",IFERROR(VLOOKUP(--SUBSTITUTE(SUBSTITUTE(TRIM($K1575),"-","")," ",""),마스터시트!$A$2:$H$1946,6,FALSE),""))</f>
        <v/>
      </c>
      <c r="R1575" s="18" t="str">
        <f>IF($K1575="","",IFERROR(VLOOKUP(--SUBSTITUTE(SUBSTITUTE(TRIM($K1575),"-","")," ",""),마스터시트!$A$2:$H$1946,7,FALSE),""))</f>
        <v/>
      </c>
    </row>
    <row r="1576" spans="13:18" x14ac:dyDescent="0.3">
      <c r="M1576" s="18" t="str">
        <f>IF($K1576="","",IFERROR(VLOOKUP(--SUBSTITUTE(SUBSTITUTE(TRIM($K1576),"-","")," ",""),마스터시트!$A$2:$H$1946,2,FALSE),"미등록"))</f>
        <v/>
      </c>
      <c r="N1576" s="53" t="str">
        <f>IF($K1576="","",IFERROR(VLOOKUP(--SUBSTITUTE(SUBSTITUTE(TRIM($K1576),"-","")," ",""),마스터시트!$A$2:$H$1946,3,FALSE),"미등록"))</f>
        <v/>
      </c>
      <c r="O1576" s="18" t="str">
        <f>IF($K1576="","",IFERROR(VLOOKUP(--SUBSTITUTE(SUBSTITUTE(TRIM($K1576),"-","")," ",""),마스터시트!$A$2:$H$1946,4,FALSE),""))</f>
        <v/>
      </c>
      <c r="P1576" s="18" t="str">
        <f>IF($K1576="","",IFERROR(VLOOKUP(--SUBSTITUTE(SUBSTITUTE(TRIM($K1576),"-","")," ",""),마스터시트!$A$2:$H$1946,5,FALSE),""))</f>
        <v/>
      </c>
      <c r="Q1576" s="18" t="str">
        <f>IF($K1576="","",IFERROR(VLOOKUP(--SUBSTITUTE(SUBSTITUTE(TRIM($K1576),"-","")," ",""),마스터시트!$A$2:$H$1946,6,FALSE),""))</f>
        <v/>
      </c>
      <c r="R1576" s="18" t="str">
        <f>IF($K1576="","",IFERROR(VLOOKUP(--SUBSTITUTE(SUBSTITUTE(TRIM($K1576),"-","")," ",""),마스터시트!$A$2:$H$1946,7,FALSE),""))</f>
        <v/>
      </c>
    </row>
    <row r="1577" spans="13:18" x14ac:dyDescent="0.3">
      <c r="M1577" s="18" t="str">
        <f>IF($K1577="","",IFERROR(VLOOKUP(--SUBSTITUTE(SUBSTITUTE(TRIM($K1577),"-","")," ",""),마스터시트!$A$2:$H$1946,2,FALSE),"미등록"))</f>
        <v/>
      </c>
      <c r="N1577" s="53" t="str">
        <f>IF($K1577="","",IFERROR(VLOOKUP(--SUBSTITUTE(SUBSTITUTE(TRIM($K1577),"-","")," ",""),마스터시트!$A$2:$H$1946,3,FALSE),"미등록"))</f>
        <v/>
      </c>
      <c r="O1577" s="18" t="str">
        <f>IF($K1577="","",IFERROR(VLOOKUP(--SUBSTITUTE(SUBSTITUTE(TRIM($K1577),"-","")," ",""),마스터시트!$A$2:$H$1946,4,FALSE),""))</f>
        <v/>
      </c>
      <c r="P1577" s="18" t="str">
        <f>IF($K1577="","",IFERROR(VLOOKUP(--SUBSTITUTE(SUBSTITUTE(TRIM($K1577),"-","")," ",""),마스터시트!$A$2:$H$1946,5,FALSE),""))</f>
        <v/>
      </c>
      <c r="Q1577" s="18" t="str">
        <f>IF($K1577="","",IFERROR(VLOOKUP(--SUBSTITUTE(SUBSTITUTE(TRIM($K1577),"-","")," ",""),마스터시트!$A$2:$H$1946,6,FALSE),""))</f>
        <v/>
      </c>
      <c r="R1577" s="18" t="str">
        <f>IF($K1577="","",IFERROR(VLOOKUP(--SUBSTITUTE(SUBSTITUTE(TRIM($K1577),"-","")," ",""),마스터시트!$A$2:$H$1946,7,FALSE),""))</f>
        <v/>
      </c>
    </row>
    <row r="1578" spans="13:18" x14ac:dyDescent="0.3">
      <c r="M1578" s="18" t="str">
        <f>IF($K1578="","",IFERROR(VLOOKUP(--SUBSTITUTE(SUBSTITUTE(TRIM($K1578),"-","")," ",""),마스터시트!$A$2:$H$1946,2,FALSE),"미등록"))</f>
        <v/>
      </c>
      <c r="N1578" s="53" t="str">
        <f>IF($K1578="","",IFERROR(VLOOKUP(--SUBSTITUTE(SUBSTITUTE(TRIM($K1578),"-","")," ",""),마스터시트!$A$2:$H$1946,3,FALSE),"미등록"))</f>
        <v/>
      </c>
      <c r="O1578" s="18" t="str">
        <f>IF($K1578="","",IFERROR(VLOOKUP(--SUBSTITUTE(SUBSTITUTE(TRIM($K1578),"-","")," ",""),마스터시트!$A$2:$H$1946,4,FALSE),""))</f>
        <v/>
      </c>
      <c r="P1578" s="18" t="str">
        <f>IF($K1578="","",IFERROR(VLOOKUP(--SUBSTITUTE(SUBSTITUTE(TRIM($K1578),"-","")," ",""),마스터시트!$A$2:$H$1946,5,FALSE),""))</f>
        <v/>
      </c>
      <c r="Q1578" s="18" t="str">
        <f>IF($K1578="","",IFERROR(VLOOKUP(--SUBSTITUTE(SUBSTITUTE(TRIM($K1578),"-","")," ",""),마스터시트!$A$2:$H$1946,6,FALSE),""))</f>
        <v/>
      </c>
      <c r="R1578" s="18" t="str">
        <f>IF($K1578="","",IFERROR(VLOOKUP(--SUBSTITUTE(SUBSTITUTE(TRIM($K1578),"-","")," ",""),마스터시트!$A$2:$H$1946,7,FALSE),""))</f>
        <v/>
      </c>
    </row>
    <row r="1579" spans="13:18" x14ac:dyDescent="0.3">
      <c r="M1579" s="18" t="str">
        <f>IF($K1579="","",IFERROR(VLOOKUP(--SUBSTITUTE(SUBSTITUTE(TRIM($K1579),"-","")," ",""),마스터시트!$A$2:$H$1946,2,FALSE),"미등록"))</f>
        <v/>
      </c>
      <c r="N1579" s="53" t="str">
        <f>IF($K1579="","",IFERROR(VLOOKUP(--SUBSTITUTE(SUBSTITUTE(TRIM($K1579),"-","")," ",""),마스터시트!$A$2:$H$1946,3,FALSE),"미등록"))</f>
        <v/>
      </c>
      <c r="O1579" s="18" t="str">
        <f>IF($K1579="","",IFERROR(VLOOKUP(--SUBSTITUTE(SUBSTITUTE(TRIM($K1579),"-","")," ",""),마스터시트!$A$2:$H$1946,4,FALSE),""))</f>
        <v/>
      </c>
      <c r="P1579" s="18" t="str">
        <f>IF($K1579="","",IFERROR(VLOOKUP(--SUBSTITUTE(SUBSTITUTE(TRIM($K1579),"-","")," ",""),마스터시트!$A$2:$H$1946,5,FALSE),""))</f>
        <v/>
      </c>
      <c r="Q1579" s="18" t="str">
        <f>IF($K1579="","",IFERROR(VLOOKUP(--SUBSTITUTE(SUBSTITUTE(TRIM($K1579),"-","")," ",""),마스터시트!$A$2:$H$1946,6,FALSE),""))</f>
        <v/>
      </c>
      <c r="R1579" s="18" t="str">
        <f>IF($K1579="","",IFERROR(VLOOKUP(--SUBSTITUTE(SUBSTITUTE(TRIM($K1579),"-","")," ",""),마스터시트!$A$2:$H$1946,7,FALSE),""))</f>
        <v/>
      </c>
    </row>
    <row r="1580" spans="13:18" x14ac:dyDescent="0.3">
      <c r="M1580" s="18" t="str">
        <f>IF($K1580="","",IFERROR(VLOOKUP(--SUBSTITUTE(SUBSTITUTE(TRIM($K1580),"-","")," ",""),마스터시트!$A$2:$H$1946,2,FALSE),"미등록"))</f>
        <v/>
      </c>
      <c r="N1580" s="53" t="str">
        <f>IF($K1580="","",IFERROR(VLOOKUP(--SUBSTITUTE(SUBSTITUTE(TRIM($K1580),"-","")," ",""),마스터시트!$A$2:$H$1946,3,FALSE),"미등록"))</f>
        <v/>
      </c>
      <c r="O1580" s="18" t="str">
        <f>IF($K1580="","",IFERROR(VLOOKUP(--SUBSTITUTE(SUBSTITUTE(TRIM($K1580),"-","")," ",""),마스터시트!$A$2:$H$1946,4,FALSE),""))</f>
        <v/>
      </c>
      <c r="P1580" s="18" t="str">
        <f>IF($K1580="","",IFERROR(VLOOKUP(--SUBSTITUTE(SUBSTITUTE(TRIM($K1580),"-","")," ",""),마스터시트!$A$2:$H$1946,5,FALSE),""))</f>
        <v/>
      </c>
      <c r="Q1580" s="18" t="str">
        <f>IF($K1580="","",IFERROR(VLOOKUP(--SUBSTITUTE(SUBSTITUTE(TRIM($K1580),"-","")," ",""),마스터시트!$A$2:$H$1946,6,FALSE),""))</f>
        <v/>
      </c>
      <c r="R1580" s="18" t="str">
        <f>IF($K1580="","",IFERROR(VLOOKUP(--SUBSTITUTE(SUBSTITUTE(TRIM($K1580),"-","")," ",""),마스터시트!$A$2:$H$1946,7,FALSE),""))</f>
        <v/>
      </c>
    </row>
    <row r="1581" spans="13:18" x14ac:dyDescent="0.3">
      <c r="M1581" s="18" t="str">
        <f>IF($K1581="","",IFERROR(VLOOKUP(--SUBSTITUTE(SUBSTITUTE(TRIM($K1581),"-","")," ",""),마스터시트!$A$2:$H$1946,2,FALSE),"미등록"))</f>
        <v/>
      </c>
      <c r="N1581" s="53" t="str">
        <f>IF($K1581="","",IFERROR(VLOOKUP(--SUBSTITUTE(SUBSTITUTE(TRIM($K1581),"-","")," ",""),마스터시트!$A$2:$H$1946,3,FALSE),"미등록"))</f>
        <v/>
      </c>
      <c r="O1581" s="18" t="str">
        <f>IF($K1581="","",IFERROR(VLOOKUP(--SUBSTITUTE(SUBSTITUTE(TRIM($K1581),"-","")," ",""),마스터시트!$A$2:$H$1946,4,FALSE),""))</f>
        <v/>
      </c>
      <c r="P1581" s="18" t="str">
        <f>IF($K1581="","",IFERROR(VLOOKUP(--SUBSTITUTE(SUBSTITUTE(TRIM($K1581),"-","")," ",""),마스터시트!$A$2:$H$1946,5,FALSE),""))</f>
        <v/>
      </c>
      <c r="Q1581" s="18" t="str">
        <f>IF($K1581="","",IFERROR(VLOOKUP(--SUBSTITUTE(SUBSTITUTE(TRIM($K1581),"-","")," ",""),마스터시트!$A$2:$H$1946,6,FALSE),""))</f>
        <v/>
      </c>
      <c r="R1581" s="18" t="str">
        <f>IF($K1581="","",IFERROR(VLOOKUP(--SUBSTITUTE(SUBSTITUTE(TRIM($K1581),"-","")," ",""),마스터시트!$A$2:$H$1946,7,FALSE),""))</f>
        <v/>
      </c>
    </row>
    <row r="1582" spans="13:18" x14ac:dyDescent="0.3">
      <c r="M1582" s="18" t="str">
        <f>IF($K1582="","",IFERROR(VLOOKUP(--SUBSTITUTE(SUBSTITUTE(TRIM($K1582),"-","")," ",""),마스터시트!$A$2:$H$1946,2,FALSE),"미등록"))</f>
        <v/>
      </c>
      <c r="N1582" s="53" t="str">
        <f>IF($K1582="","",IFERROR(VLOOKUP(--SUBSTITUTE(SUBSTITUTE(TRIM($K1582),"-","")," ",""),마스터시트!$A$2:$H$1946,3,FALSE),"미등록"))</f>
        <v/>
      </c>
      <c r="O1582" s="18" t="str">
        <f>IF($K1582="","",IFERROR(VLOOKUP(--SUBSTITUTE(SUBSTITUTE(TRIM($K1582),"-","")," ",""),마스터시트!$A$2:$H$1946,4,FALSE),""))</f>
        <v/>
      </c>
      <c r="P1582" s="18" t="str">
        <f>IF($K1582="","",IFERROR(VLOOKUP(--SUBSTITUTE(SUBSTITUTE(TRIM($K1582),"-","")," ",""),마스터시트!$A$2:$H$1946,5,FALSE),""))</f>
        <v/>
      </c>
      <c r="Q1582" s="18" t="str">
        <f>IF($K1582="","",IFERROR(VLOOKUP(--SUBSTITUTE(SUBSTITUTE(TRIM($K1582),"-","")," ",""),마스터시트!$A$2:$H$1946,6,FALSE),""))</f>
        <v/>
      </c>
      <c r="R1582" s="18" t="str">
        <f>IF($K1582="","",IFERROR(VLOOKUP(--SUBSTITUTE(SUBSTITUTE(TRIM($K1582),"-","")," ",""),마스터시트!$A$2:$H$1946,7,FALSE),""))</f>
        <v/>
      </c>
    </row>
    <row r="1583" spans="13:18" x14ac:dyDescent="0.3">
      <c r="M1583" s="18" t="str">
        <f>IF($K1583="","",IFERROR(VLOOKUP(--SUBSTITUTE(SUBSTITUTE(TRIM($K1583),"-","")," ",""),마스터시트!$A$2:$H$1946,2,FALSE),"미등록"))</f>
        <v/>
      </c>
      <c r="N1583" s="53" t="str">
        <f>IF($K1583="","",IFERROR(VLOOKUP(--SUBSTITUTE(SUBSTITUTE(TRIM($K1583),"-","")," ",""),마스터시트!$A$2:$H$1946,3,FALSE),"미등록"))</f>
        <v/>
      </c>
      <c r="O1583" s="18" t="str">
        <f>IF($K1583="","",IFERROR(VLOOKUP(--SUBSTITUTE(SUBSTITUTE(TRIM($K1583),"-","")," ",""),마스터시트!$A$2:$H$1946,4,FALSE),""))</f>
        <v/>
      </c>
      <c r="P1583" s="18" t="str">
        <f>IF($K1583="","",IFERROR(VLOOKUP(--SUBSTITUTE(SUBSTITUTE(TRIM($K1583),"-","")," ",""),마스터시트!$A$2:$H$1946,5,FALSE),""))</f>
        <v/>
      </c>
      <c r="Q1583" s="18" t="str">
        <f>IF($K1583="","",IFERROR(VLOOKUP(--SUBSTITUTE(SUBSTITUTE(TRIM($K1583),"-","")," ",""),마스터시트!$A$2:$H$1946,6,FALSE),""))</f>
        <v/>
      </c>
      <c r="R1583" s="18" t="str">
        <f>IF($K1583="","",IFERROR(VLOOKUP(--SUBSTITUTE(SUBSTITUTE(TRIM($K1583),"-","")," ",""),마스터시트!$A$2:$H$1946,7,FALSE),""))</f>
        <v/>
      </c>
    </row>
    <row r="1584" spans="13:18" x14ac:dyDescent="0.3">
      <c r="M1584" s="18" t="str">
        <f>IF($K1584="","",IFERROR(VLOOKUP(--SUBSTITUTE(SUBSTITUTE(TRIM($K1584),"-","")," ",""),마스터시트!$A$2:$H$1946,2,FALSE),"미등록"))</f>
        <v/>
      </c>
      <c r="N1584" s="53" t="str">
        <f>IF($K1584="","",IFERROR(VLOOKUP(--SUBSTITUTE(SUBSTITUTE(TRIM($K1584),"-","")," ",""),마스터시트!$A$2:$H$1946,3,FALSE),"미등록"))</f>
        <v/>
      </c>
      <c r="O1584" s="18" t="str">
        <f>IF($K1584="","",IFERROR(VLOOKUP(--SUBSTITUTE(SUBSTITUTE(TRIM($K1584),"-","")," ",""),마스터시트!$A$2:$H$1946,4,FALSE),""))</f>
        <v/>
      </c>
      <c r="P1584" s="18" t="str">
        <f>IF($K1584="","",IFERROR(VLOOKUP(--SUBSTITUTE(SUBSTITUTE(TRIM($K1584),"-","")," ",""),마스터시트!$A$2:$H$1946,5,FALSE),""))</f>
        <v/>
      </c>
      <c r="Q1584" s="18" t="str">
        <f>IF($K1584="","",IFERROR(VLOOKUP(--SUBSTITUTE(SUBSTITUTE(TRIM($K1584),"-","")," ",""),마스터시트!$A$2:$H$1946,6,FALSE),""))</f>
        <v/>
      </c>
      <c r="R1584" s="18" t="str">
        <f>IF($K1584="","",IFERROR(VLOOKUP(--SUBSTITUTE(SUBSTITUTE(TRIM($K1584),"-","")," ",""),마스터시트!$A$2:$H$1946,7,FALSE),""))</f>
        <v/>
      </c>
    </row>
    <row r="1585" spans="13:18" x14ac:dyDescent="0.3">
      <c r="M1585" s="18" t="str">
        <f>IF($K1585="","",IFERROR(VLOOKUP(--SUBSTITUTE(SUBSTITUTE(TRIM($K1585),"-","")," ",""),마스터시트!$A$2:$H$1946,2,FALSE),"미등록"))</f>
        <v/>
      </c>
      <c r="N1585" s="53" t="str">
        <f>IF($K1585="","",IFERROR(VLOOKUP(--SUBSTITUTE(SUBSTITUTE(TRIM($K1585),"-","")," ",""),마스터시트!$A$2:$H$1946,3,FALSE),"미등록"))</f>
        <v/>
      </c>
      <c r="O1585" s="18" t="str">
        <f>IF($K1585="","",IFERROR(VLOOKUP(--SUBSTITUTE(SUBSTITUTE(TRIM($K1585),"-","")," ",""),마스터시트!$A$2:$H$1946,4,FALSE),""))</f>
        <v/>
      </c>
      <c r="P1585" s="18" t="str">
        <f>IF($K1585="","",IFERROR(VLOOKUP(--SUBSTITUTE(SUBSTITUTE(TRIM($K1585),"-","")," ",""),마스터시트!$A$2:$H$1946,5,FALSE),""))</f>
        <v/>
      </c>
      <c r="Q1585" s="18" t="str">
        <f>IF($K1585="","",IFERROR(VLOOKUP(--SUBSTITUTE(SUBSTITUTE(TRIM($K1585),"-","")," ",""),마스터시트!$A$2:$H$1946,6,FALSE),""))</f>
        <v/>
      </c>
      <c r="R1585" s="18" t="str">
        <f>IF($K1585="","",IFERROR(VLOOKUP(--SUBSTITUTE(SUBSTITUTE(TRIM($K1585),"-","")," ",""),마스터시트!$A$2:$H$1946,7,FALSE),""))</f>
        <v/>
      </c>
    </row>
    <row r="1586" spans="13:18" x14ac:dyDescent="0.3">
      <c r="M1586" s="18" t="str">
        <f>IF($K1586="","",IFERROR(VLOOKUP(--SUBSTITUTE(SUBSTITUTE(TRIM($K1586),"-","")," ",""),마스터시트!$A$2:$H$1946,2,FALSE),"미등록"))</f>
        <v/>
      </c>
      <c r="N1586" s="53" t="str">
        <f>IF($K1586="","",IFERROR(VLOOKUP(--SUBSTITUTE(SUBSTITUTE(TRIM($K1586),"-","")," ",""),마스터시트!$A$2:$H$1946,3,FALSE),"미등록"))</f>
        <v/>
      </c>
      <c r="O1586" s="18" t="str">
        <f>IF($K1586="","",IFERROR(VLOOKUP(--SUBSTITUTE(SUBSTITUTE(TRIM($K1586),"-","")," ",""),마스터시트!$A$2:$H$1946,4,FALSE),""))</f>
        <v/>
      </c>
      <c r="P1586" s="18" t="str">
        <f>IF($K1586="","",IFERROR(VLOOKUP(--SUBSTITUTE(SUBSTITUTE(TRIM($K1586),"-","")," ",""),마스터시트!$A$2:$H$1946,5,FALSE),""))</f>
        <v/>
      </c>
      <c r="Q1586" s="18" t="str">
        <f>IF($K1586="","",IFERROR(VLOOKUP(--SUBSTITUTE(SUBSTITUTE(TRIM($K1586),"-","")," ",""),마스터시트!$A$2:$H$1946,6,FALSE),""))</f>
        <v/>
      </c>
      <c r="R1586" s="18" t="str">
        <f>IF($K1586="","",IFERROR(VLOOKUP(--SUBSTITUTE(SUBSTITUTE(TRIM($K1586),"-","")," ",""),마스터시트!$A$2:$H$1946,7,FALSE),""))</f>
        <v/>
      </c>
    </row>
    <row r="1587" spans="13:18" x14ac:dyDescent="0.3">
      <c r="M1587" s="18" t="str">
        <f>IF($K1587="","",IFERROR(VLOOKUP(--SUBSTITUTE(SUBSTITUTE(TRIM($K1587),"-","")," ",""),마스터시트!$A$2:$H$1946,2,FALSE),"미등록"))</f>
        <v/>
      </c>
      <c r="N1587" s="53" t="str">
        <f>IF($K1587="","",IFERROR(VLOOKUP(--SUBSTITUTE(SUBSTITUTE(TRIM($K1587),"-","")," ",""),마스터시트!$A$2:$H$1946,3,FALSE),"미등록"))</f>
        <v/>
      </c>
      <c r="O1587" s="18" t="str">
        <f>IF($K1587="","",IFERROR(VLOOKUP(--SUBSTITUTE(SUBSTITUTE(TRIM($K1587),"-","")," ",""),마스터시트!$A$2:$H$1946,4,FALSE),""))</f>
        <v/>
      </c>
      <c r="P1587" s="18" t="str">
        <f>IF($K1587="","",IFERROR(VLOOKUP(--SUBSTITUTE(SUBSTITUTE(TRIM($K1587),"-","")," ",""),마스터시트!$A$2:$H$1946,5,FALSE),""))</f>
        <v/>
      </c>
      <c r="Q1587" s="18" t="str">
        <f>IF($K1587="","",IFERROR(VLOOKUP(--SUBSTITUTE(SUBSTITUTE(TRIM($K1587),"-","")," ",""),마스터시트!$A$2:$H$1946,6,FALSE),""))</f>
        <v/>
      </c>
      <c r="R1587" s="18" t="str">
        <f>IF($K1587="","",IFERROR(VLOOKUP(--SUBSTITUTE(SUBSTITUTE(TRIM($K1587),"-","")," ",""),마스터시트!$A$2:$H$1946,7,FALSE),""))</f>
        <v/>
      </c>
    </row>
    <row r="1588" spans="13:18" x14ac:dyDescent="0.3">
      <c r="M1588" s="18" t="str">
        <f>IF($K1588="","",IFERROR(VLOOKUP(--SUBSTITUTE(SUBSTITUTE(TRIM($K1588),"-","")," ",""),마스터시트!$A$2:$H$1946,2,FALSE),"미등록"))</f>
        <v/>
      </c>
      <c r="N1588" s="53" t="str">
        <f>IF($K1588="","",IFERROR(VLOOKUP(--SUBSTITUTE(SUBSTITUTE(TRIM($K1588),"-","")," ",""),마스터시트!$A$2:$H$1946,3,FALSE),"미등록"))</f>
        <v/>
      </c>
      <c r="O1588" s="18" t="str">
        <f>IF($K1588="","",IFERROR(VLOOKUP(--SUBSTITUTE(SUBSTITUTE(TRIM($K1588),"-","")," ",""),마스터시트!$A$2:$H$1946,4,FALSE),""))</f>
        <v/>
      </c>
      <c r="P1588" s="18" t="str">
        <f>IF($K1588="","",IFERROR(VLOOKUP(--SUBSTITUTE(SUBSTITUTE(TRIM($K1588),"-","")," ",""),마스터시트!$A$2:$H$1946,5,FALSE),""))</f>
        <v/>
      </c>
      <c r="Q1588" s="18" t="str">
        <f>IF($K1588="","",IFERROR(VLOOKUP(--SUBSTITUTE(SUBSTITUTE(TRIM($K1588),"-","")," ",""),마스터시트!$A$2:$H$1946,6,FALSE),""))</f>
        <v/>
      </c>
      <c r="R1588" s="18" t="str">
        <f>IF($K1588="","",IFERROR(VLOOKUP(--SUBSTITUTE(SUBSTITUTE(TRIM($K1588),"-","")," ",""),마스터시트!$A$2:$H$1946,7,FALSE),""))</f>
        <v/>
      </c>
    </row>
    <row r="1589" spans="13:18" x14ac:dyDescent="0.3">
      <c r="M1589" s="18" t="str">
        <f>IF($K1589="","",IFERROR(VLOOKUP(--SUBSTITUTE(SUBSTITUTE(TRIM($K1589),"-","")," ",""),마스터시트!$A$2:$H$1946,2,FALSE),"미등록"))</f>
        <v/>
      </c>
      <c r="N1589" s="53" t="str">
        <f>IF($K1589="","",IFERROR(VLOOKUP(--SUBSTITUTE(SUBSTITUTE(TRIM($K1589),"-","")," ",""),마스터시트!$A$2:$H$1946,3,FALSE),"미등록"))</f>
        <v/>
      </c>
      <c r="O1589" s="18" t="str">
        <f>IF($K1589="","",IFERROR(VLOOKUP(--SUBSTITUTE(SUBSTITUTE(TRIM($K1589),"-","")," ",""),마스터시트!$A$2:$H$1946,4,FALSE),""))</f>
        <v/>
      </c>
      <c r="P1589" s="18" t="str">
        <f>IF($K1589="","",IFERROR(VLOOKUP(--SUBSTITUTE(SUBSTITUTE(TRIM($K1589),"-","")," ",""),마스터시트!$A$2:$H$1946,5,FALSE),""))</f>
        <v/>
      </c>
      <c r="Q1589" s="18" t="str">
        <f>IF($K1589="","",IFERROR(VLOOKUP(--SUBSTITUTE(SUBSTITUTE(TRIM($K1589),"-","")," ",""),마스터시트!$A$2:$H$1946,6,FALSE),""))</f>
        <v/>
      </c>
      <c r="R1589" s="18" t="str">
        <f>IF($K1589="","",IFERROR(VLOOKUP(--SUBSTITUTE(SUBSTITUTE(TRIM($K1589),"-","")," ",""),마스터시트!$A$2:$H$1946,7,FALSE),""))</f>
        <v/>
      </c>
    </row>
    <row r="1590" spans="13:18" x14ac:dyDescent="0.3">
      <c r="M1590" s="18" t="str">
        <f>IF($K1590="","",IFERROR(VLOOKUP(--SUBSTITUTE(SUBSTITUTE(TRIM($K1590),"-","")," ",""),마스터시트!$A$2:$H$1946,2,FALSE),"미등록"))</f>
        <v/>
      </c>
      <c r="N1590" s="53" t="str">
        <f>IF($K1590="","",IFERROR(VLOOKUP(--SUBSTITUTE(SUBSTITUTE(TRIM($K1590),"-","")," ",""),마스터시트!$A$2:$H$1946,3,FALSE),"미등록"))</f>
        <v/>
      </c>
      <c r="O1590" s="18" t="str">
        <f>IF($K1590="","",IFERROR(VLOOKUP(--SUBSTITUTE(SUBSTITUTE(TRIM($K1590),"-","")," ",""),마스터시트!$A$2:$H$1946,4,FALSE),""))</f>
        <v/>
      </c>
      <c r="P1590" s="18" t="str">
        <f>IF($K1590="","",IFERROR(VLOOKUP(--SUBSTITUTE(SUBSTITUTE(TRIM($K1590),"-","")," ",""),마스터시트!$A$2:$H$1946,5,FALSE),""))</f>
        <v/>
      </c>
      <c r="Q1590" s="18" t="str">
        <f>IF($K1590="","",IFERROR(VLOOKUP(--SUBSTITUTE(SUBSTITUTE(TRIM($K1590),"-","")," ",""),마스터시트!$A$2:$H$1946,6,FALSE),""))</f>
        <v/>
      </c>
      <c r="R1590" s="18" t="str">
        <f>IF($K1590="","",IFERROR(VLOOKUP(--SUBSTITUTE(SUBSTITUTE(TRIM($K1590),"-","")," ",""),마스터시트!$A$2:$H$1946,7,FALSE),""))</f>
        <v/>
      </c>
    </row>
    <row r="1591" spans="13:18" x14ac:dyDescent="0.3">
      <c r="M1591" s="18" t="str">
        <f>IF($K1591="","",IFERROR(VLOOKUP(--SUBSTITUTE(SUBSTITUTE(TRIM($K1591),"-","")," ",""),마스터시트!$A$2:$H$1946,2,FALSE),"미등록"))</f>
        <v/>
      </c>
      <c r="N1591" s="53" t="str">
        <f>IF($K1591="","",IFERROR(VLOOKUP(--SUBSTITUTE(SUBSTITUTE(TRIM($K1591),"-","")," ",""),마스터시트!$A$2:$H$1946,3,FALSE),"미등록"))</f>
        <v/>
      </c>
      <c r="O1591" s="18" t="str">
        <f>IF($K1591="","",IFERROR(VLOOKUP(--SUBSTITUTE(SUBSTITUTE(TRIM($K1591),"-","")," ",""),마스터시트!$A$2:$H$1946,4,FALSE),""))</f>
        <v/>
      </c>
      <c r="P1591" s="18" t="str">
        <f>IF($K1591="","",IFERROR(VLOOKUP(--SUBSTITUTE(SUBSTITUTE(TRIM($K1591),"-","")," ",""),마스터시트!$A$2:$H$1946,5,FALSE),""))</f>
        <v/>
      </c>
      <c r="Q1591" s="18" t="str">
        <f>IF($K1591="","",IFERROR(VLOOKUP(--SUBSTITUTE(SUBSTITUTE(TRIM($K1591),"-","")," ",""),마스터시트!$A$2:$H$1946,6,FALSE),""))</f>
        <v/>
      </c>
      <c r="R1591" s="18" t="str">
        <f>IF($K1591="","",IFERROR(VLOOKUP(--SUBSTITUTE(SUBSTITUTE(TRIM($K1591),"-","")," ",""),마스터시트!$A$2:$H$1946,7,FALSE),""))</f>
        <v/>
      </c>
    </row>
    <row r="1592" spans="13:18" x14ac:dyDescent="0.3">
      <c r="M1592" s="18" t="str">
        <f>IF($K1592="","",IFERROR(VLOOKUP(--SUBSTITUTE(SUBSTITUTE(TRIM($K1592),"-","")," ",""),마스터시트!$A$2:$H$1946,2,FALSE),"미등록"))</f>
        <v/>
      </c>
      <c r="N1592" s="53" t="str">
        <f>IF($K1592="","",IFERROR(VLOOKUP(--SUBSTITUTE(SUBSTITUTE(TRIM($K1592),"-","")," ",""),마스터시트!$A$2:$H$1946,3,FALSE),"미등록"))</f>
        <v/>
      </c>
      <c r="O1592" s="18" t="str">
        <f>IF($K1592="","",IFERROR(VLOOKUP(--SUBSTITUTE(SUBSTITUTE(TRIM($K1592),"-","")," ",""),마스터시트!$A$2:$H$1946,4,FALSE),""))</f>
        <v/>
      </c>
      <c r="P1592" s="18" t="str">
        <f>IF($K1592="","",IFERROR(VLOOKUP(--SUBSTITUTE(SUBSTITUTE(TRIM($K1592),"-","")," ",""),마스터시트!$A$2:$H$1946,5,FALSE),""))</f>
        <v/>
      </c>
      <c r="Q1592" s="18" t="str">
        <f>IF($K1592="","",IFERROR(VLOOKUP(--SUBSTITUTE(SUBSTITUTE(TRIM($K1592),"-","")," ",""),마스터시트!$A$2:$H$1946,6,FALSE),""))</f>
        <v/>
      </c>
      <c r="R1592" s="18" t="str">
        <f>IF($K1592="","",IFERROR(VLOOKUP(--SUBSTITUTE(SUBSTITUTE(TRIM($K1592),"-","")," ",""),마스터시트!$A$2:$H$1946,7,FALSE),""))</f>
        <v/>
      </c>
    </row>
    <row r="1593" spans="13:18" x14ac:dyDescent="0.3">
      <c r="M1593" s="18" t="str">
        <f>IF($K1593="","",IFERROR(VLOOKUP(--SUBSTITUTE(SUBSTITUTE(TRIM($K1593),"-","")," ",""),마스터시트!$A$2:$H$1946,2,FALSE),"미등록"))</f>
        <v/>
      </c>
      <c r="N1593" s="53" t="str">
        <f>IF($K1593="","",IFERROR(VLOOKUP(--SUBSTITUTE(SUBSTITUTE(TRIM($K1593),"-","")," ",""),마스터시트!$A$2:$H$1946,3,FALSE),"미등록"))</f>
        <v/>
      </c>
      <c r="O1593" s="18" t="str">
        <f>IF($K1593="","",IFERROR(VLOOKUP(--SUBSTITUTE(SUBSTITUTE(TRIM($K1593),"-","")," ",""),마스터시트!$A$2:$H$1946,4,FALSE),""))</f>
        <v/>
      </c>
      <c r="P1593" s="18" t="str">
        <f>IF($K1593="","",IFERROR(VLOOKUP(--SUBSTITUTE(SUBSTITUTE(TRIM($K1593),"-","")," ",""),마스터시트!$A$2:$H$1946,5,FALSE),""))</f>
        <v/>
      </c>
      <c r="Q1593" s="18" t="str">
        <f>IF($K1593="","",IFERROR(VLOOKUP(--SUBSTITUTE(SUBSTITUTE(TRIM($K1593),"-","")," ",""),마스터시트!$A$2:$H$1946,6,FALSE),""))</f>
        <v/>
      </c>
      <c r="R1593" s="18" t="str">
        <f>IF($K1593="","",IFERROR(VLOOKUP(--SUBSTITUTE(SUBSTITUTE(TRIM($K1593),"-","")," ",""),마스터시트!$A$2:$H$1946,7,FALSE),""))</f>
        <v/>
      </c>
    </row>
    <row r="1594" spans="13:18" x14ac:dyDescent="0.3">
      <c r="M1594" s="18" t="str">
        <f>IF($K1594="","",IFERROR(VLOOKUP(--SUBSTITUTE(SUBSTITUTE(TRIM($K1594),"-","")," ",""),마스터시트!$A$2:$H$1946,2,FALSE),"미등록"))</f>
        <v/>
      </c>
      <c r="N1594" s="53" t="str">
        <f>IF($K1594="","",IFERROR(VLOOKUP(--SUBSTITUTE(SUBSTITUTE(TRIM($K1594),"-","")," ",""),마스터시트!$A$2:$H$1946,3,FALSE),"미등록"))</f>
        <v/>
      </c>
      <c r="O1594" s="18" t="str">
        <f>IF($K1594="","",IFERROR(VLOOKUP(--SUBSTITUTE(SUBSTITUTE(TRIM($K1594),"-","")," ",""),마스터시트!$A$2:$H$1946,4,FALSE),""))</f>
        <v/>
      </c>
      <c r="P1594" s="18" t="str">
        <f>IF($K1594="","",IFERROR(VLOOKUP(--SUBSTITUTE(SUBSTITUTE(TRIM($K1594),"-","")," ",""),마스터시트!$A$2:$H$1946,5,FALSE),""))</f>
        <v/>
      </c>
      <c r="Q1594" s="18" t="str">
        <f>IF($K1594="","",IFERROR(VLOOKUP(--SUBSTITUTE(SUBSTITUTE(TRIM($K1594),"-","")," ",""),마스터시트!$A$2:$H$1946,6,FALSE),""))</f>
        <v/>
      </c>
      <c r="R1594" s="18" t="str">
        <f>IF($K1594="","",IFERROR(VLOOKUP(--SUBSTITUTE(SUBSTITUTE(TRIM($K1594),"-","")," ",""),마스터시트!$A$2:$H$1946,7,FALSE),""))</f>
        <v/>
      </c>
    </row>
    <row r="1595" spans="13:18" x14ac:dyDescent="0.3">
      <c r="M1595" s="18" t="str">
        <f>IF($K1595="","",IFERROR(VLOOKUP(--SUBSTITUTE(SUBSTITUTE(TRIM($K1595),"-","")," ",""),마스터시트!$A$2:$H$1946,2,FALSE),"미등록"))</f>
        <v/>
      </c>
      <c r="N1595" s="53" t="str">
        <f>IF($K1595="","",IFERROR(VLOOKUP(--SUBSTITUTE(SUBSTITUTE(TRIM($K1595),"-","")," ",""),마스터시트!$A$2:$H$1946,3,FALSE),"미등록"))</f>
        <v/>
      </c>
      <c r="O1595" s="18" t="str">
        <f>IF($K1595="","",IFERROR(VLOOKUP(--SUBSTITUTE(SUBSTITUTE(TRIM($K1595),"-","")," ",""),마스터시트!$A$2:$H$1946,4,FALSE),""))</f>
        <v/>
      </c>
      <c r="P1595" s="18" t="str">
        <f>IF($K1595="","",IFERROR(VLOOKUP(--SUBSTITUTE(SUBSTITUTE(TRIM($K1595),"-","")," ",""),마스터시트!$A$2:$H$1946,5,FALSE),""))</f>
        <v/>
      </c>
      <c r="Q1595" s="18" t="str">
        <f>IF($K1595="","",IFERROR(VLOOKUP(--SUBSTITUTE(SUBSTITUTE(TRIM($K1595),"-","")," ",""),마스터시트!$A$2:$H$1946,6,FALSE),""))</f>
        <v/>
      </c>
      <c r="R1595" s="18" t="str">
        <f>IF($K1595="","",IFERROR(VLOOKUP(--SUBSTITUTE(SUBSTITUTE(TRIM($K1595),"-","")," ",""),마스터시트!$A$2:$H$1946,7,FALSE),""))</f>
        <v/>
      </c>
    </row>
    <row r="1596" spans="13:18" x14ac:dyDescent="0.3">
      <c r="M1596" s="18" t="str">
        <f>IF($K1596="","",IFERROR(VLOOKUP(--SUBSTITUTE(SUBSTITUTE(TRIM($K1596),"-","")," ",""),마스터시트!$A$2:$H$1946,2,FALSE),"미등록"))</f>
        <v/>
      </c>
      <c r="N1596" s="53" t="str">
        <f>IF($K1596="","",IFERROR(VLOOKUP(--SUBSTITUTE(SUBSTITUTE(TRIM($K1596),"-","")," ",""),마스터시트!$A$2:$H$1946,3,FALSE),"미등록"))</f>
        <v/>
      </c>
      <c r="O1596" s="18" t="str">
        <f>IF($K1596="","",IFERROR(VLOOKUP(--SUBSTITUTE(SUBSTITUTE(TRIM($K1596),"-","")," ",""),마스터시트!$A$2:$H$1946,4,FALSE),""))</f>
        <v/>
      </c>
      <c r="P1596" s="18" t="str">
        <f>IF($K1596="","",IFERROR(VLOOKUP(--SUBSTITUTE(SUBSTITUTE(TRIM($K1596),"-","")," ",""),마스터시트!$A$2:$H$1946,5,FALSE),""))</f>
        <v/>
      </c>
      <c r="Q1596" s="18" t="str">
        <f>IF($K1596="","",IFERROR(VLOOKUP(--SUBSTITUTE(SUBSTITUTE(TRIM($K1596),"-","")," ",""),마스터시트!$A$2:$H$1946,6,FALSE),""))</f>
        <v/>
      </c>
      <c r="R1596" s="18" t="str">
        <f>IF($K1596="","",IFERROR(VLOOKUP(--SUBSTITUTE(SUBSTITUTE(TRIM($K1596),"-","")," ",""),마스터시트!$A$2:$H$1946,7,FALSE),""))</f>
        <v/>
      </c>
    </row>
    <row r="1597" spans="13:18" x14ac:dyDescent="0.3">
      <c r="M1597" s="18" t="str">
        <f>IF($K1597="","",IFERROR(VLOOKUP(--SUBSTITUTE(SUBSTITUTE(TRIM($K1597),"-","")," ",""),마스터시트!$A$2:$H$1946,2,FALSE),"미등록"))</f>
        <v/>
      </c>
      <c r="N1597" s="53" t="str">
        <f>IF($K1597="","",IFERROR(VLOOKUP(--SUBSTITUTE(SUBSTITUTE(TRIM($K1597),"-","")," ",""),마스터시트!$A$2:$H$1946,3,FALSE),"미등록"))</f>
        <v/>
      </c>
      <c r="O1597" s="18" t="str">
        <f>IF($K1597="","",IFERROR(VLOOKUP(--SUBSTITUTE(SUBSTITUTE(TRIM($K1597),"-","")," ",""),마스터시트!$A$2:$H$1946,4,FALSE),""))</f>
        <v/>
      </c>
      <c r="P1597" s="18" t="str">
        <f>IF($K1597="","",IFERROR(VLOOKUP(--SUBSTITUTE(SUBSTITUTE(TRIM($K1597),"-","")," ",""),마스터시트!$A$2:$H$1946,5,FALSE),""))</f>
        <v/>
      </c>
      <c r="Q1597" s="18" t="str">
        <f>IF($K1597="","",IFERROR(VLOOKUP(--SUBSTITUTE(SUBSTITUTE(TRIM($K1597),"-","")," ",""),마스터시트!$A$2:$H$1946,6,FALSE),""))</f>
        <v/>
      </c>
      <c r="R1597" s="18" t="str">
        <f>IF($K1597="","",IFERROR(VLOOKUP(--SUBSTITUTE(SUBSTITUTE(TRIM($K1597),"-","")," ",""),마스터시트!$A$2:$H$1946,7,FALSE),""))</f>
        <v/>
      </c>
    </row>
    <row r="1598" spans="13:18" x14ac:dyDescent="0.3">
      <c r="M1598" s="18" t="str">
        <f>IF($K1598="","",IFERROR(VLOOKUP(--SUBSTITUTE(SUBSTITUTE(TRIM($K1598),"-","")," ",""),마스터시트!$A$2:$H$1946,2,FALSE),"미등록"))</f>
        <v/>
      </c>
      <c r="N1598" s="53" t="str">
        <f>IF($K1598="","",IFERROR(VLOOKUP(--SUBSTITUTE(SUBSTITUTE(TRIM($K1598),"-","")," ",""),마스터시트!$A$2:$H$1946,3,FALSE),"미등록"))</f>
        <v/>
      </c>
      <c r="O1598" s="18" t="str">
        <f>IF($K1598="","",IFERROR(VLOOKUP(--SUBSTITUTE(SUBSTITUTE(TRIM($K1598),"-","")," ",""),마스터시트!$A$2:$H$1946,4,FALSE),""))</f>
        <v/>
      </c>
      <c r="P1598" s="18" t="str">
        <f>IF($K1598="","",IFERROR(VLOOKUP(--SUBSTITUTE(SUBSTITUTE(TRIM($K1598),"-","")," ",""),마스터시트!$A$2:$H$1946,5,FALSE),""))</f>
        <v/>
      </c>
      <c r="Q1598" s="18" t="str">
        <f>IF($K1598="","",IFERROR(VLOOKUP(--SUBSTITUTE(SUBSTITUTE(TRIM($K1598),"-","")," ",""),마스터시트!$A$2:$H$1946,6,FALSE),""))</f>
        <v/>
      </c>
      <c r="R1598" s="18" t="str">
        <f>IF($K1598="","",IFERROR(VLOOKUP(--SUBSTITUTE(SUBSTITUTE(TRIM($K1598),"-","")," ",""),마스터시트!$A$2:$H$1946,7,FALSE),""))</f>
        <v/>
      </c>
    </row>
    <row r="1599" spans="13:18" x14ac:dyDescent="0.3">
      <c r="M1599" s="18" t="str">
        <f>IF($K1599="","",IFERROR(VLOOKUP(--SUBSTITUTE(SUBSTITUTE(TRIM($K1599),"-","")," ",""),마스터시트!$A$2:$H$1946,2,FALSE),"미등록"))</f>
        <v/>
      </c>
      <c r="N1599" s="53" t="str">
        <f>IF($K1599="","",IFERROR(VLOOKUP(--SUBSTITUTE(SUBSTITUTE(TRIM($K1599),"-","")," ",""),마스터시트!$A$2:$H$1946,3,FALSE),"미등록"))</f>
        <v/>
      </c>
      <c r="O1599" s="18" t="str">
        <f>IF($K1599="","",IFERROR(VLOOKUP(--SUBSTITUTE(SUBSTITUTE(TRIM($K1599),"-","")," ",""),마스터시트!$A$2:$H$1946,4,FALSE),""))</f>
        <v/>
      </c>
      <c r="P1599" s="18" t="str">
        <f>IF($K1599="","",IFERROR(VLOOKUP(--SUBSTITUTE(SUBSTITUTE(TRIM($K1599),"-","")," ",""),마스터시트!$A$2:$H$1946,5,FALSE),""))</f>
        <v/>
      </c>
      <c r="Q1599" s="18" t="str">
        <f>IF($K1599="","",IFERROR(VLOOKUP(--SUBSTITUTE(SUBSTITUTE(TRIM($K1599),"-","")," ",""),마스터시트!$A$2:$H$1946,6,FALSE),""))</f>
        <v/>
      </c>
      <c r="R1599" s="18" t="str">
        <f>IF($K1599="","",IFERROR(VLOOKUP(--SUBSTITUTE(SUBSTITUTE(TRIM($K1599),"-","")," ",""),마스터시트!$A$2:$H$1946,7,FALSE),""))</f>
        <v/>
      </c>
    </row>
    <row r="1600" spans="13:18" x14ac:dyDescent="0.3">
      <c r="M1600" s="18" t="str">
        <f>IF($K1600="","",IFERROR(VLOOKUP(--SUBSTITUTE(SUBSTITUTE(TRIM($K1600),"-","")," ",""),마스터시트!$A$2:$H$1946,2,FALSE),"미등록"))</f>
        <v/>
      </c>
      <c r="N1600" s="53" t="str">
        <f>IF($K1600="","",IFERROR(VLOOKUP(--SUBSTITUTE(SUBSTITUTE(TRIM($K1600),"-","")," ",""),마스터시트!$A$2:$H$1946,3,FALSE),"미등록"))</f>
        <v/>
      </c>
      <c r="O1600" s="18" t="str">
        <f>IF($K1600="","",IFERROR(VLOOKUP(--SUBSTITUTE(SUBSTITUTE(TRIM($K1600),"-","")," ",""),마스터시트!$A$2:$H$1946,4,FALSE),""))</f>
        <v/>
      </c>
      <c r="P1600" s="18" t="str">
        <f>IF($K1600="","",IFERROR(VLOOKUP(--SUBSTITUTE(SUBSTITUTE(TRIM($K1600),"-","")," ",""),마스터시트!$A$2:$H$1946,5,FALSE),""))</f>
        <v/>
      </c>
      <c r="Q1600" s="18" t="str">
        <f>IF($K1600="","",IFERROR(VLOOKUP(--SUBSTITUTE(SUBSTITUTE(TRIM($K1600),"-","")," ",""),마스터시트!$A$2:$H$1946,6,FALSE),""))</f>
        <v/>
      </c>
      <c r="R1600" s="18" t="str">
        <f>IF($K1600="","",IFERROR(VLOOKUP(--SUBSTITUTE(SUBSTITUTE(TRIM($K1600),"-","")," ",""),마스터시트!$A$2:$H$1946,7,FALSE),""))</f>
        <v/>
      </c>
    </row>
    <row r="1601" spans="13:18" x14ac:dyDescent="0.3">
      <c r="M1601" s="18" t="str">
        <f>IF($K1601="","",IFERROR(VLOOKUP(--SUBSTITUTE(SUBSTITUTE(TRIM($K1601),"-","")," ",""),마스터시트!$A$2:$H$1946,2,FALSE),"미등록"))</f>
        <v/>
      </c>
      <c r="N1601" s="53" t="str">
        <f>IF($K1601="","",IFERROR(VLOOKUP(--SUBSTITUTE(SUBSTITUTE(TRIM($K1601),"-","")," ",""),마스터시트!$A$2:$H$1946,3,FALSE),"미등록"))</f>
        <v/>
      </c>
      <c r="O1601" s="18" t="str">
        <f>IF($K1601="","",IFERROR(VLOOKUP(--SUBSTITUTE(SUBSTITUTE(TRIM($K1601),"-","")," ",""),마스터시트!$A$2:$H$1946,4,FALSE),""))</f>
        <v/>
      </c>
      <c r="P1601" s="18" t="str">
        <f>IF($K1601="","",IFERROR(VLOOKUP(--SUBSTITUTE(SUBSTITUTE(TRIM($K1601),"-","")," ",""),마스터시트!$A$2:$H$1946,5,FALSE),""))</f>
        <v/>
      </c>
      <c r="Q1601" s="18" t="str">
        <f>IF($K1601="","",IFERROR(VLOOKUP(--SUBSTITUTE(SUBSTITUTE(TRIM($K1601),"-","")," ",""),마스터시트!$A$2:$H$1946,6,FALSE),""))</f>
        <v/>
      </c>
      <c r="R1601" s="18" t="str">
        <f>IF($K1601="","",IFERROR(VLOOKUP(--SUBSTITUTE(SUBSTITUTE(TRIM($K1601),"-","")," ",""),마스터시트!$A$2:$H$1946,7,FALSE),""))</f>
        <v/>
      </c>
    </row>
    <row r="1602" spans="13:18" x14ac:dyDescent="0.3">
      <c r="M1602" s="18" t="str">
        <f>IF($K1602="","",IFERROR(VLOOKUP(--SUBSTITUTE(SUBSTITUTE(TRIM($K1602),"-","")," ",""),마스터시트!$A$2:$H$1946,2,FALSE),"미등록"))</f>
        <v/>
      </c>
      <c r="N1602" s="53" t="str">
        <f>IF($K1602="","",IFERROR(VLOOKUP(--SUBSTITUTE(SUBSTITUTE(TRIM($K1602),"-","")," ",""),마스터시트!$A$2:$H$1946,3,FALSE),"미등록"))</f>
        <v/>
      </c>
      <c r="O1602" s="18" t="str">
        <f>IF($K1602="","",IFERROR(VLOOKUP(--SUBSTITUTE(SUBSTITUTE(TRIM($K1602),"-","")," ",""),마스터시트!$A$2:$H$1946,4,FALSE),""))</f>
        <v/>
      </c>
      <c r="P1602" s="18" t="str">
        <f>IF($K1602="","",IFERROR(VLOOKUP(--SUBSTITUTE(SUBSTITUTE(TRIM($K1602),"-","")," ",""),마스터시트!$A$2:$H$1946,5,FALSE),""))</f>
        <v/>
      </c>
      <c r="Q1602" s="18" t="str">
        <f>IF($K1602="","",IFERROR(VLOOKUP(--SUBSTITUTE(SUBSTITUTE(TRIM($K1602),"-","")," ",""),마스터시트!$A$2:$H$1946,6,FALSE),""))</f>
        <v/>
      </c>
      <c r="R1602" s="18" t="str">
        <f>IF($K1602="","",IFERROR(VLOOKUP(--SUBSTITUTE(SUBSTITUTE(TRIM($K1602),"-","")," ",""),마스터시트!$A$2:$H$1946,7,FALSE),""))</f>
        <v/>
      </c>
    </row>
    <row r="1603" spans="13:18" x14ac:dyDescent="0.3">
      <c r="M1603" s="18" t="str">
        <f>IF($K1603="","",IFERROR(VLOOKUP(--SUBSTITUTE(SUBSTITUTE(TRIM($K1603),"-","")," ",""),마스터시트!$A$2:$H$1946,2,FALSE),"미등록"))</f>
        <v/>
      </c>
      <c r="N1603" s="53" t="str">
        <f>IF($K1603="","",IFERROR(VLOOKUP(--SUBSTITUTE(SUBSTITUTE(TRIM($K1603),"-","")," ",""),마스터시트!$A$2:$H$1946,3,FALSE),"미등록"))</f>
        <v/>
      </c>
      <c r="O1603" s="18" t="str">
        <f>IF($K1603="","",IFERROR(VLOOKUP(--SUBSTITUTE(SUBSTITUTE(TRIM($K1603),"-","")," ",""),마스터시트!$A$2:$H$1946,4,FALSE),""))</f>
        <v/>
      </c>
      <c r="P1603" s="18" t="str">
        <f>IF($K1603="","",IFERROR(VLOOKUP(--SUBSTITUTE(SUBSTITUTE(TRIM($K1603),"-","")," ",""),마스터시트!$A$2:$H$1946,5,FALSE),""))</f>
        <v/>
      </c>
      <c r="Q1603" s="18" t="str">
        <f>IF($K1603="","",IFERROR(VLOOKUP(--SUBSTITUTE(SUBSTITUTE(TRIM($K1603),"-","")," ",""),마스터시트!$A$2:$H$1946,6,FALSE),""))</f>
        <v/>
      </c>
      <c r="R1603" s="18" t="str">
        <f>IF($K1603="","",IFERROR(VLOOKUP(--SUBSTITUTE(SUBSTITUTE(TRIM($K1603),"-","")," ",""),마스터시트!$A$2:$H$1946,7,FALSE),""))</f>
        <v/>
      </c>
    </row>
    <row r="1604" spans="13:18" x14ac:dyDescent="0.3">
      <c r="M1604" s="18" t="str">
        <f>IF($K1604="","",IFERROR(VLOOKUP(--SUBSTITUTE(SUBSTITUTE(TRIM($K1604),"-","")," ",""),마스터시트!$A$2:$H$1946,2,FALSE),"미등록"))</f>
        <v/>
      </c>
      <c r="N1604" s="53" t="str">
        <f>IF($K1604="","",IFERROR(VLOOKUP(--SUBSTITUTE(SUBSTITUTE(TRIM($K1604),"-","")," ",""),마스터시트!$A$2:$H$1946,3,FALSE),"미등록"))</f>
        <v/>
      </c>
      <c r="O1604" s="18" t="str">
        <f>IF($K1604="","",IFERROR(VLOOKUP(--SUBSTITUTE(SUBSTITUTE(TRIM($K1604),"-","")," ",""),마스터시트!$A$2:$H$1946,4,FALSE),""))</f>
        <v/>
      </c>
      <c r="P1604" s="18" t="str">
        <f>IF($K1604="","",IFERROR(VLOOKUP(--SUBSTITUTE(SUBSTITUTE(TRIM($K1604),"-","")," ",""),마스터시트!$A$2:$H$1946,5,FALSE),""))</f>
        <v/>
      </c>
      <c r="Q1604" s="18" t="str">
        <f>IF($K1604="","",IFERROR(VLOOKUP(--SUBSTITUTE(SUBSTITUTE(TRIM($K1604),"-","")," ",""),마스터시트!$A$2:$H$1946,6,FALSE),""))</f>
        <v/>
      </c>
      <c r="R1604" s="18" t="str">
        <f>IF($K1604="","",IFERROR(VLOOKUP(--SUBSTITUTE(SUBSTITUTE(TRIM($K1604),"-","")," ",""),마스터시트!$A$2:$H$1946,7,FALSE),""))</f>
        <v/>
      </c>
    </row>
    <row r="1605" spans="13:18" x14ac:dyDescent="0.3">
      <c r="M1605" s="18" t="str">
        <f>IF($K1605="","",IFERROR(VLOOKUP(--SUBSTITUTE(SUBSTITUTE(TRIM($K1605),"-","")," ",""),마스터시트!$A$2:$H$1946,2,FALSE),"미등록"))</f>
        <v/>
      </c>
      <c r="N1605" s="53" t="str">
        <f>IF($K1605="","",IFERROR(VLOOKUP(--SUBSTITUTE(SUBSTITUTE(TRIM($K1605),"-","")," ",""),마스터시트!$A$2:$H$1946,3,FALSE),"미등록"))</f>
        <v/>
      </c>
      <c r="O1605" s="18" t="str">
        <f>IF($K1605="","",IFERROR(VLOOKUP(--SUBSTITUTE(SUBSTITUTE(TRIM($K1605),"-","")," ",""),마스터시트!$A$2:$H$1946,4,FALSE),""))</f>
        <v/>
      </c>
      <c r="P1605" s="18" t="str">
        <f>IF($K1605="","",IFERROR(VLOOKUP(--SUBSTITUTE(SUBSTITUTE(TRIM($K1605),"-","")," ",""),마스터시트!$A$2:$H$1946,5,FALSE),""))</f>
        <v/>
      </c>
      <c r="Q1605" s="18" t="str">
        <f>IF($K1605="","",IFERROR(VLOOKUP(--SUBSTITUTE(SUBSTITUTE(TRIM($K1605),"-","")," ",""),마스터시트!$A$2:$H$1946,6,FALSE),""))</f>
        <v/>
      </c>
      <c r="R1605" s="18" t="str">
        <f>IF($K1605="","",IFERROR(VLOOKUP(--SUBSTITUTE(SUBSTITUTE(TRIM($K1605),"-","")," ",""),마스터시트!$A$2:$H$1946,7,FALSE),""))</f>
        <v/>
      </c>
    </row>
    <row r="1606" spans="13:18" x14ac:dyDescent="0.3">
      <c r="M1606" s="18" t="str">
        <f>IF($K1606="","",IFERROR(VLOOKUP(--SUBSTITUTE(SUBSTITUTE(TRIM($K1606),"-","")," ",""),마스터시트!$A$2:$H$1946,2,FALSE),"미등록"))</f>
        <v/>
      </c>
      <c r="N1606" s="53" t="str">
        <f>IF($K1606="","",IFERROR(VLOOKUP(--SUBSTITUTE(SUBSTITUTE(TRIM($K1606),"-","")," ",""),마스터시트!$A$2:$H$1946,3,FALSE),"미등록"))</f>
        <v/>
      </c>
      <c r="O1606" s="18" t="str">
        <f>IF($K1606="","",IFERROR(VLOOKUP(--SUBSTITUTE(SUBSTITUTE(TRIM($K1606),"-","")," ",""),마스터시트!$A$2:$H$1946,4,FALSE),""))</f>
        <v/>
      </c>
      <c r="P1606" s="18" t="str">
        <f>IF($K1606="","",IFERROR(VLOOKUP(--SUBSTITUTE(SUBSTITUTE(TRIM($K1606),"-","")," ",""),마스터시트!$A$2:$H$1946,5,FALSE),""))</f>
        <v/>
      </c>
      <c r="Q1606" s="18" t="str">
        <f>IF($K1606="","",IFERROR(VLOOKUP(--SUBSTITUTE(SUBSTITUTE(TRIM($K1606),"-","")," ",""),마스터시트!$A$2:$H$1946,6,FALSE),""))</f>
        <v/>
      </c>
      <c r="R1606" s="18" t="str">
        <f>IF($K1606="","",IFERROR(VLOOKUP(--SUBSTITUTE(SUBSTITUTE(TRIM($K1606),"-","")," ",""),마스터시트!$A$2:$H$1946,7,FALSE),""))</f>
        <v/>
      </c>
    </row>
    <row r="1607" spans="13:18" x14ac:dyDescent="0.3">
      <c r="M1607" s="18" t="str">
        <f>IF($K1607="","",IFERROR(VLOOKUP(--SUBSTITUTE(SUBSTITUTE(TRIM($K1607),"-","")," ",""),마스터시트!$A$2:$H$1946,2,FALSE),"미등록"))</f>
        <v/>
      </c>
      <c r="N1607" s="53" t="str">
        <f>IF($K1607="","",IFERROR(VLOOKUP(--SUBSTITUTE(SUBSTITUTE(TRIM($K1607),"-","")," ",""),마스터시트!$A$2:$H$1946,3,FALSE),"미등록"))</f>
        <v/>
      </c>
      <c r="O1607" s="18" t="str">
        <f>IF($K1607="","",IFERROR(VLOOKUP(--SUBSTITUTE(SUBSTITUTE(TRIM($K1607),"-","")," ",""),마스터시트!$A$2:$H$1946,4,FALSE),""))</f>
        <v/>
      </c>
      <c r="P1607" s="18" t="str">
        <f>IF($K1607="","",IFERROR(VLOOKUP(--SUBSTITUTE(SUBSTITUTE(TRIM($K1607),"-","")," ",""),마스터시트!$A$2:$H$1946,5,FALSE),""))</f>
        <v/>
      </c>
      <c r="Q1607" s="18" t="str">
        <f>IF($K1607="","",IFERROR(VLOOKUP(--SUBSTITUTE(SUBSTITUTE(TRIM($K1607),"-","")," ",""),마스터시트!$A$2:$H$1946,6,FALSE),""))</f>
        <v/>
      </c>
      <c r="R1607" s="18" t="str">
        <f>IF($K1607="","",IFERROR(VLOOKUP(--SUBSTITUTE(SUBSTITUTE(TRIM($K1607),"-","")," ",""),마스터시트!$A$2:$H$1946,7,FALSE),""))</f>
        <v/>
      </c>
    </row>
    <row r="1608" spans="13:18" x14ac:dyDescent="0.3">
      <c r="M1608" s="18" t="str">
        <f>IF($K1608="","",IFERROR(VLOOKUP(--SUBSTITUTE(SUBSTITUTE(TRIM($K1608),"-","")," ",""),마스터시트!$A$2:$H$1946,2,FALSE),"미등록"))</f>
        <v/>
      </c>
      <c r="N1608" s="53" t="str">
        <f>IF($K1608="","",IFERROR(VLOOKUP(--SUBSTITUTE(SUBSTITUTE(TRIM($K1608),"-","")," ",""),마스터시트!$A$2:$H$1946,3,FALSE),"미등록"))</f>
        <v/>
      </c>
      <c r="O1608" s="18" t="str">
        <f>IF($K1608="","",IFERROR(VLOOKUP(--SUBSTITUTE(SUBSTITUTE(TRIM($K1608),"-","")," ",""),마스터시트!$A$2:$H$1946,4,FALSE),""))</f>
        <v/>
      </c>
      <c r="P1608" s="18" t="str">
        <f>IF($K1608="","",IFERROR(VLOOKUP(--SUBSTITUTE(SUBSTITUTE(TRIM($K1608),"-","")," ",""),마스터시트!$A$2:$H$1946,5,FALSE),""))</f>
        <v/>
      </c>
      <c r="Q1608" s="18" t="str">
        <f>IF($K1608="","",IFERROR(VLOOKUP(--SUBSTITUTE(SUBSTITUTE(TRIM($K1608),"-","")," ",""),마스터시트!$A$2:$H$1946,6,FALSE),""))</f>
        <v/>
      </c>
      <c r="R1608" s="18" t="str">
        <f>IF($K1608="","",IFERROR(VLOOKUP(--SUBSTITUTE(SUBSTITUTE(TRIM($K1608),"-","")," ",""),마스터시트!$A$2:$H$1946,7,FALSE),""))</f>
        <v/>
      </c>
    </row>
    <row r="1609" spans="13:18" x14ac:dyDescent="0.3">
      <c r="M1609" s="18" t="str">
        <f>IF($K1609="","",IFERROR(VLOOKUP(--SUBSTITUTE(SUBSTITUTE(TRIM($K1609),"-","")," ",""),마스터시트!$A$2:$H$1946,2,FALSE),"미등록"))</f>
        <v/>
      </c>
      <c r="N1609" s="53" t="str">
        <f>IF($K1609="","",IFERROR(VLOOKUP(--SUBSTITUTE(SUBSTITUTE(TRIM($K1609),"-","")," ",""),마스터시트!$A$2:$H$1946,3,FALSE),"미등록"))</f>
        <v/>
      </c>
      <c r="O1609" s="18" t="str">
        <f>IF($K1609="","",IFERROR(VLOOKUP(--SUBSTITUTE(SUBSTITUTE(TRIM($K1609),"-","")," ",""),마스터시트!$A$2:$H$1946,4,FALSE),""))</f>
        <v/>
      </c>
      <c r="P1609" s="18" t="str">
        <f>IF($K1609="","",IFERROR(VLOOKUP(--SUBSTITUTE(SUBSTITUTE(TRIM($K1609),"-","")," ",""),마스터시트!$A$2:$H$1946,5,FALSE),""))</f>
        <v/>
      </c>
      <c r="Q1609" s="18" t="str">
        <f>IF($K1609="","",IFERROR(VLOOKUP(--SUBSTITUTE(SUBSTITUTE(TRIM($K1609),"-","")," ",""),마스터시트!$A$2:$H$1946,6,FALSE),""))</f>
        <v/>
      </c>
      <c r="R1609" s="18" t="str">
        <f>IF($K1609="","",IFERROR(VLOOKUP(--SUBSTITUTE(SUBSTITUTE(TRIM($K1609),"-","")," ",""),마스터시트!$A$2:$H$1946,7,FALSE),""))</f>
        <v/>
      </c>
    </row>
    <row r="1610" spans="13:18" x14ac:dyDescent="0.3">
      <c r="M1610" s="18" t="str">
        <f>IF($K1610="","",IFERROR(VLOOKUP(--SUBSTITUTE(SUBSTITUTE(TRIM($K1610),"-","")," ",""),마스터시트!$A$2:$H$1946,2,FALSE),"미등록"))</f>
        <v/>
      </c>
      <c r="N1610" s="53" t="str">
        <f>IF($K1610="","",IFERROR(VLOOKUP(--SUBSTITUTE(SUBSTITUTE(TRIM($K1610),"-","")," ",""),마스터시트!$A$2:$H$1946,3,FALSE),"미등록"))</f>
        <v/>
      </c>
      <c r="O1610" s="18" t="str">
        <f>IF($K1610="","",IFERROR(VLOOKUP(--SUBSTITUTE(SUBSTITUTE(TRIM($K1610),"-","")," ",""),마스터시트!$A$2:$H$1946,4,FALSE),""))</f>
        <v/>
      </c>
      <c r="P1610" s="18" t="str">
        <f>IF($K1610="","",IFERROR(VLOOKUP(--SUBSTITUTE(SUBSTITUTE(TRIM($K1610),"-","")," ",""),마스터시트!$A$2:$H$1946,5,FALSE),""))</f>
        <v/>
      </c>
      <c r="Q1610" s="18" t="str">
        <f>IF($K1610="","",IFERROR(VLOOKUP(--SUBSTITUTE(SUBSTITUTE(TRIM($K1610),"-","")," ",""),마스터시트!$A$2:$H$1946,6,FALSE),""))</f>
        <v/>
      </c>
      <c r="R1610" s="18" t="str">
        <f>IF($K1610="","",IFERROR(VLOOKUP(--SUBSTITUTE(SUBSTITUTE(TRIM($K1610),"-","")," ",""),마스터시트!$A$2:$H$1946,7,FALSE),""))</f>
        <v/>
      </c>
    </row>
    <row r="1611" spans="13:18" x14ac:dyDescent="0.3">
      <c r="M1611" s="18" t="str">
        <f>IF($K1611="","",IFERROR(VLOOKUP(--SUBSTITUTE(SUBSTITUTE(TRIM($K1611),"-","")," ",""),마스터시트!$A$2:$H$1946,2,FALSE),"미등록"))</f>
        <v/>
      </c>
      <c r="N1611" s="53" t="str">
        <f>IF($K1611="","",IFERROR(VLOOKUP(--SUBSTITUTE(SUBSTITUTE(TRIM($K1611),"-","")," ",""),마스터시트!$A$2:$H$1946,3,FALSE),"미등록"))</f>
        <v/>
      </c>
      <c r="O1611" s="18" t="str">
        <f>IF($K1611="","",IFERROR(VLOOKUP(--SUBSTITUTE(SUBSTITUTE(TRIM($K1611),"-","")," ",""),마스터시트!$A$2:$H$1946,4,FALSE),""))</f>
        <v/>
      </c>
      <c r="P1611" s="18" t="str">
        <f>IF($K1611="","",IFERROR(VLOOKUP(--SUBSTITUTE(SUBSTITUTE(TRIM($K1611),"-","")," ",""),마스터시트!$A$2:$H$1946,5,FALSE),""))</f>
        <v/>
      </c>
      <c r="Q1611" s="18" t="str">
        <f>IF($K1611="","",IFERROR(VLOOKUP(--SUBSTITUTE(SUBSTITUTE(TRIM($K1611),"-","")," ",""),마스터시트!$A$2:$H$1946,6,FALSE),""))</f>
        <v/>
      </c>
      <c r="R1611" s="18" t="str">
        <f>IF($K1611="","",IFERROR(VLOOKUP(--SUBSTITUTE(SUBSTITUTE(TRIM($K1611),"-","")," ",""),마스터시트!$A$2:$H$1946,7,FALSE),""))</f>
        <v/>
      </c>
    </row>
    <row r="1612" spans="13:18" x14ac:dyDescent="0.3">
      <c r="M1612" s="18" t="str">
        <f>IF($K1612="","",IFERROR(VLOOKUP(--SUBSTITUTE(SUBSTITUTE(TRIM($K1612),"-","")," ",""),마스터시트!$A$2:$H$1946,2,FALSE),"미등록"))</f>
        <v/>
      </c>
      <c r="N1612" s="53" t="str">
        <f>IF($K1612="","",IFERROR(VLOOKUP(--SUBSTITUTE(SUBSTITUTE(TRIM($K1612),"-","")," ",""),마스터시트!$A$2:$H$1946,3,FALSE),"미등록"))</f>
        <v/>
      </c>
      <c r="O1612" s="18" t="str">
        <f>IF($K1612="","",IFERROR(VLOOKUP(--SUBSTITUTE(SUBSTITUTE(TRIM($K1612),"-","")," ",""),마스터시트!$A$2:$H$1946,4,FALSE),""))</f>
        <v/>
      </c>
      <c r="P1612" s="18" t="str">
        <f>IF($K1612="","",IFERROR(VLOOKUP(--SUBSTITUTE(SUBSTITUTE(TRIM($K1612),"-","")," ",""),마스터시트!$A$2:$H$1946,5,FALSE),""))</f>
        <v/>
      </c>
      <c r="Q1612" s="18" t="str">
        <f>IF($K1612="","",IFERROR(VLOOKUP(--SUBSTITUTE(SUBSTITUTE(TRIM($K1612),"-","")," ",""),마스터시트!$A$2:$H$1946,6,FALSE),""))</f>
        <v/>
      </c>
      <c r="R1612" s="18" t="str">
        <f>IF($K1612="","",IFERROR(VLOOKUP(--SUBSTITUTE(SUBSTITUTE(TRIM($K1612),"-","")," ",""),마스터시트!$A$2:$H$1946,7,FALSE),""))</f>
        <v/>
      </c>
    </row>
    <row r="1613" spans="13:18" x14ac:dyDescent="0.3">
      <c r="M1613" s="18" t="str">
        <f>IF($K1613="","",IFERROR(VLOOKUP(--SUBSTITUTE(SUBSTITUTE(TRIM($K1613),"-","")," ",""),마스터시트!$A$2:$H$1946,2,FALSE),"미등록"))</f>
        <v/>
      </c>
      <c r="N1613" s="53" t="str">
        <f>IF($K1613="","",IFERROR(VLOOKUP(--SUBSTITUTE(SUBSTITUTE(TRIM($K1613),"-","")," ",""),마스터시트!$A$2:$H$1946,3,FALSE),"미등록"))</f>
        <v/>
      </c>
      <c r="O1613" s="18" t="str">
        <f>IF($K1613="","",IFERROR(VLOOKUP(--SUBSTITUTE(SUBSTITUTE(TRIM($K1613),"-","")," ",""),마스터시트!$A$2:$H$1946,4,FALSE),""))</f>
        <v/>
      </c>
      <c r="P1613" s="18" t="str">
        <f>IF($K1613="","",IFERROR(VLOOKUP(--SUBSTITUTE(SUBSTITUTE(TRIM($K1613),"-","")," ",""),마스터시트!$A$2:$H$1946,5,FALSE),""))</f>
        <v/>
      </c>
      <c r="Q1613" s="18" t="str">
        <f>IF($K1613="","",IFERROR(VLOOKUP(--SUBSTITUTE(SUBSTITUTE(TRIM($K1613),"-","")," ",""),마스터시트!$A$2:$H$1946,6,FALSE),""))</f>
        <v/>
      </c>
      <c r="R1613" s="18" t="str">
        <f>IF($K1613="","",IFERROR(VLOOKUP(--SUBSTITUTE(SUBSTITUTE(TRIM($K1613),"-","")," ",""),마스터시트!$A$2:$H$1946,7,FALSE),""))</f>
        <v/>
      </c>
    </row>
    <row r="1614" spans="13:18" x14ac:dyDescent="0.3">
      <c r="M1614" s="18" t="str">
        <f>IF($K1614="","",IFERROR(VLOOKUP(--SUBSTITUTE(SUBSTITUTE(TRIM($K1614),"-","")," ",""),마스터시트!$A$2:$H$1946,2,FALSE),"미등록"))</f>
        <v/>
      </c>
      <c r="N1614" s="53" t="str">
        <f>IF($K1614="","",IFERROR(VLOOKUP(--SUBSTITUTE(SUBSTITUTE(TRIM($K1614),"-","")," ",""),마스터시트!$A$2:$H$1946,3,FALSE),"미등록"))</f>
        <v/>
      </c>
      <c r="O1614" s="18" t="str">
        <f>IF($K1614="","",IFERROR(VLOOKUP(--SUBSTITUTE(SUBSTITUTE(TRIM($K1614),"-","")," ",""),마스터시트!$A$2:$H$1946,4,FALSE),""))</f>
        <v/>
      </c>
      <c r="P1614" s="18" t="str">
        <f>IF($K1614="","",IFERROR(VLOOKUP(--SUBSTITUTE(SUBSTITUTE(TRIM($K1614),"-","")," ",""),마스터시트!$A$2:$H$1946,5,FALSE),""))</f>
        <v/>
      </c>
      <c r="Q1614" s="18" t="str">
        <f>IF($K1614="","",IFERROR(VLOOKUP(--SUBSTITUTE(SUBSTITUTE(TRIM($K1614),"-","")," ",""),마스터시트!$A$2:$H$1946,6,FALSE),""))</f>
        <v/>
      </c>
      <c r="R1614" s="18" t="str">
        <f>IF($K1614="","",IFERROR(VLOOKUP(--SUBSTITUTE(SUBSTITUTE(TRIM($K1614),"-","")," ",""),마스터시트!$A$2:$H$1946,7,FALSE),""))</f>
        <v/>
      </c>
    </row>
    <row r="1615" spans="13:18" x14ac:dyDescent="0.3">
      <c r="M1615" s="18" t="str">
        <f>IF($K1615="","",IFERROR(VLOOKUP(--SUBSTITUTE(SUBSTITUTE(TRIM($K1615),"-","")," ",""),마스터시트!$A$2:$H$1946,2,FALSE),"미등록"))</f>
        <v/>
      </c>
      <c r="N1615" s="53" t="str">
        <f>IF($K1615="","",IFERROR(VLOOKUP(--SUBSTITUTE(SUBSTITUTE(TRIM($K1615),"-","")," ",""),마스터시트!$A$2:$H$1946,3,FALSE),"미등록"))</f>
        <v/>
      </c>
      <c r="O1615" s="18" t="str">
        <f>IF($K1615="","",IFERROR(VLOOKUP(--SUBSTITUTE(SUBSTITUTE(TRIM($K1615),"-","")," ",""),마스터시트!$A$2:$H$1946,4,FALSE),""))</f>
        <v/>
      </c>
      <c r="P1615" s="18" t="str">
        <f>IF($K1615="","",IFERROR(VLOOKUP(--SUBSTITUTE(SUBSTITUTE(TRIM($K1615),"-","")," ",""),마스터시트!$A$2:$H$1946,5,FALSE),""))</f>
        <v/>
      </c>
      <c r="Q1615" s="18" t="str">
        <f>IF($K1615="","",IFERROR(VLOOKUP(--SUBSTITUTE(SUBSTITUTE(TRIM($K1615),"-","")," ",""),마스터시트!$A$2:$H$1946,6,FALSE),""))</f>
        <v/>
      </c>
      <c r="R1615" s="18" t="str">
        <f>IF($K1615="","",IFERROR(VLOOKUP(--SUBSTITUTE(SUBSTITUTE(TRIM($K1615),"-","")," ",""),마스터시트!$A$2:$H$1946,7,FALSE),""))</f>
        <v/>
      </c>
    </row>
    <row r="1616" spans="13:18" x14ac:dyDescent="0.3">
      <c r="M1616" s="18" t="str">
        <f>IF($K1616="","",IFERROR(VLOOKUP(--SUBSTITUTE(SUBSTITUTE(TRIM($K1616),"-","")," ",""),마스터시트!$A$2:$H$1946,2,FALSE),"미등록"))</f>
        <v/>
      </c>
      <c r="N1616" s="53" t="str">
        <f>IF($K1616="","",IFERROR(VLOOKUP(--SUBSTITUTE(SUBSTITUTE(TRIM($K1616),"-","")," ",""),마스터시트!$A$2:$H$1946,3,FALSE),"미등록"))</f>
        <v/>
      </c>
      <c r="O1616" s="18" t="str">
        <f>IF($K1616="","",IFERROR(VLOOKUP(--SUBSTITUTE(SUBSTITUTE(TRIM($K1616),"-","")," ",""),마스터시트!$A$2:$H$1946,4,FALSE),""))</f>
        <v/>
      </c>
      <c r="P1616" s="18" t="str">
        <f>IF($K1616="","",IFERROR(VLOOKUP(--SUBSTITUTE(SUBSTITUTE(TRIM($K1616),"-","")," ",""),마스터시트!$A$2:$H$1946,5,FALSE),""))</f>
        <v/>
      </c>
      <c r="Q1616" s="18" t="str">
        <f>IF($K1616="","",IFERROR(VLOOKUP(--SUBSTITUTE(SUBSTITUTE(TRIM($K1616),"-","")," ",""),마스터시트!$A$2:$H$1946,6,FALSE),""))</f>
        <v/>
      </c>
      <c r="R1616" s="18" t="str">
        <f>IF($K1616="","",IFERROR(VLOOKUP(--SUBSTITUTE(SUBSTITUTE(TRIM($K1616),"-","")," ",""),마스터시트!$A$2:$H$1946,7,FALSE),""))</f>
        <v/>
      </c>
    </row>
    <row r="1617" spans="13:18" x14ac:dyDescent="0.3">
      <c r="M1617" s="18" t="str">
        <f>IF($K1617="","",IFERROR(VLOOKUP(--SUBSTITUTE(SUBSTITUTE(TRIM($K1617),"-","")," ",""),마스터시트!$A$2:$H$1946,2,FALSE),"미등록"))</f>
        <v/>
      </c>
      <c r="N1617" s="53" t="str">
        <f>IF($K1617="","",IFERROR(VLOOKUP(--SUBSTITUTE(SUBSTITUTE(TRIM($K1617),"-","")," ",""),마스터시트!$A$2:$H$1946,3,FALSE),"미등록"))</f>
        <v/>
      </c>
      <c r="O1617" s="18" t="str">
        <f>IF($K1617="","",IFERROR(VLOOKUP(--SUBSTITUTE(SUBSTITUTE(TRIM($K1617),"-","")," ",""),마스터시트!$A$2:$H$1946,4,FALSE),""))</f>
        <v/>
      </c>
      <c r="P1617" s="18" t="str">
        <f>IF($K1617="","",IFERROR(VLOOKUP(--SUBSTITUTE(SUBSTITUTE(TRIM($K1617),"-","")," ",""),마스터시트!$A$2:$H$1946,5,FALSE),""))</f>
        <v/>
      </c>
      <c r="Q1617" s="18" t="str">
        <f>IF($K1617="","",IFERROR(VLOOKUP(--SUBSTITUTE(SUBSTITUTE(TRIM($K1617),"-","")," ",""),마스터시트!$A$2:$H$1946,6,FALSE),""))</f>
        <v/>
      </c>
      <c r="R1617" s="18" t="str">
        <f>IF($K1617="","",IFERROR(VLOOKUP(--SUBSTITUTE(SUBSTITUTE(TRIM($K1617),"-","")," ",""),마스터시트!$A$2:$H$1946,7,FALSE),""))</f>
        <v/>
      </c>
    </row>
    <row r="1618" spans="13:18" x14ac:dyDescent="0.3">
      <c r="M1618" s="18" t="str">
        <f>IF($K1618="","",IFERROR(VLOOKUP(--SUBSTITUTE(SUBSTITUTE(TRIM($K1618),"-","")," ",""),마스터시트!$A$2:$H$1946,2,FALSE),"미등록"))</f>
        <v/>
      </c>
      <c r="N1618" s="53" t="str">
        <f>IF($K1618="","",IFERROR(VLOOKUP(--SUBSTITUTE(SUBSTITUTE(TRIM($K1618),"-","")," ",""),마스터시트!$A$2:$H$1946,3,FALSE),"미등록"))</f>
        <v/>
      </c>
      <c r="O1618" s="18" t="str">
        <f>IF($K1618="","",IFERROR(VLOOKUP(--SUBSTITUTE(SUBSTITUTE(TRIM($K1618),"-","")," ",""),마스터시트!$A$2:$H$1946,4,FALSE),""))</f>
        <v/>
      </c>
      <c r="P1618" s="18" t="str">
        <f>IF($K1618="","",IFERROR(VLOOKUP(--SUBSTITUTE(SUBSTITUTE(TRIM($K1618),"-","")," ",""),마스터시트!$A$2:$H$1946,5,FALSE),""))</f>
        <v/>
      </c>
      <c r="Q1618" s="18" t="str">
        <f>IF($K1618="","",IFERROR(VLOOKUP(--SUBSTITUTE(SUBSTITUTE(TRIM($K1618),"-","")," ",""),마스터시트!$A$2:$H$1946,6,FALSE),""))</f>
        <v/>
      </c>
      <c r="R1618" s="18" t="str">
        <f>IF($K1618="","",IFERROR(VLOOKUP(--SUBSTITUTE(SUBSTITUTE(TRIM($K1618),"-","")," ",""),마스터시트!$A$2:$H$1946,7,FALSE),""))</f>
        <v/>
      </c>
    </row>
    <row r="1619" spans="13:18" x14ac:dyDescent="0.3">
      <c r="M1619" s="18" t="str">
        <f>IF($K1619="","",IFERROR(VLOOKUP(--SUBSTITUTE(SUBSTITUTE(TRIM($K1619),"-","")," ",""),마스터시트!$A$2:$H$1946,2,FALSE),"미등록"))</f>
        <v/>
      </c>
      <c r="N1619" s="53" t="str">
        <f>IF($K1619="","",IFERROR(VLOOKUP(--SUBSTITUTE(SUBSTITUTE(TRIM($K1619),"-","")," ",""),마스터시트!$A$2:$H$1946,3,FALSE),"미등록"))</f>
        <v/>
      </c>
      <c r="O1619" s="18" t="str">
        <f>IF($K1619="","",IFERROR(VLOOKUP(--SUBSTITUTE(SUBSTITUTE(TRIM($K1619),"-","")," ",""),마스터시트!$A$2:$H$1946,4,FALSE),""))</f>
        <v/>
      </c>
      <c r="P1619" s="18" t="str">
        <f>IF($K1619="","",IFERROR(VLOOKUP(--SUBSTITUTE(SUBSTITUTE(TRIM($K1619),"-","")," ",""),마스터시트!$A$2:$H$1946,5,FALSE),""))</f>
        <v/>
      </c>
      <c r="Q1619" s="18" t="str">
        <f>IF($K1619="","",IFERROR(VLOOKUP(--SUBSTITUTE(SUBSTITUTE(TRIM($K1619),"-","")," ",""),마스터시트!$A$2:$H$1946,6,FALSE),""))</f>
        <v/>
      </c>
      <c r="R1619" s="18" t="str">
        <f>IF($K1619="","",IFERROR(VLOOKUP(--SUBSTITUTE(SUBSTITUTE(TRIM($K1619),"-","")," ",""),마스터시트!$A$2:$H$1946,7,FALSE),""))</f>
        <v/>
      </c>
    </row>
    <row r="1620" spans="13:18" x14ac:dyDescent="0.3">
      <c r="M1620" s="18" t="str">
        <f>IF($K1620="","",IFERROR(VLOOKUP(--SUBSTITUTE(SUBSTITUTE(TRIM($K1620),"-","")," ",""),마스터시트!$A$2:$H$1946,2,FALSE),"미등록"))</f>
        <v/>
      </c>
      <c r="N1620" s="53" t="str">
        <f>IF($K1620="","",IFERROR(VLOOKUP(--SUBSTITUTE(SUBSTITUTE(TRIM($K1620),"-","")," ",""),마스터시트!$A$2:$H$1946,3,FALSE),"미등록"))</f>
        <v/>
      </c>
      <c r="O1620" s="18" t="str">
        <f>IF($K1620="","",IFERROR(VLOOKUP(--SUBSTITUTE(SUBSTITUTE(TRIM($K1620),"-","")," ",""),마스터시트!$A$2:$H$1946,4,FALSE),""))</f>
        <v/>
      </c>
      <c r="P1620" s="18" t="str">
        <f>IF($K1620="","",IFERROR(VLOOKUP(--SUBSTITUTE(SUBSTITUTE(TRIM($K1620),"-","")," ",""),마스터시트!$A$2:$H$1946,5,FALSE),""))</f>
        <v/>
      </c>
      <c r="Q1620" s="18" t="str">
        <f>IF($K1620="","",IFERROR(VLOOKUP(--SUBSTITUTE(SUBSTITUTE(TRIM($K1620),"-","")," ",""),마스터시트!$A$2:$H$1946,6,FALSE),""))</f>
        <v/>
      </c>
      <c r="R1620" s="18" t="str">
        <f>IF($K1620="","",IFERROR(VLOOKUP(--SUBSTITUTE(SUBSTITUTE(TRIM($K1620),"-","")," ",""),마스터시트!$A$2:$H$1946,7,FALSE),""))</f>
        <v/>
      </c>
    </row>
    <row r="1621" spans="13:18" x14ac:dyDescent="0.3">
      <c r="M1621" s="18" t="str">
        <f>IF($K1621="","",IFERROR(VLOOKUP(--SUBSTITUTE(SUBSTITUTE(TRIM($K1621),"-","")," ",""),마스터시트!$A$2:$H$1946,2,FALSE),"미등록"))</f>
        <v/>
      </c>
      <c r="N1621" s="53" t="str">
        <f>IF($K1621="","",IFERROR(VLOOKUP(--SUBSTITUTE(SUBSTITUTE(TRIM($K1621),"-","")," ",""),마스터시트!$A$2:$H$1946,3,FALSE),"미등록"))</f>
        <v/>
      </c>
      <c r="O1621" s="18" t="str">
        <f>IF($K1621="","",IFERROR(VLOOKUP(--SUBSTITUTE(SUBSTITUTE(TRIM($K1621),"-","")," ",""),마스터시트!$A$2:$H$1946,4,FALSE),""))</f>
        <v/>
      </c>
      <c r="P1621" s="18" t="str">
        <f>IF($K1621="","",IFERROR(VLOOKUP(--SUBSTITUTE(SUBSTITUTE(TRIM($K1621),"-","")," ",""),마스터시트!$A$2:$H$1946,5,FALSE),""))</f>
        <v/>
      </c>
      <c r="Q1621" s="18" t="str">
        <f>IF($K1621="","",IFERROR(VLOOKUP(--SUBSTITUTE(SUBSTITUTE(TRIM($K1621),"-","")," ",""),마스터시트!$A$2:$H$1946,6,FALSE),""))</f>
        <v/>
      </c>
      <c r="R1621" s="18" t="str">
        <f>IF($K1621="","",IFERROR(VLOOKUP(--SUBSTITUTE(SUBSTITUTE(TRIM($K1621),"-","")," ",""),마스터시트!$A$2:$H$1946,7,FALSE),""))</f>
        <v/>
      </c>
    </row>
    <row r="1622" spans="13:18" x14ac:dyDescent="0.3">
      <c r="M1622" s="18" t="str">
        <f>IF($K1622="","",IFERROR(VLOOKUP(--SUBSTITUTE(SUBSTITUTE(TRIM($K1622),"-","")," ",""),마스터시트!$A$2:$H$1946,2,FALSE),"미등록"))</f>
        <v/>
      </c>
      <c r="N1622" s="53" t="str">
        <f>IF($K1622="","",IFERROR(VLOOKUP(--SUBSTITUTE(SUBSTITUTE(TRIM($K1622),"-","")," ",""),마스터시트!$A$2:$H$1946,3,FALSE),"미등록"))</f>
        <v/>
      </c>
      <c r="O1622" s="18" t="str">
        <f>IF($K1622="","",IFERROR(VLOOKUP(--SUBSTITUTE(SUBSTITUTE(TRIM($K1622),"-","")," ",""),마스터시트!$A$2:$H$1946,4,FALSE),""))</f>
        <v/>
      </c>
      <c r="P1622" s="18" t="str">
        <f>IF($K1622="","",IFERROR(VLOOKUP(--SUBSTITUTE(SUBSTITUTE(TRIM($K1622),"-","")," ",""),마스터시트!$A$2:$H$1946,5,FALSE),""))</f>
        <v/>
      </c>
      <c r="Q1622" s="18" t="str">
        <f>IF($K1622="","",IFERROR(VLOOKUP(--SUBSTITUTE(SUBSTITUTE(TRIM($K1622),"-","")," ",""),마스터시트!$A$2:$H$1946,6,FALSE),""))</f>
        <v/>
      </c>
      <c r="R1622" s="18" t="str">
        <f>IF($K1622="","",IFERROR(VLOOKUP(--SUBSTITUTE(SUBSTITUTE(TRIM($K1622),"-","")," ",""),마스터시트!$A$2:$H$1946,7,FALSE),""))</f>
        <v/>
      </c>
    </row>
    <row r="1623" spans="13:18" x14ac:dyDescent="0.3">
      <c r="M1623" s="18" t="str">
        <f>IF($K1623="","",IFERROR(VLOOKUP(--SUBSTITUTE(SUBSTITUTE(TRIM($K1623),"-","")," ",""),마스터시트!$A$2:$H$1946,2,FALSE),"미등록"))</f>
        <v/>
      </c>
      <c r="N1623" s="53" t="str">
        <f>IF($K1623="","",IFERROR(VLOOKUP(--SUBSTITUTE(SUBSTITUTE(TRIM($K1623),"-","")," ",""),마스터시트!$A$2:$H$1946,3,FALSE),"미등록"))</f>
        <v/>
      </c>
      <c r="O1623" s="18" t="str">
        <f>IF($K1623="","",IFERROR(VLOOKUP(--SUBSTITUTE(SUBSTITUTE(TRIM($K1623),"-","")," ",""),마스터시트!$A$2:$H$1946,4,FALSE),""))</f>
        <v/>
      </c>
      <c r="P1623" s="18" t="str">
        <f>IF($K1623="","",IFERROR(VLOOKUP(--SUBSTITUTE(SUBSTITUTE(TRIM($K1623),"-","")," ",""),마스터시트!$A$2:$H$1946,5,FALSE),""))</f>
        <v/>
      </c>
      <c r="Q1623" s="18" t="str">
        <f>IF($K1623="","",IFERROR(VLOOKUP(--SUBSTITUTE(SUBSTITUTE(TRIM($K1623),"-","")," ",""),마스터시트!$A$2:$H$1946,6,FALSE),""))</f>
        <v/>
      </c>
      <c r="R1623" s="18" t="str">
        <f>IF($K1623="","",IFERROR(VLOOKUP(--SUBSTITUTE(SUBSTITUTE(TRIM($K1623),"-","")," ",""),마스터시트!$A$2:$H$1946,7,FALSE),""))</f>
        <v/>
      </c>
    </row>
    <row r="1624" spans="13:18" x14ac:dyDescent="0.3">
      <c r="M1624" s="18" t="str">
        <f>IF($K1624="","",IFERROR(VLOOKUP(--SUBSTITUTE(SUBSTITUTE(TRIM($K1624),"-","")," ",""),마스터시트!$A$2:$H$1946,2,FALSE),"미등록"))</f>
        <v/>
      </c>
      <c r="N1624" s="53" t="str">
        <f>IF($K1624="","",IFERROR(VLOOKUP(--SUBSTITUTE(SUBSTITUTE(TRIM($K1624),"-","")," ",""),마스터시트!$A$2:$H$1946,3,FALSE),"미등록"))</f>
        <v/>
      </c>
      <c r="O1624" s="18" t="str">
        <f>IF($K1624="","",IFERROR(VLOOKUP(--SUBSTITUTE(SUBSTITUTE(TRIM($K1624),"-","")," ",""),마스터시트!$A$2:$H$1946,4,FALSE),""))</f>
        <v/>
      </c>
      <c r="P1624" s="18" t="str">
        <f>IF($K1624="","",IFERROR(VLOOKUP(--SUBSTITUTE(SUBSTITUTE(TRIM($K1624),"-","")," ",""),마스터시트!$A$2:$H$1946,5,FALSE),""))</f>
        <v/>
      </c>
      <c r="Q1624" s="18" t="str">
        <f>IF($K1624="","",IFERROR(VLOOKUP(--SUBSTITUTE(SUBSTITUTE(TRIM($K1624),"-","")," ",""),마스터시트!$A$2:$H$1946,6,FALSE),""))</f>
        <v/>
      </c>
      <c r="R1624" s="18" t="str">
        <f>IF($K1624="","",IFERROR(VLOOKUP(--SUBSTITUTE(SUBSTITUTE(TRIM($K1624),"-","")," ",""),마스터시트!$A$2:$H$1946,7,FALSE),""))</f>
        <v/>
      </c>
    </row>
    <row r="1625" spans="13:18" x14ac:dyDescent="0.3">
      <c r="M1625" s="18" t="str">
        <f>IF($K1625="","",IFERROR(VLOOKUP(--SUBSTITUTE(SUBSTITUTE(TRIM($K1625),"-","")," ",""),마스터시트!$A$2:$H$1946,2,FALSE),"미등록"))</f>
        <v/>
      </c>
      <c r="N1625" s="53" t="str">
        <f>IF($K1625="","",IFERROR(VLOOKUP(--SUBSTITUTE(SUBSTITUTE(TRIM($K1625),"-","")," ",""),마스터시트!$A$2:$H$1946,3,FALSE),"미등록"))</f>
        <v/>
      </c>
      <c r="O1625" s="18" t="str">
        <f>IF($K1625="","",IFERROR(VLOOKUP(--SUBSTITUTE(SUBSTITUTE(TRIM($K1625),"-","")," ",""),마스터시트!$A$2:$H$1946,4,FALSE),""))</f>
        <v/>
      </c>
      <c r="P1625" s="18" t="str">
        <f>IF($K1625="","",IFERROR(VLOOKUP(--SUBSTITUTE(SUBSTITUTE(TRIM($K1625),"-","")," ",""),마스터시트!$A$2:$H$1946,5,FALSE),""))</f>
        <v/>
      </c>
      <c r="Q1625" s="18" t="str">
        <f>IF($K1625="","",IFERROR(VLOOKUP(--SUBSTITUTE(SUBSTITUTE(TRIM($K1625),"-","")," ",""),마스터시트!$A$2:$H$1946,6,FALSE),""))</f>
        <v/>
      </c>
      <c r="R1625" s="18" t="str">
        <f>IF($K1625="","",IFERROR(VLOOKUP(--SUBSTITUTE(SUBSTITUTE(TRIM($K1625),"-","")," ",""),마스터시트!$A$2:$H$1946,7,FALSE),""))</f>
        <v/>
      </c>
    </row>
    <row r="1626" spans="13:18" x14ac:dyDescent="0.3">
      <c r="M1626" s="18" t="str">
        <f>IF($K1626="","",IFERROR(VLOOKUP(--SUBSTITUTE(SUBSTITUTE(TRIM($K1626),"-","")," ",""),마스터시트!$A$2:$H$1946,2,FALSE),"미등록"))</f>
        <v/>
      </c>
      <c r="N1626" s="53" t="str">
        <f>IF($K1626="","",IFERROR(VLOOKUP(--SUBSTITUTE(SUBSTITUTE(TRIM($K1626),"-","")," ",""),마스터시트!$A$2:$H$1946,3,FALSE),"미등록"))</f>
        <v/>
      </c>
      <c r="O1626" s="18" t="str">
        <f>IF($K1626="","",IFERROR(VLOOKUP(--SUBSTITUTE(SUBSTITUTE(TRIM($K1626),"-","")," ",""),마스터시트!$A$2:$H$1946,4,FALSE),""))</f>
        <v/>
      </c>
      <c r="P1626" s="18" t="str">
        <f>IF($K1626="","",IFERROR(VLOOKUP(--SUBSTITUTE(SUBSTITUTE(TRIM($K1626),"-","")," ",""),마스터시트!$A$2:$H$1946,5,FALSE),""))</f>
        <v/>
      </c>
      <c r="Q1626" s="18" t="str">
        <f>IF($K1626="","",IFERROR(VLOOKUP(--SUBSTITUTE(SUBSTITUTE(TRIM($K1626),"-","")," ",""),마스터시트!$A$2:$H$1946,6,FALSE),""))</f>
        <v/>
      </c>
      <c r="R1626" s="18" t="str">
        <f>IF($K1626="","",IFERROR(VLOOKUP(--SUBSTITUTE(SUBSTITUTE(TRIM($K1626),"-","")," ",""),마스터시트!$A$2:$H$1946,7,FALSE),""))</f>
        <v/>
      </c>
    </row>
    <row r="1627" spans="13:18" x14ac:dyDescent="0.3">
      <c r="M1627" s="18" t="str">
        <f>IF($K1627="","",IFERROR(VLOOKUP(--SUBSTITUTE(SUBSTITUTE(TRIM($K1627),"-","")," ",""),마스터시트!$A$2:$H$1946,2,FALSE),"미등록"))</f>
        <v/>
      </c>
      <c r="N1627" s="53" t="str">
        <f>IF($K1627="","",IFERROR(VLOOKUP(--SUBSTITUTE(SUBSTITUTE(TRIM($K1627),"-","")," ",""),마스터시트!$A$2:$H$1946,3,FALSE),"미등록"))</f>
        <v/>
      </c>
      <c r="O1627" s="18" t="str">
        <f>IF($K1627="","",IFERROR(VLOOKUP(--SUBSTITUTE(SUBSTITUTE(TRIM($K1627),"-","")," ",""),마스터시트!$A$2:$H$1946,4,FALSE),""))</f>
        <v/>
      </c>
      <c r="P1627" s="18" t="str">
        <f>IF($K1627="","",IFERROR(VLOOKUP(--SUBSTITUTE(SUBSTITUTE(TRIM($K1627),"-","")," ",""),마스터시트!$A$2:$H$1946,5,FALSE),""))</f>
        <v/>
      </c>
      <c r="Q1627" s="18" t="str">
        <f>IF($K1627="","",IFERROR(VLOOKUP(--SUBSTITUTE(SUBSTITUTE(TRIM($K1627),"-","")," ",""),마스터시트!$A$2:$H$1946,6,FALSE),""))</f>
        <v/>
      </c>
      <c r="R1627" s="18" t="str">
        <f>IF($K1627="","",IFERROR(VLOOKUP(--SUBSTITUTE(SUBSTITUTE(TRIM($K1627),"-","")," ",""),마스터시트!$A$2:$H$1946,7,FALSE),""))</f>
        <v/>
      </c>
    </row>
    <row r="1628" spans="13:18" x14ac:dyDescent="0.3">
      <c r="M1628" s="18" t="str">
        <f>IF($K1628="","",IFERROR(VLOOKUP(--SUBSTITUTE(SUBSTITUTE(TRIM($K1628),"-","")," ",""),마스터시트!$A$2:$H$1946,2,FALSE),"미등록"))</f>
        <v/>
      </c>
      <c r="N1628" s="53" t="str">
        <f>IF($K1628="","",IFERROR(VLOOKUP(--SUBSTITUTE(SUBSTITUTE(TRIM($K1628),"-","")," ",""),마스터시트!$A$2:$H$1946,3,FALSE),"미등록"))</f>
        <v/>
      </c>
      <c r="O1628" s="18" t="str">
        <f>IF($K1628="","",IFERROR(VLOOKUP(--SUBSTITUTE(SUBSTITUTE(TRIM($K1628),"-","")," ",""),마스터시트!$A$2:$H$1946,4,FALSE),""))</f>
        <v/>
      </c>
      <c r="P1628" s="18" t="str">
        <f>IF($K1628="","",IFERROR(VLOOKUP(--SUBSTITUTE(SUBSTITUTE(TRIM($K1628),"-","")," ",""),마스터시트!$A$2:$H$1946,5,FALSE),""))</f>
        <v/>
      </c>
      <c r="Q1628" s="18" t="str">
        <f>IF($K1628="","",IFERROR(VLOOKUP(--SUBSTITUTE(SUBSTITUTE(TRIM($K1628),"-","")," ",""),마스터시트!$A$2:$H$1946,6,FALSE),""))</f>
        <v/>
      </c>
      <c r="R1628" s="18" t="str">
        <f>IF($K1628="","",IFERROR(VLOOKUP(--SUBSTITUTE(SUBSTITUTE(TRIM($K1628),"-","")," ",""),마스터시트!$A$2:$H$1946,7,FALSE),""))</f>
        <v/>
      </c>
    </row>
    <row r="1629" spans="13:18" x14ac:dyDescent="0.3">
      <c r="M1629" s="18" t="str">
        <f>IF($K1629="","",IFERROR(VLOOKUP(--SUBSTITUTE(SUBSTITUTE(TRIM($K1629),"-","")," ",""),마스터시트!$A$2:$H$1946,2,FALSE),"미등록"))</f>
        <v/>
      </c>
      <c r="N1629" s="53" t="str">
        <f>IF($K1629="","",IFERROR(VLOOKUP(--SUBSTITUTE(SUBSTITUTE(TRIM($K1629),"-","")," ",""),마스터시트!$A$2:$H$1946,3,FALSE),"미등록"))</f>
        <v/>
      </c>
      <c r="O1629" s="18" t="str">
        <f>IF($K1629="","",IFERROR(VLOOKUP(--SUBSTITUTE(SUBSTITUTE(TRIM($K1629),"-","")," ",""),마스터시트!$A$2:$H$1946,4,FALSE),""))</f>
        <v/>
      </c>
      <c r="P1629" s="18" t="str">
        <f>IF($K1629="","",IFERROR(VLOOKUP(--SUBSTITUTE(SUBSTITUTE(TRIM($K1629),"-","")," ",""),마스터시트!$A$2:$H$1946,5,FALSE),""))</f>
        <v/>
      </c>
      <c r="Q1629" s="18" t="str">
        <f>IF($K1629="","",IFERROR(VLOOKUP(--SUBSTITUTE(SUBSTITUTE(TRIM($K1629),"-","")," ",""),마스터시트!$A$2:$H$1946,6,FALSE),""))</f>
        <v/>
      </c>
      <c r="R1629" s="18" t="str">
        <f>IF($K1629="","",IFERROR(VLOOKUP(--SUBSTITUTE(SUBSTITUTE(TRIM($K1629),"-","")," ",""),마스터시트!$A$2:$H$1946,7,FALSE),""))</f>
        <v/>
      </c>
    </row>
    <row r="1630" spans="13:18" x14ac:dyDescent="0.3">
      <c r="M1630" s="18" t="str">
        <f>IF($K1630="","",IFERROR(VLOOKUP(--SUBSTITUTE(SUBSTITUTE(TRIM($K1630),"-","")," ",""),마스터시트!$A$2:$H$1946,2,FALSE),"미등록"))</f>
        <v/>
      </c>
      <c r="N1630" s="53" t="str">
        <f>IF($K1630="","",IFERROR(VLOOKUP(--SUBSTITUTE(SUBSTITUTE(TRIM($K1630),"-","")," ",""),마스터시트!$A$2:$H$1946,3,FALSE),"미등록"))</f>
        <v/>
      </c>
      <c r="O1630" s="18" t="str">
        <f>IF($K1630="","",IFERROR(VLOOKUP(--SUBSTITUTE(SUBSTITUTE(TRIM($K1630),"-","")," ",""),마스터시트!$A$2:$H$1946,4,FALSE),""))</f>
        <v/>
      </c>
      <c r="P1630" s="18" t="str">
        <f>IF($K1630="","",IFERROR(VLOOKUP(--SUBSTITUTE(SUBSTITUTE(TRIM($K1630),"-","")," ",""),마스터시트!$A$2:$H$1946,5,FALSE),""))</f>
        <v/>
      </c>
      <c r="Q1630" s="18" t="str">
        <f>IF($K1630="","",IFERROR(VLOOKUP(--SUBSTITUTE(SUBSTITUTE(TRIM($K1630),"-","")," ",""),마스터시트!$A$2:$H$1946,6,FALSE),""))</f>
        <v/>
      </c>
      <c r="R1630" s="18" t="str">
        <f>IF($K1630="","",IFERROR(VLOOKUP(--SUBSTITUTE(SUBSTITUTE(TRIM($K1630),"-","")," ",""),마스터시트!$A$2:$H$1946,7,FALSE),""))</f>
        <v/>
      </c>
    </row>
    <row r="1631" spans="13:18" x14ac:dyDescent="0.3">
      <c r="M1631" s="18" t="str">
        <f>IF($K1631="","",IFERROR(VLOOKUP(--SUBSTITUTE(SUBSTITUTE(TRIM($K1631),"-","")," ",""),마스터시트!$A$2:$H$1946,2,FALSE),"미등록"))</f>
        <v/>
      </c>
      <c r="N1631" s="53" t="str">
        <f>IF($K1631="","",IFERROR(VLOOKUP(--SUBSTITUTE(SUBSTITUTE(TRIM($K1631),"-","")," ",""),마스터시트!$A$2:$H$1946,3,FALSE),"미등록"))</f>
        <v/>
      </c>
      <c r="O1631" s="18" t="str">
        <f>IF($K1631="","",IFERROR(VLOOKUP(--SUBSTITUTE(SUBSTITUTE(TRIM($K1631),"-","")," ",""),마스터시트!$A$2:$H$1946,4,FALSE),""))</f>
        <v/>
      </c>
      <c r="P1631" s="18" t="str">
        <f>IF($K1631="","",IFERROR(VLOOKUP(--SUBSTITUTE(SUBSTITUTE(TRIM($K1631),"-","")," ",""),마스터시트!$A$2:$H$1946,5,FALSE),""))</f>
        <v/>
      </c>
      <c r="Q1631" s="18" t="str">
        <f>IF($K1631="","",IFERROR(VLOOKUP(--SUBSTITUTE(SUBSTITUTE(TRIM($K1631),"-","")," ",""),마스터시트!$A$2:$H$1946,6,FALSE),""))</f>
        <v/>
      </c>
      <c r="R1631" s="18" t="str">
        <f>IF($K1631="","",IFERROR(VLOOKUP(--SUBSTITUTE(SUBSTITUTE(TRIM($K1631),"-","")," ",""),마스터시트!$A$2:$H$1946,7,FALSE),""))</f>
        <v/>
      </c>
    </row>
    <row r="1632" spans="13:18" x14ac:dyDescent="0.3">
      <c r="M1632" s="18" t="str">
        <f>IF($K1632="","",IFERROR(VLOOKUP(--SUBSTITUTE(SUBSTITUTE(TRIM($K1632),"-","")," ",""),마스터시트!$A$2:$H$1946,2,FALSE),"미등록"))</f>
        <v/>
      </c>
      <c r="N1632" s="53" t="str">
        <f>IF($K1632="","",IFERROR(VLOOKUP(--SUBSTITUTE(SUBSTITUTE(TRIM($K1632),"-","")," ",""),마스터시트!$A$2:$H$1946,3,FALSE),"미등록"))</f>
        <v/>
      </c>
      <c r="O1632" s="18" t="str">
        <f>IF($K1632="","",IFERROR(VLOOKUP(--SUBSTITUTE(SUBSTITUTE(TRIM($K1632),"-","")," ",""),마스터시트!$A$2:$H$1946,4,FALSE),""))</f>
        <v/>
      </c>
      <c r="P1632" s="18" t="str">
        <f>IF($K1632="","",IFERROR(VLOOKUP(--SUBSTITUTE(SUBSTITUTE(TRIM($K1632),"-","")," ",""),마스터시트!$A$2:$H$1946,5,FALSE),""))</f>
        <v/>
      </c>
      <c r="Q1632" s="18" t="str">
        <f>IF($K1632="","",IFERROR(VLOOKUP(--SUBSTITUTE(SUBSTITUTE(TRIM($K1632),"-","")," ",""),마스터시트!$A$2:$H$1946,6,FALSE),""))</f>
        <v/>
      </c>
      <c r="R1632" s="18" t="str">
        <f>IF($K1632="","",IFERROR(VLOOKUP(--SUBSTITUTE(SUBSTITUTE(TRIM($K1632),"-","")," ",""),마스터시트!$A$2:$H$1946,7,FALSE),""))</f>
        <v/>
      </c>
    </row>
    <row r="1633" spans="13:18" x14ac:dyDescent="0.3">
      <c r="M1633" s="18" t="str">
        <f>IF($K1633="","",IFERROR(VLOOKUP(--SUBSTITUTE(SUBSTITUTE(TRIM($K1633),"-","")," ",""),마스터시트!$A$2:$H$1946,2,FALSE),"미등록"))</f>
        <v/>
      </c>
      <c r="N1633" s="53" t="str">
        <f>IF($K1633="","",IFERROR(VLOOKUP(--SUBSTITUTE(SUBSTITUTE(TRIM($K1633),"-","")," ",""),마스터시트!$A$2:$H$1946,3,FALSE),"미등록"))</f>
        <v/>
      </c>
      <c r="O1633" s="18" t="str">
        <f>IF($K1633="","",IFERROR(VLOOKUP(--SUBSTITUTE(SUBSTITUTE(TRIM($K1633),"-","")," ",""),마스터시트!$A$2:$H$1946,4,FALSE),""))</f>
        <v/>
      </c>
      <c r="P1633" s="18" t="str">
        <f>IF($K1633="","",IFERROR(VLOOKUP(--SUBSTITUTE(SUBSTITUTE(TRIM($K1633),"-","")," ",""),마스터시트!$A$2:$H$1946,5,FALSE),""))</f>
        <v/>
      </c>
      <c r="Q1633" s="18" t="str">
        <f>IF($K1633="","",IFERROR(VLOOKUP(--SUBSTITUTE(SUBSTITUTE(TRIM($K1633),"-","")," ",""),마스터시트!$A$2:$H$1946,6,FALSE),""))</f>
        <v/>
      </c>
      <c r="R1633" s="18" t="str">
        <f>IF($K1633="","",IFERROR(VLOOKUP(--SUBSTITUTE(SUBSTITUTE(TRIM($K1633),"-","")," ",""),마스터시트!$A$2:$H$1946,7,FALSE),""))</f>
        <v/>
      </c>
    </row>
    <row r="1634" spans="13:18" x14ac:dyDescent="0.3">
      <c r="M1634" s="18" t="str">
        <f>IF($K1634="","",IFERROR(VLOOKUP(--SUBSTITUTE(SUBSTITUTE(TRIM($K1634),"-","")," ",""),마스터시트!$A$2:$H$1946,2,FALSE),"미등록"))</f>
        <v/>
      </c>
      <c r="N1634" s="53" t="str">
        <f>IF($K1634="","",IFERROR(VLOOKUP(--SUBSTITUTE(SUBSTITUTE(TRIM($K1634),"-","")," ",""),마스터시트!$A$2:$H$1946,3,FALSE),"미등록"))</f>
        <v/>
      </c>
      <c r="O1634" s="18" t="str">
        <f>IF($K1634="","",IFERROR(VLOOKUP(--SUBSTITUTE(SUBSTITUTE(TRIM($K1634),"-","")," ",""),마스터시트!$A$2:$H$1946,4,FALSE),""))</f>
        <v/>
      </c>
      <c r="P1634" s="18" t="str">
        <f>IF($K1634="","",IFERROR(VLOOKUP(--SUBSTITUTE(SUBSTITUTE(TRIM($K1634),"-","")," ",""),마스터시트!$A$2:$H$1946,5,FALSE),""))</f>
        <v/>
      </c>
      <c r="Q1634" s="18" t="str">
        <f>IF($K1634="","",IFERROR(VLOOKUP(--SUBSTITUTE(SUBSTITUTE(TRIM($K1634),"-","")," ",""),마스터시트!$A$2:$H$1946,6,FALSE),""))</f>
        <v/>
      </c>
      <c r="R1634" s="18" t="str">
        <f>IF($K1634="","",IFERROR(VLOOKUP(--SUBSTITUTE(SUBSTITUTE(TRIM($K1634),"-","")," ",""),마스터시트!$A$2:$H$1946,7,FALSE),""))</f>
        <v/>
      </c>
    </row>
    <row r="1635" spans="13:18" x14ac:dyDescent="0.3">
      <c r="M1635" s="18" t="str">
        <f>IF($K1635="","",IFERROR(VLOOKUP(--SUBSTITUTE(SUBSTITUTE(TRIM($K1635),"-","")," ",""),마스터시트!$A$2:$H$1946,2,FALSE),"미등록"))</f>
        <v/>
      </c>
      <c r="N1635" s="53" t="str">
        <f>IF($K1635="","",IFERROR(VLOOKUP(--SUBSTITUTE(SUBSTITUTE(TRIM($K1635),"-","")," ",""),마스터시트!$A$2:$H$1946,3,FALSE),"미등록"))</f>
        <v/>
      </c>
      <c r="O1635" s="18" t="str">
        <f>IF($K1635="","",IFERROR(VLOOKUP(--SUBSTITUTE(SUBSTITUTE(TRIM($K1635),"-","")," ",""),마스터시트!$A$2:$H$1946,4,FALSE),""))</f>
        <v/>
      </c>
      <c r="P1635" s="18" t="str">
        <f>IF($K1635="","",IFERROR(VLOOKUP(--SUBSTITUTE(SUBSTITUTE(TRIM($K1635),"-","")," ",""),마스터시트!$A$2:$H$1946,5,FALSE),""))</f>
        <v/>
      </c>
      <c r="Q1635" s="18" t="str">
        <f>IF($K1635="","",IFERROR(VLOOKUP(--SUBSTITUTE(SUBSTITUTE(TRIM($K1635),"-","")," ",""),마스터시트!$A$2:$H$1946,6,FALSE),""))</f>
        <v/>
      </c>
      <c r="R1635" s="18" t="str">
        <f>IF($K1635="","",IFERROR(VLOOKUP(--SUBSTITUTE(SUBSTITUTE(TRIM($K1635),"-","")," ",""),마스터시트!$A$2:$H$1946,7,FALSE),""))</f>
        <v/>
      </c>
    </row>
    <row r="1636" spans="13:18" x14ac:dyDescent="0.3">
      <c r="M1636" s="18" t="str">
        <f>IF($K1636="","",IFERROR(VLOOKUP(--SUBSTITUTE(SUBSTITUTE(TRIM($K1636),"-","")," ",""),마스터시트!$A$2:$H$1946,2,FALSE),"미등록"))</f>
        <v/>
      </c>
      <c r="N1636" s="53" t="str">
        <f>IF($K1636="","",IFERROR(VLOOKUP(--SUBSTITUTE(SUBSTITUTE(TRIM($K1636),"-","")," ",""),마스터시트!$A$2:$H$1946,3,FALSE),"미등록"))</f>
        <v/>
      </c>
      <c r="O1636" s="18" t="str">
        <f>IF($K1636="","",IFERROR(VLOOKUP(--SUBSTITUTE(SUBSTITUTE(TRIM($K1636),"-","")," ",""),마스터시트!$A$2:$H$1946,4,FALSE),""))</f>
        <v/>
      </c>
      <c r="P1636" s="18" t="str">
        <f>IF($K1636="","",IFERROR(VLOOKUP(--SUBSTITUTE(SUBSTITUTE(TRIM($K1636),"-","")," ",""),마스터시트!$A$2:$H$1946,5,FALSE),""))</f>
        <v/>
      </c>
      <c r="Q1636" s="18" t="str">
        <f>IF($K1636="","",IFERROR(VLOOKUP(--SUBSTITUTE(SUBSTITUTE(TRIM($K1636),"-","")," ",""),마스터시트!$A$2:$H$1946,6,FALSE),""))</f>
        <v/>
      </c>
      <c r="R1636" s="18" t="str">
        <f>IF($K1636="","",IFERROR(VLOOKUP(--SUBSTITUTE(SUBSTITUTE(TRIM($K1636),"-","")," ",""),마스터시트!$A$2:$H$1946,7,FALSE),""))</f>
        <v/>
      </c>
    </row>
    <row r="1637" spans="13:18" x14ac:dyDescent="0.3">
      <c r="M1637" s="18" t="str">
        <f>IF($K1637="","",IFERROR(VLOOKUP(--SUBSTITUTE(SUBSTITUTE(TRIM($K1637),"-","")," ",""),마스터시트!$A$2:$H$1946,2,FALSE),"미등록"))</f>
        <v/>
      </c>
      <c r="N1637" s="53" t="str">
        <f>IF($K1637="","",IFERROR(VLOOKUP(--SUBSTITUTE(SUBSTITUTE(TRIM($K1637),"-","")," ",""),마스터시트!$A$2:$H$1946,3,FALSE),"미등록"))</f>
        <v/>
      </c>
      <c r="O1637" s="18" t="str">
        <f>IF($K1637="","",IFERROR(VLOOKUP(--SUBSTITUTE(SUBSTITUTE(TRIM($K1637),"-","")," ",""),마스터시트!$A$2:$H$1946,4,FALSE),""))</f>
        <v/>
      </c>
      <c r="P1637" s="18" t="str">
        <f>IF($K1637="","",IFERROR(VLOOKUP(--SUBSTITUTE(SUBSTITUTE(TRIM($K1637),"-","")," ",""),마스터시트!$A$2:$H$1946,5,FALSE),""))</f>
        <v/>
      </c>
      <c r="Q1637" s="18" t="str">
        <f>IF($K1637="","",IFERROR(VLOOKUP(--SUBSTITUTE(SUBSTITUTE(TRIM($K1637),"-","")," ",""),마스터시트!$A$2:$H$1946,6,FALSE),""))</f>
        <v/>
      </c>
      <c r="R1637" s="18" t="str">
        <f>IF($K1637="","",IFERROR(VLOOKUP(--SUBSTITUTE(SUBSTITUTE(TRIM($K1637),"-","")," ",""),마스터시트!$A$2:$H$1946,7,FALSE),""))</f>
        <v/>
      </c>
    </row>
    <row r="1638" spans="13:18" x14ac:dyDescent="0.3">
      <c r="M1638" s="18" t="str">
        <f>IF($K1638="","",IFERROR(VLOOKUP(--SUBSTITUTE(SUBSTITUTE(TRIM($K1638),"-","")," ",""),마스터시트!$A$2:$H$1946,2,FALSE),"미등록"))</f>
        <v/>
      </c>
      <c r="N1638" s="53" t="str">
        <f>IF($K1638="","",IFERROR(VLOOKUP(--SUBSTITUTE(SUBSTITUTE(TRIM($K1638),"-","")," ",""),마스터시트!$A$2:$H$1946,3,FALSE),"미등록"))</f>
        <v/>
      </c>
      <c r="O1638" s="18" t="str">
        <f>IF($K1638="","",IFERROR(VLOOKUP(--SUBSTITUTE(SUBSTITUTE(TRIM($K1638),"-","")," ",""),마스터시트!$A$2:$H$1946,4,FALSE),""))</f>
        <v/>
      </c>
      <c r="P1638" s="18" t="str">
        <f>IF($K1638="","",IFERROR(VLOOKUP(--SUBSTITUTE(SUBSTITUTE(TRIM($K1638),"-","")," ",""),마스터시트!$A$2:$H$1946,5,FALSE),""))</f>
        <v/>
      </c>
      <c r="Q1638" s="18" t="str">
        <f>IF($K1638="","",IFERROR(VLOOKUP(--SUBSTITUTE(SUBSTITUTE(TRIM($K1638),"-","")," ",""),마스터시트!$A$2:$H$1946,6,FALSE),""))</f>
        <v/>
      </c>
      <c r="R1638" s="18" t="str">
        <f>IF($K1638="","",IFERROR(VLOOKUP(--SUBSTITUTE(SUBSTITUTE(TRIM($K1638),"-","")," ",""),마스터시트!$A$2:$H$1946,7,FALSE),""))</f>
        <v/>
      </c>
    </row>
    <row r="1639" spans="13:18" x14ac:dyDescent="0.3">
      <c r="M1639" s="18" t="str">
        <f>IF($K1639="","",IFERROR(VLOOKUP(--SUBSTITUTE(SUBSTITUTE(TRIM($K1639),"-","")," ",""),마스터시트!$A$2:$H$1946,2,FALSE),"미등록"))</f>
        <v/>
      </c>
      <c r="N1639" s="53" t="str">
        <f>IF($K1639="","",IFERROR(VLOOKUP(--SUBSTITUTE(SUBSTITUTE(TRIM($K1639),"-","")," ",""),마스터시트!$A$2:$H$1946,3,FALSE),"미등록"))</f>
        <v/>
      </c>
      <c r="O1639" s="18" t="str">
        <f>IF($K1639="","",IFERROR(VLOOKUP(--SUBSTITUTE(SUBSTITUTE(TRIM($K1639),"-","")," ",""),마스터시트!$A$2:$H$1946,4,FALSE),""))</f>
        <v/>
      </c>
      <c r="P1639" s="18" t="str">
        <f>IF($K1639="","",IFERROR(VLOOKUP(--SUBSTITUTE(SUBSTITUTE(TRIM($K1639),"-","")," ",""),마스터시트!$A$2:$H$1946,5,FALSE),""))</f>
        <v/>
      </c>
      <c r="Q1639" s="18" t="str">
        <f>IF($K1639="","",IFERROR(VLOOKUP(--SUBSTITUTE(SUBSTITUTE(TRIM($K1639),"-","")," ",""),마스터시트!$A$2:$H$1946,6,FALSE),""))</f>
        <v/>
      </c>
      <c r="R1639" s="18" t="str">
        <f>IF($K1639="","",IFERROR(VLOOKUP(--SUBSTITUTE(SUBSTITUTE(TRIM($K1639),"-","")," ",""),마스터시트!$A$2:$H$1946,7,FALSE),""))</f>
        <v/>
      </c>
    </row>
    <row r="1640" spans="13:18" x14ac:dyDescent="0.3">
      <c r="M1640" s="18" t="str">
        <f>IF($K1640="","",IFERROR(VLOOKUP(--SUBSTITUTE(SUBSTITUTE(TRIM($K1640),"-","")," ",""),마스터시트!$A$2:$H$1946,2,FALSE),"미등록"))</f>
        <v/>
      </c>
      <c r="N1640" s="53" t="str">
        <f>IF($K1640="","",IFERROR(VLOOKUP(--SUBSTITUTE(SUBSTITUTE(TRIM($K1640),"-","")," ",""),마스터시트!$A$2:$H$1946,3,FALSE),"미등록"))</f>
        <v/>
      </c>
      <c r="O1640" s="18" t="str">
        <f>IF($K1640="","",IFERROR(VLOOKUP(--SUBSTITUTE(SUBSTITUTE(TRIM($K1640),"-","")," ",""),마스터시트!$A$2:$H$1946,4,FALSE),""))</f>
        <v/>
      </c>
      <c r="P1640" s="18" t="str">
        <f>IF($K1640="","",IFERROR(VLOOKUP(--SUBSTITUTE(SUBSTITUTE(TRIM($K1640),"-","")," ",""),마스터시트!$A$2:$H$1946,5,FALSE),""))</f>
        <v/>
      </c>
      <c r="Q1640" s="18" t="str">
        <f>IF($K1640="","",IFERROR(VLOOKUP(--SUBSTITUTE(SUBSTITUTE(TRIM($K1640),"-","")," ",""),마스터시트!$A$2:$H$1946,6,FALSE),""))</f>
        <v/>
      </c>
      <c r="R1640" s="18" t="str">
        <f>IF($K1640="","",IFERROR(VLOOKUP(--SUBSTITUTE(SUBSTITUTE(TRIM($K1640),"-","")," ",""),마스터시트!$A$2:$H$1946,7,FALSE),""))</f>
        <v/>
      </c>
    </row>
    <row r="1641" spans="13:18" x14ac:dyDescent="0.3">
      <c r="M1641" s="18" t="str">
        <f>IF($K1641="","",IFERROR(VLOOKUP(--SUBSTITUTE(SUBSTITUTE(TRIM($K1641),"-","")," ",""),마스터시트!$A$2:$H$1946,2,FALSE),"미등록"))</f>
        <v/>
      </c>
      <c r="N1641" s="53" t="str">
        <f>IF($K1641="","",IFERROR(VLOOKUP(--SUBSTITUTE(SUBSTITUTE(TRIM($K1641),"-","")," ",""),마스터시트!$A$2:$H$1946,3,FALSE),"미등록"))</f>
        <v/>
      </c>
      <c r="O1641" s="18" t="str">
        <f>IF($K1641="","",IFERROR(VLOOKUP(--SUBSTITUTE(SUBSTITUTE(TRIM($K1641),"-","")," ",""),마스터시트!$A$2:$H$1946,4,FALSE),""))</f>
        <v/>
      </c>
      <c r="P1641" s="18" t="str">
        <f>IF($K1641="","",IFERROR(VLOOKUP(--SUBSTITUTE(SUBSTITUTE(TRIM($K1641),"-","")," ",""),마스터시트!$A$2:$H$1946,5,FALSE),""))</f>
        <v/>
      </c>
      <c r="Q1641" s="18" t="str">
        <f>IF($K1641="","",IFERROR(VLOOKUP(--SUBSTITUTE(SUBSTITUTE(TRIM($K1641),"-","")," ",""),마스터시트!$A$2:$H$1946,6,FALSE),""))</f>
        <v/>
      </c>
      <c r="R1641" s="18" t="str">
        <f>IF($K1641="","",IFERROR(VLOOKUP(--SUBSTITUTE(SUBSTITUTE(TRIM($K1641),"-","")," ",""),마스터시트!$A$2:$H$1946,7,FALSE),""))</f>
        <v/>
      </c>
    </row>
    <row r="1642" spans="13:18" x14ac:dyDescent="0.3">
      <c r="M1642" s="18" t="str">
        <f>IF($K1642="","",IFERROR(VLOOKUP(--SUBSTITUTE(SUBSTITUTE(TRIM($K1642),"-","")," ",""),마스터시트!$A$2:$H$1946,2,FALSE),"미등록"))</f>
        <v/>
      </c>
      <c r="N1642" s="53" t="str">
        <f>IF($K1642="","",IFERROR(VLOOKUP(--SUBSTITUTE(SUBSTITUTE(TRIM($K1642),"-","")," ",""),마스터시트!$A$2:$H$1946,3,FALSE),"미등록"))</f>
        <v/>
      </c>
      <c r="O1642" s="18" t="str">
        <f>IF($K1642="","",IFERROR(VLOOKUP(--SUBSTITUTE(SUBSTITUTE(TRIM($K1642),"-","")," ",""),마스터시트!$A$2:$H$1946,4,FALSE),""))</f>
        <v/>
      </c>
      <c r="P1642" s="18" t="str">
        <f>IF($K1642="","",IFERROR(VLOOKUP(--SUBSTITUTE(SUBSTITUTE(TRIM($K1642),"-","")," ",""),마스터시트!$A$2:$H$1946,5,FALSE),""))</f>
        <v/>
      </c>
      <c r="Q1642" s="18" t="str">
        <f>IF($K1642="","",IFERROR(VLOOKUP(--SUBSTITUTE(SUBSTITUTE(TRIM($K1642),"-","")," ",""),마스터시트!$A$2:$H$1946,6,FALSE),""))</f>
        <v/>
      </c>
      <c r="R1642" s="18" t="str">
        <f>IF($K1642="","",IFERROR(VLOOKUP(--SUBSTITUTE(SUBSTITUTE(TRIM($K1642),"-","")," ",""),마스터시트!$A$2:$H$1946,7,FALSE),""))</f>
        <v/>
      </c>
    </row>
    <row r="1643" spans="13:18" x14ac:dyDescent="0.3">
      <c r="M1643" s="18" t="str">
        <f>IF($K1643="","",IFERROR(VLOOKUP(--SUBSTITUTE(SUBSTITUTE(TRIM($K1643),"-","")," ",""),마스터시트!$A$2:$H$1946,2,FALSE),"미등록"))</f>
        <v/>
      </c>
      <c r="N1643" s="53" t="str">
        <f>IF($K1643="","",IFERROR(VLOOKUP(--SUBSTITUTE(SUBSTITUTE(TRIM($K1643),"-","")," ",""),마스터시트!$A$2:$H$1946,3,FALSE),"미등록"))</f>
        <v/>
      </c>
      <c r="O1643" s="18" t="str">
        <f>IF($K1643="","",IFERROR(VLOOKUP(--SUBSTITUTE(SUBSTITUTE(TRIM($K1643),"-","")," ",""),마스터시트!$A$2:$H$1946,4,FALSE),""))</f>
        <v/>
      </c>
      <c r="P1643" s="18" t="str">
        <f>IF($K1643="","",IFERROR(VLOOKUP(--SUBSTITUTE(SUBSTITUTE(TRIM($K1643),"-","")," ",""),마스터시트!$A$2:$H$1946,5,FALSE),""))</f>
        <v/>
      </c>
      <c r="Q1643" s="18" t="str">
        <f>IF($K1643="","",IFERROR(VLOOKUP(--SUBSTITUTE(SUBSTITUTE(TRIM($K1643),"-","")," ",""),마스터시트!$A$2:$H$1946,6,FALSE),""))</f>
        <v/>
      </c>
      <c r="R1643" s="18" t="str">
        <f>IF($K1643="","",IFERROR(VLOOKUP(--SUBSTITUTE(SUBSTITUTE(TRIM($K1643),"-","")," ",""),마스터시트!$A$2:$H$1946,7,FALSE),""))</f>
        <v/>
      </c>
    </row>
    <row r="1644" spans="13:18" x14ac:dyDescent="0.3">
      <c r="M1644" s="18" t="str">
        <f>IF($K1644="","",IFERROR(VLOOKUP(--SUBSTITUTE(SUBSTITUTE(TRIM($K1644),"-","")," ",""),마스터시트!$A$2:$H$1946,2,FALSE),"미등록"))</f>
        <v/>
      </c>
      <c r="N1644" s="53" t="str">
        <f>IF($K1644="","",IFERROR(VLOOKUP(--SUBSTITUTE(SUBSTITUTE(TRIM($K1644),"-","")," ",""),마스터시트!$A$2:$H$1946,3,FALSE),"미등록"))</f>
        <v/>
      </c>
      <c r="O1644" s="18" t="str">
        <f>IF($K1644="","",IFERROR(VLOOKUP(--SUBSTITUTE(SUBSTITUTE(TRIM($K1644),"-","")," ",""),마스터시트!$A$2:$H$1946,4,FALSE),""))</f>
        <v/>
      </c>
      <c r="P1644" s="18" t="str">
        <f>IF($K1644="","",IFERROR(VLOOKUP(--SUBSTITUTE(SUBSTITUTE(TRIM($K1644),"-","")," ",""),마스터시트!$A$2:$H$1946,5,FALSE),""))</f>
        <v/>
      </c>
      <c r="Q1644" s="18" t="str">
        <f>IF($K1644="","",IFERROR(VLOOKUP(--SUBSTITUTE(SUBSTITUTE(TRIM($K1644),"-","")," ",""),마스터시트!$A$2:$H$1946,6,FALSE),""))</f>
        <v/>
      </c>
      <c r="R1644" s="18" t="str">
        <f>IF($K1644="","",IFERROR(VLOOKUP(--SUBSTITUTE(SUBSTITUTE(TRIM($K1644),"-","")," ",""),마스터시트!$A$2:$H$1946,7,FALSE),""))</f>
        <v/>
      </c>
    </row>
    <row r="1645" spans="13:18" x14ac:dyDescent="0.3">
      <c r="M1645" s="18" t="str">
        <f>IF($K1645="","",IFERROR(VLOOKUP(--SUBSTITUTE(SUBSTITUTE(TRIM($K1645),"-","")," ",""),마스터시트!$A$2:$H$1946,2,FALSE),"미등록"))</f>
        <v/>
      </c>
      <c r="N1645" s="53" t="str">
        <f>IF($K1645="","",IFERROR(VLOOKUP(--SUBSTITUTE(SUBSTITUTE(TRIM($K1645),"-","")," ",""),마스터시트!$A$2:$H$1946,3,FALSE),"미등록"))</f>
        <v/>
      </c>
      <c r="O1645" s="18" t="str">
        <f>IF($K1645="","",IFERROR(VLOOKUP(--SUBSTITUTE(SUBSTITUTE(TRIM($K1645),"-","")," ",""),마스터시트!$A$2:$H$1946,4,FALSE),""))</f>
        <v/>
      </c>
      <c r="P1645" s="18" t="str">
        <f>IF($K1645="","",IFERROR(VLOOKUP(--SUBSTITUTE(SUBSTITUTE(TRIM($K1645),"-","")," ",""),마스터시트!$A$2:$H$1946,5,FALSE),""))</f>
        <v/>
      </c>
      <c r="Q1645" s="18" t="str">
        <f>IF($K1645="","",IFERROR(VLOOKUP(--SUBSTITUTE(SUBSTITUTE(TRIM($K1645),"-","")," ",""),마스터시트!$A$2:$H$1946,6,FALSE),""))</f>
        <v/>
      </c>
      <c r="R1645" s="18" t="str">
        <f>IF($K1645="","",IFERROR(VLOOKUP(--SUBSTITUTE(SUBSTITUTE(TRIM($K1645),"-","")," ",""),마스터시트!$A$2:$H$1946,7,FALSE),""))</f>
        <v/>
      </c>
    </row>
    <row r="1646" spans="13:18" x14ac:dyDescent="0.3">
      <c r="M1646" s="18" t="str">
        <f>IF($K1646="","",IFERROR(VLOOKUP(--SUBSTITUTE(SUBSTITUTE(TRIM($K1646),"-","")," ",""),마스터시트!$A$2:$H$1946,2,FALSE),"미등록"))</f>
        <v/>
      </c>
      <c r="N1646" s="53" t="str">
        <f>IF($K1646="","",IFERROR(VLOOKUP(--SUBSTITUTE(SUBSTITUTE(TRIM($K1646),"-","")," ",""),마스터시트!$A$2:$H$1946,3,FALSE),"미등록"))</f>
        <v/>
      </c>
      <c r="O1646" s="18" t="str">
        <f>IF($K1646="","",IFERROR(VLOOKUP(--SUBSTITUTE(SUBSTITUTE(TRIM($K1646),"-","")," ",""),마스터시트!$A$2:$H$1946,4,FALSE),""))</f>
        <v/>
      </c>
      <c r="P1646" s="18" t="str">
        <f>IF($K1646="","",IFERROR(VLOOKUP(--SUBSTITUTE(SUBSTITUTE(TRIM($K1646),"-","")," ",""),마스터시트!$A$2:$H$1946,5,FALSE),""))</f>
        <v/>
      </c>
      <c r="Q1646" s="18" t="str">
        <f>IF($K1646="","",IFERROR(VLOOKUP(--SUBSTITUTE(SUBSTITUTE(TRIM($K1646),"-","")," ",""),마스터시트!$A$2:$H$1946,6,FALSE),""))</f>
        <v/>
      </c>
      <c r="R1646" s="18" t="str">
        <f>IF($K1646="","",IFERROR(VLOOKUP(--SUBSTITUTE(SUBSTITUTE(TRIM($K1646),"-","")," ",""),마스터시트!$A$2:$H$1946,7,FALSE),""))</f>
        <v/>
      </c>
    </row>
    <row r="1647" spans="13:18" x14ac:dyDescent="0.3">
      <c r="M1647" s="18" t="str">
        <f>IF($K1647="","",IFERROR(VLOOKUP(--SUBSTITUTE(SUBSTITUTE(TRIM($K1647),"-","")," ",""),마스터시트!$A$2:$H$1946,2,FALSE),"미등록"))</f>
        <v/>
      </c>
      <c r="N1647" s="53" t="str">
        <f>IF($K1647="","",IFERROR(VLOOKUP(--SUBSTITUTE(SUBSTITUTE(TRIM($K1647),"-","")," ",""),마스터시트!$A$2:$H$1946,3,FALSE),"미등록"))</f>
        <v/>
      </c>
      <c r="O1647" s="18" t="str">
        <f>IF($K1647="","",IFERROR(VLOOKUP(--SUBSTITUTE(SUBSTITUTE(TRIM($K1647),"-","")," ",""),마스터시트!$A$2:$H$1946,4,FALSE),""))</f>
        <v/>
      </c>
      <c r="P1647" s="18" t="str">
        <f>IF($K1647="","",IFERROR(VLOOKUP(--SUBSTITUTE(SUBSTITUTE(TRIM($K1647),"-","")," ",""),마스터시트!$A$2:$H$1946,5,FALSE),""))</f>
        <v/>
      </c>
      <c r="Q1647" s="18" t="str">
        <f>IF($K1647="","",IFERROR(VLOOKUP(--SUBSTITUTE(SUBSTITUTE(TRIM($K1647),"-","")," ",""),마스터시트!$A$2:$H$1946,6,FALSE),""))</f>
        <v/>
      </c>
      <c r="R1647" s="18" t="str">
        <f>IF($K1647="","",IFERROR(VLOOKUP(--SUBSTITUTE(SUBSTITUTE(TRIM($K1647),"-","")," ",""),마스터시트!$A$2:$H$1946,7,FALSE),""))</f>
        <v/>
      </c>
    </row>
    <row r="1648" spans="13:18" x14ac:dyDescent="0.3">
      <c r="M1648" s="18" t="str">
        <f>IF($K1648="","",IFERROR(VLOOKUP(--SUBSTITUTE(SUBSTITUTE(TRIM($K1648),"-","")," ",""),마스터시트!$A$2:$H$1946,2,FALSE),"미등록"))</f>
        <v/>
      </c>
      <c r="N1648" s="53" t="str">
        <f>IF($K1648="","",IFERROR(VLOOKUP(--SUBSTITUTE(SUBSTITUTE(TRIM($K1648),"-","")," ",""),마스터시트!$A$2:$H$1946,3,FALSE),"미등록"))</f>
        <v/>
      </c>
      <c r="O1648" s="18" t="str">
        <f>IF($K1648="","",IFERROR(VLOOKUP(--SUBSTITUTE(SUBSTITUTE(TRIM($K1648),"-","")," ",""),마스터시트!$A$2:$H$1946,4,FALSE),""))</f>
        <v/>
      </c>
      <c r="P1648" s="18" t="str">
        <f>IF($K1648="","",IFERROR(VLOOKUP(--SUBSTITUTE(SUBSTITUTE(TRIM($K1648),"-","")," ",""),마스터시트!$A$2:$H$1946,5,FALSE),""))</f>
        <v/>
      </c>
      <c r="Q1648" s="18" t="str">
        <f>IF($K1648="","",IFERROR(VLOOKUP(--SUBSTITUTE(SUBSTITUTE(TRIM($K1648),"-","")," ",""),마스터시트!$A$2:$H$1946,6,FALSE),""))</f>
        <v/>
      </c>
      <c r="R1648" s="18" t="str">
        <f>IF($K1648="","",IFERROR(VLOOKUP(--SUBSTITUTE(SUBSTITUTE(TRIM($K1648),"-","")," ",""),마스터시트!$A$2:$H$1946,7,FALSE),""))</f>
        <v/>
      </c>
    </row>
    <row r="1649" spans="13:18" x14ac:dyDescent="0.3">
      <c r="M1649" s="18" t="str">
        <f>IF($K1649="","",IFERROR(VLOOKUP(--SUBSTITUTE(SUBSTITUTE(TRIM($K1649),"-","")," ",""),마스터시트!$A$2:$H$1946,2,FALSE),"미등록"))</f>
        <v/>
      </c>
      <c r="N1649" s="53" t="str">
        <f>IF($K1649="","",IFERROR(VLOOKUP(--SUBSTITUTE(SUBSTITUTE(TRIM($K1649),"-","")," ",""),마스터시트!$A$2:$H$1946,3,FALSE),"미등록"))</f>
        <v/>
      </c>
      <c r="O1649" s="18" t="str">
        <f>IF($K1649="","",IFERROR(VLOOKUP(--SUBSTITUTE(SUBSTITUTE(TRIM($K1649),"-","")," ",""),마스터시트!$A$2:$H$1946,4,FALSE),""))</f>
        <v/>
      </c>
      <c r="P1649" s="18" t="str">
        <f>IF($K1649="","",IFERROR(VLOOKUP(--SUBSTITUTE(SUBSTITUTE(TRIM($K1649),"-","")," ",""),마스터시트!$A$2:$H$1946,5,FALSE),""))</f>
        <v/>
      </c>
      <c r="Q1649" s="18" t="str">
        <f>IF($K1649="","",IFERROR(VLOOKUP(--SUBSTITUTE(SUBSTITUTE(TRIM($K1649),"-","")," ",""),마스터시트!$A$2:$H$1946,6,FALSE),""))</f>
        <v/>
      </c>
      <c r="R1649" s="18" t="str">
        <f>IF($K1649="","",IFERROR(VLOOKUP(--SUBSTITUTE(SUBSTITUTE(TRIM($K1649),"-","")," ",""),마스터시트!$A$2:$H$1946,7,FALSE),""))</f>
        <v/>
      </c>
    </row>
    <row r="1650" spans="13:18" x14ac:dyDescent="0.3">
      <c r="M1650" s="18" t="str">
        <f>IF($K1650="","",IFERROR(VLOOKUP(--SUBSTITUTE(SUBSTITUTE(TRIM($K1650),"-","")," ",""),마스터시트!$A$2:$H$1946,2,FALSE),"미등록"))</f>
        <v/>
      </c>
      <c r="N1650" s="53" t="str">
        <f>IF($K1650="","",IFERROR(VLOOKUP(--SUBSTITUTE(SUBSTITUTE(TRIM($K1650),"-","")," ",""),마스터시트!$A$2:$H$1946,3,FALSE),"미등록"))</f>
        <v/>
      </c>
      <c r="O1650" s="18" t="str">
        <f>IF($K1650="","",IFERROR(VLOOKUP(--SUBSTITUTE(SUBSTITUTE(TRIM($K1650),"-","")," ",""),마스터시트!$A$2:$H$1946,4,FALSE),""))</f>
        <v/>
      </c>
      <c r="P1650" s="18" t="str">
        <f>IF($K1650="","",IFERROR(VLOOKUP(--SUBSTITUTE(SUBSTITUTE(TRIM($K1650),"-","")," ",""),마스터시트!$A$2:$H$1946,5,FALSE),""))</f>
        <v/>
      </c>
      <c r="Q1650" s="18" t="str">
        <f>IF($K1650="","",IFERROR(VLOOKUP(--SUBSTITUTE(SUBSTITUTE(TRIM($K1650),"-","")," ",""),마스터시트!$A$2:$H$1946,6,FALSE),""))</f>
        <v/>
      </c>
      <c r="R1650" s="18" t="str">
        <f>IF($K1650="","",IFERROR(VLOOKUP(--SUBSTITUTE(SUBSTITUTE(TRIM($K1650),"-","")," ",""),마스터시트!$A$2:$H$1946,7,FALSE),""))</f>
        <v/>
      </c>
    </row>
    <row r="1651" spans="13:18" x14ac:dyDescent="0.3">
      <c r="M1651" s="18" t="str">
        <f>IF($K1651="","",IFERROR(VLOOKUP(--SUBSTITUTE(SUBSTITUTE(TRIM($K1651),"-","")," ",""),마스터시트!$A$2:$H$1946,2,FALSE),"미등록"))</f>
        <v/>
      </c>
      <c r="N1651" s="53" t="str">
        <f>IF($K1651="","",IFERROR(VLOOKUP(--SUBSTITUTE(SUBSTITUTE(TRIM($K1651),"-","")," ",""),마스터시트!$A$2:$H$1946,3,FALSE),"미등록"))</f>
        <v/>
      </c>
      <c r="O1651" s="18" t="str">
        <f>IF($K1651="","",IFERROR(VLOOKUP(--SUBSTITUTE(SUBSTITUTE(TRIM($K1651),"-","")," ",""),마스터시트!$A$2:$H$1946,4,FALSE),""))</f>
        <v/>
      </c>
      <c r="P1651" s="18" t="str">
        <f>IF($K1651="","",IFERROR(VLOOKUP(--SUBSTITUTE(SUBSTITUTE(TRIM($K1651),"-","")," ",""),마스터시트!$A$2:$H$1946,5,FALSE),""))</f>
        <v/>
      </c>
      <c r="Q1651" s="18" t="str">
        <f>IF($K1651="","",IFERROR(VLOOKUP(--SUBSTITUTE(SUBSTITUTE(TRIM($K1651),"-","")," ",""),마스터시트!$A$2:$H$1946,6,FALSE),""))</f>
        <v/>
      </c>
      <c r="R1651" s="18" t="str">
        <f>IF($K1651="","",IFERROR(VLOOKUP(--SUBSTITUTE(SUBSTITUTE(TRIM($K1651),"-","")," ",""),마스터시트!$A$2:$H$1946,7,FALSE),""))</f>
        <v/>
      </c>
    </row>
    <row r="1652" spans="13:18" x14ac:dyDescent="0.3">
      <c r="M1652" s="18" t="str">
        <f>IF($K1652="","",IFERROR(VLOOKUP(--SUBSTITUTE(SUBSTITUTE(TRIM($K1652),"-","")," ",""),마스터시트!$A$2:$H$1946,2,FALSE),"미등록"))</f>
        <v/>
      </c>
      <c r="N1652" s="53" t="str">
        <f>IF($K1652="","",IFERROR(VLOOKUP(--SUBSTITUTE(SUBSTITUTE(TRIM($K1652),"-","")," ",""),마스터시트!$A$2:$H$1946,3,FALSE),"미등록"))</f>
        <v/>
      </c>
      <c r="O1652" s="18" t="str">
        <f>IF($K1652="","",IFERROR(VLOOKUP(--SUBSTITUTE(SUBSTITUTE(TRIM($K1652),"-","")," ",""),마스터시트!$A$2:$H$1946,4,FALSE),""))</f>
        <v/>
      </c>
      <c r="P1652" s="18" t="str">
        <f>IF($K1652="","",IFERROR(VLOOKUP(--SUBSTITUTE(SUBSTITUTE(TRIM($K1652),"-","")," ",""),마스터시트!$A$2:$H$1946,5,FALSE),""))</f>
        <v/>
      </c>
      <c r="Q1652" s="18" t="str">
        <f>IF($K1652="","",IFERROR(VLOOKUP(--SUBSTITUTE(SUBSTITUTE(TRIM($K1652),"-","")," ",""),마스터시트!$A$2:$H$1946,6,FALSE),""))</f>
        <v/>
      </c>
      <c r="R1652" s="18" t="str">
        <f>IF($K1652="","",IFERROR(VLOOKUP(--SUBSTITUTE(SUBSTITUTE(TRIM($K1652),"-","")," ",""),마스터시트!$A$2:$H$1946,7,FALSE),""))</f>
        <v/>
      </c>
    </row>
    <row r="1653" spans="13:18" x14ac:dyDescent="0.3">
      <c r="M1653" s="18" t="str">
        <f>IF($K1653="","",IFERROR(VLOOKUP(--SUBSTITUTE(SUBSTITUTE(TRIM($K1653),"-","")," ",""),마스터시트!$A$2:$H$1946,2,FALSE),"미등록"))</f>
        <v/>
      </c>
      <c r="N1653" s="53" t="str">
        <f>IF($K1653="","",IFERROR(VLOOKUP(--SUBSTITUTE(SUBSTITUTE(TRIM($K1653),"-","")," ",""),마스터시트!$A$2:$H$1946,3,FALSE),"미등록"))</f>
        <v/>
      </c>
      <c r="O1653" s="18" t="str">
        <f>IF($K1653="","",IFERROR(VLOOKUP(--SUBSTITUTE(SUBSTITUTE(TRIM($K1653),"-","")," ",""),마스터시트!$A$2:$H$1946,4,FALSE),""))</f>
        <v/>
      </c>
      <c r="P1653" s="18" t="str">
        <f>IF($K1653="","",IFERROR(VLOOKUP(--SUBSTITUTE(SUBSTITUTE(TRIM($K1653),"-","")," ",""),마스터시트!$A$2:$H$1946,5,FALSE),""))</f>
        <v/>
      </c>
      <c r="Q1653" s="18" t="str">
        <f>IF($K1653="","",IFERROR(VLOOKUP(--SUBSTITUTE(SUBSTITUTE(TRIM($K1653),"-","")," ",""),마스터시트!$A$2:$H$1946,6,FALSE),""))</f>
        <v/>
      </c>
      <c r="R1653" s="18" t="str">
        <f>IF($K1653="","",IFERROR(VLOOKUP(--SUBSTITUTE(SUBSTITUTE(TRIM($K1653),"-","")," ",""),마스터시트!$A$2:$H$1946,7,FALSE),""))</f>
        <v/>
      </c>
    </row>
    <row r="1654" spans="13:18" x14ac:dyDescent="0.3">
      <c r="M1654" s="18" t="str">
        <f>IF($K1654="","",IFERROR(VLOOKUP(--SUBSTITUTE(SUBSTITUTE(TRIM($K1654),"-","")," ",""),마스터시트!$A$2:$H$1946,2,FALSE),"미등록"))</f>
        <v/>
      </c>
      <c r="N1654" s="53" t="str">
        <f>IF($K1654="","",IFERROR(VLOOKUP(--SUBSTITUTE(SUBSTITUTE(TRIM($K1654),"-","")," ",""),마스터시트!$A$2:$H$1946,3,FALSE),"미등록"))</f>
        <v/>
      </c>
      <c r="O1654" s="18" t="str">
        <f>IF($K1654="","",IFERROR(VLOOKUP(--SUBSTITUTE(SUBSTITUTE(TRIM($K1654),"-","")," ",""),마스터시트!$A$2:$H$1946,4,FALSE),""))</f>
        <v/>
      </c>
      <c r="P1654" s="18" t="str">
        <f>IF($K1654="","",IFERROR(VLOOKUP(--SUBSTITUTE(SUBSTITUTE(TRIM($K1654),"-","")," ",""),마스터시트!$A$2:$H$1946,5,FALSE),""))</f>
        <v/>
      </c>
      <c r="Q1654" s="18" t="str">
        <f>IF($K1654="","",IFERROR(VLOOKUP(--SUBSTITUTE(SUBSTITUTE(TRIM($K1654),"-","")," ",""),마스터시트!$A$2:$H$1946,6,FALSE),""))</f>
        <v/>
      </c>
      <c r="R1654" s="18" t="str">
        <f>IF($K1654="","",IFERROR(VLOOKUP(--SUBSTITUTE(SUBSTITUTE(TRIM($K1654),"-","")," ",""),마스터시트!$A$2:$H$1946,7,FALSE),""))</f>
        <v/>
      </c>
    </row>
    <row r="1655" spans="13:18" x14ac:dyDescent="0.3">
      <c r="M1655" s="18" t="str">
        <f>IF($K1655="","",IFERROR(VLOOKUP(--SUBSTITUTE(SUBSTITUTE(TRIM($K1655),"-","")," ",""),마스터시트!$A$2:$H$1946,2,FALSE),"미등록"))</f>
        <v/>
      </c>
      <c r="N1655" s="53" t="str">
        <f>IF($K1655="","",IFERROR(VLOOKUP(--SUBSTITUTE(SUBSTITUTE(TRIM($K1655),"-","")," ",""),마스터시트!$A$2:$H$1946,3,FALSE),"미등록"))</f>
        <v/>
      </c>
      <c r="O1655" s="18" t="str">
        <f>IF($K1655="","",IFERROR(VLOOKUP(--SUBSTITUTE(SUBSTITUTE(TRIM($K1655),"-","")," ",""),마스터시트!$A$2:$H$1946,4,FALSE),""))</f>
        <v/>
      </c>
      <c r="P1655" s="18" t="str">
        <f>IF($K1655="","",IFERROR(VLOOKUP(--SUBSTITUTE(SUBSTITUTE(TRIM($K1655),"-","")," ",""),마스터시트!$A$2:$H$1946,5,FALSE),""))</f>
        <v/>
      </c>
      <c r="Q1655" s="18" t="str">
        <f>IF($K1655="","",IFERROR(VLOOKUP(--SUBSTITUTE(SUBSTITUTE(TRIM($K1655),"-","")," ",""),마스터시트!$A$2:$H$1946,6,FALSE),""))</f>
        <v/>
      </c>
      <c r="R1655" s="18" t="str">
        <f>IF($K1655="","",IFERROR(VLOOKUP(--SUBSTITUTE(SUBSTITUTE(TRIM($K1655),"-","")," ",""),마스터시트!$A$2:$H$1946,7,FALSE),""))</f>
        <v/>
      </c>
    </row>
    <row r="1656" spans="13:18" x14ac:dyDescent="0.3">
      <c r="M1656" s="18" t="str">
        <f>IF($K1656="","",IFERROR(VLOOKUP(--SUBSTITUTE(SUBSTITUTE(TRIM($K1656),"-","")," ",""),마스터시트!$A$2:$H$1946,2,FALSE),"미등록"))</f>
        <v/>
      </c>
      <c r="N1656" s="53" t="str">
        <f>IF($K1656="","",IFERROR(VLOOKUP(--SUBSTITUTE(SUBSTITUTE(TRIM($K1656),"-","")," ",""),마스터시트!$A$2:$H$1946,3,FALSE),"미등록"))</f>
        <v/>
      </c>
      <c r="O1656" s="18" t="str">
        <f>IF($K1656="","",IFERROR(VLOOKUP(--SUBSTITUTE(SUBSTITUTE(TRIM($K1656),"-","")," ",""),마스터시트!$A$2:$H$1946,4,FALSE),""))</f>
        <v/>
      </c>
      <c r="P1656" s="18" t="str">
        <f>IF($K1656="","",IFERROR(VLOOKUP(--SUBSTITUTE(SUBSTITUTE(TRIM($K1656),"-","")," ",""),마스터시트!$A$2:$H$1946,5,FALSE),""))</f>
        <v/>
      </c>
      <c r="Q1656" s="18" t="str">
        <f>IF($K1656="","",IFERROR(VLOOKUP(--SUBSTITUTE(SUBSTITUTE(TRIM($K1656),"-","")," ",""),마스터시트!$A$2:$H$1946,6,FALSE),""))</f>
        <v/>
      </c>
      <c r="R1656" s="18" t="str">
        <f>IF($K1656="","",IFERROR(VLOOKUP(--SUBSTITUTE(SUBSTITUTE(TRIM($K1656),"-","")," ",""),마스터시트!$A$2:$H$1946,7,FALSE),""))</f>
        <v/>
      </c>
    </row>
    <row r="1657" spans="13:18" x14ac:dyDescent="0.3">
      <c r="M1657" s="18" t="str">
        <f>IF($K1657="","",IFERROR(VLOOKUP(--SUBSTITUTE(SUBSTITUTE(TRIM($K1657),"-","")," ",""),마스터시트!$A$2:$H$1946,2,FALSE),"미등록"))</f>
        <v/>
      </c>
      <c r="N1657" s="53" t="str">
        <f>IF($K1657="","",IFERROR(VLOOKUP(--SUBSTITUTE(SUBSTITUTE(TRIM($K1657),"-","")," ",""),마스터시트!$A$2:$H$1946,3,FALSE),"미등록"))</f>
        <v/>
      </c>
      <c r="O1657" s="18" t="str">
        <f>IF($K1657="","",IFERROR(VLOOKUP(--SUBSTITUTE(SUBSTITUTE(TRIM($K1657),"-","")," ",""),마스터시트!$A$2:$H$1946,4,FALSE),""))</f>
        <v/>
      </c>
      <c r="P1657" s="18" t="str">
        <f>IF($K1657="","",IFERROR(VLOOKUP(--SUBSTITUTE(SUBSTITUTE(TRIM($K1657),"-","")," ",""),마스터시트!$A$2:$H$1946,5,FALSE),""))</f>
        <v/>
      </c>
      <c r="Q1657" s="18" t="str">
        <f>IF($K1657="","",IFERROR(VLOOKUP(--SUBSTITUTE(SUBSTITUTE(TRIM($K1657),"-","")," ",""),마스터시트!$A$2:$H$1946,6,FALSE),""))</f>
        <v/>
      </c>
      <c r="R1657" s="18" t="str">
        <f>IF($K1657="","",IFERROR(VLOOKUP(--SUBSTITUTE(SUBSTITUTE(TRIM($K1657),"-","")," ",""),마스터시트!$A$2:$H$1946,7,FALSE),""))</f>
        <v/>
      </c>
    </row>
    <row r="1658" spans="13:18" x14ac:dyDescent="0.3">
      <c r="M1658" s="18" t="str">
        <f>IF($K1658="","",IFERROR(VLOOKUP(--SUBSTITUTE(SUBSTITUTE(TRIM($K1658),"-","")," ",""),마스터시트!$A$2:$H$1946,2,FALSE),"미등록"))</f>
        <v/>
      </c>
      <c r="N1658" s="53" t="str">
        <f>IF($K1658="","",IFERROR(VLOOKUP(--SUBSTITUTE(SUBSTITUTE(TRIM($K1658),"-","")," ",""),마스터시트!$A$2:$H$1946,3,FALSE),"미등록"))</f>
        <v/>
      </c>
      <c r="O1658" s="18" t="str">
        <f>IF($K1658="","",IFERROR(VLOOKUP(--SUBSTITUTE(SUBSTITUTE(TRIM($K1658),"-","")," ",""),마스터시트!$A$2:$H$1946,4,FALSE),""))</f>
        <v/>
      </c>
      <c r="P1658" s="18" t="str">
        <f>IF($K1658="","",IFERROR(VLOOKUP(--SUBSTITUTE(SUBSTITUTE(TRIM($K1658),"-","")," ",""),마스터시트!$A$2:$H$1946,5,FALSE),""))</f>
        <v/>
      </c>
      <c r="Q1658" s="18" t="str">
        <f>IF($K1658="","",IFERROR(VLOOKUP(--SUBSTITUTE(SUBSTITUTE(TRIM($K1658),"-","")," ",""),마스터시트!$A$2:$H$1946,6,FALSE),""))</f>
        <v/>
      </c>
      <c r="R1658" s="18" t="str">
        <f>IF($K1658="","",IFERROR(VLOOKUP(--SUBSTITUTE(SUBSTITUTE(TRIM($K1658),"-","")," ",""),마스터시트!$A$2:$H$1946,7,FALSE),""))</f>
        <v/>
      </c>
    </row>
    <row r="1659" spans="13:18" x14ac:dyDescent="0.3">
      <c r="M1659" s="18" t="str">
        <f>IF($K1659="","",IFERROR(VLOOKUP(--SUBSTITUTE(SUBSTITUTE(TRIM($K1659),"-","")," ",""),마스터시트!$A$2:$H$1946,2,FALSE),"미등록"))</f>
        <v/>
      </c>
      <c r="N1659" s="53" t="str">
        <f>IF($K1659="","",IFERROR(VLOOKUP(--SUBSTITUTE(SUBSTITUTE(TRIM($K1659),"-","")," ",""),마스터시트!$A$2:$H$1946,3,FALSE),"미등록"))</f>
        <v/>
      </c>
      <c r="O1659" s="18" t="str">
        <f>IF($K1659="","",IFERROR(VLOOKUP(--SUBSTITUTE(SUBSTITUTE(TRIM($K1659),"-","")," ",""),마스터시트!$A$2:$H$1946,4,FALSE),""))</f>
        <v/>
      </c>
      <c r="P1659" s="18" t="str">
        <f>IF($K1659="","",IFERROR(VLOOKUP(--SUBSTITUTE(SUBSTITUTE(TRIM($K1659),"-","")," ",""),마스터시트!$A$2:$H$1946,5,FALSE),""))</f>
        <v/>
      </c>
      <c r="Q1659" s="18" t="str">
        <f>IF($K1659="","",IFERROR(VLOOKUP(--SUBSTITUTE(SUBSTITUTE(TRIM($K1659),"-","")," ",""),마스터시트!$A$2:$H$1946,6,FALSE),""))</f>
        <v/>
      </c>
      <c r="R1659" s="18" t="str">
        <f>IF($K1659="","",IFERROR(VLOOKUP(--SUBSTITUTE(SUBSTITUTE(TRIM($K1659),"-","")," ",""),마스터시트!$A$2:$H$1946,7,FALSE),""))</f>
        <v/>
      </c>
    </row>
    <row r="1660" spans="13:18" x14ac:dyDescent="0.3">
      <c r="M1660" s="18" t="str">
        <f>IF($K1660="","",IFERROR(VLOOKUP(--SUBSTITUTE(SUBSTITUTE(TRIM($K1660),"-","")," ",""),마스터시트!$A$2:$H$1946,2,FALSE),"미등록"))</f>
        <v/>
      </c>
      <c r="N1660" s="53" t="str">
        <f>IF($K1660="","",IFERROR(VLOOKUP(--SUBSTITUTE(SUBSTITUTE(TRIM($K1660),"-","")," ",""),마스터시트!$A$2:$H$1946,3,FALSE),"미등록"))</f>
        <v/>
      </c>
      <c r="O1660" s="18" t="str">
        <f>IF($K1660="","",IFERROR(VLOOKUP(--SUBSTITUTE(SUBSTITUTE(TRIM($K1660),"-","")," ",""),마스터시트!$A$2:$H$1946,4,FALSE),""))</f>
        <v/>
      </c>
      <c r="P1660" s="18" t="str">
        <f>IF($K1660="","",IFERROR(VLOOKUP(--SUBSTITUTE(SUBSTITUTE(TRIM($K1660),"-","")," ",""),마스터시트!$A$2:$H$1946,5,FALSE),""))</f>
        <v/>
      </c>
      <c r="Q1660" s="18" t="str">
        <f>IF($K1660="","",IFERROR(VLOOKUP(--SUBSTITUTE(SUBSTITUTE(TRIM($K1660),"-","")," ",""),마스터시트!$A$2:$H$1946,6,FALSE),""))</f>
        <v/>
      </c>
      <c r="R1660" s="18" t="str">
        <f>IF($K1660="","",IFERROR(VLOOKUP(--SUBSTITUTE(SUBSTITUTE(TRIM($K1660),"-","")," ",""),마스터시트!$A$2:$H$1946,7,FALSE),""))</f>
        <v/>
      </c>
    </row>
    <row r="1661" spans="13:18" x14ac:dyDescent="0.3">
      <c r="M1661" s="18" t="str">
        <f>IF($K1661="","",IFERROR(VLOOKUP(--SUBSTITUTE(SUBSTITUTE(TRIM($K1661),"-","")," ",""),마스터시트!$A$2:$H$1946,2,FALSE),"미등록"))</f>
        <v/>
      </c>
      <c r="N1661" s="53" t="str">
        <f>IF($K1661="","",IFERROR(VLOOKUP(--SUBSTITUTE(SUBSTITUTE(TRIM($K1661),"-","")," ",""),마스터시트!$A$2:$H$1946,3,FALSE),"미등록"))</f>
        <v/>
      </c>
      <c r="O1661" s="18" t="str">
        <f>IF($K1661="","",IFERROR(VLOOKUP(--SUBSTITUTE(SUBSTITUTE(TRIM($K1661),"-","")," ",""),마스터시트!$A$2:$H$1946,4,FALSE),""))</f>
        <v/>
      </c>
      <c r="P1661" s="18" t="str">
        <f>IF($K1661="","",IFERROR(VLOOKUP(--SUBSTITUTE(SUBSTITUTE(TRIM($K1661),"-","")," ",""),마스터시트!$A$2:$H$1946,5,FALSE),""))</f>
        <v/>
      </c>
      <c r="Q1661" s="18" t="str">
        <f>IF($K1661="","",IFERROR(VLOOKUP(--SUBSTITUTE(SUBSTITUTE(TRIM($K1661),"-","")," ",""),마스터시트!$A$2:$H$1946,6,FALSE),""))</f>
        <v/>
      </c>
      <c r="R1661" s="18" t="str">
        <f>IF($K1661="","",IFERROR(VLOOKUP(--SUBSTITUTE(SUBSTITUTE(TRIM($K1661),"-","")," ",""),마스터시트!$A$2:$H$1946,7,FALSE),""))</f>
        <v/>
      </c>
    </row>
    <row r="1662" spans="13:18" x14ac:dyDescent="0.3">
      <c r="M1662" s="18" t="str">
        <f>IF($K1662="","",IFERROR(VLOOKUP(--SUBSTITUTE(SUBSTITUTE(TRIM($K1662),"-","")," ",""),마스터시트!$A$2:$H$1946,2,FALSE),"미등록"))</f>
        <v/>
      </c>
      <c r="N1662" s="53" t="str">
        <f>IF($K1662="","",IFERROR(VLOOKUP(--SUBSTITUTE(SUBSTITUTE(TRIM($K1662),"-","")," ",""),마스터시트!$A$2:$H$1946,3,FALSE),"미등록"))</f>
        <v/>
      </c>
      <c r="O1662" s="18" t="str">
        <f>IF($K1662="","",IFERROR(VLOOKUP(--SUBSTITUTE(SUBSTITUTE(TRIM($K1662),"-","")," ",""),마스터시트!$A$2:$H$1946,4,FALSE),""))</f>
        <v/>
      </c>
      <c r="P1662" s="18" t="str">
        <f>IF($K1662="","",IFERROR(VLOOKUP(--SUBSTITUTE(SUBSTITUTE(TRIM($K1662),"-","")," ",""),마스터시트!$A$2:$H$1946,5,FALSE),""))</f>
        <v/>
      </c>
      <c r="Q1662" s="18" t="str">
        <f>IF($K1662="","",IFERROR(VLOOKUP(--SUBSTITUTE(SUBSTITUTE(TRIM($K1662),"-","")," ",""),마스터시트!$A$2:$H$1946,6,FALSE),""))</f>
        <v/>
      </c>
      <c r="R1662" s="18" t="str">
        <f>IF($K1662="","",IFERROR(VLOOKUP(--SUBSTITUTE(SUBSTITUTE(TRIM($K1662),"-","")," ",""),마스터시트!$A$2:$H$1946,7,FALSE),""))</f>
        <v/>
      </c>
    </row>
    <row r="1663" spans="13:18" x14ac:dyDescent="0.3">
      <c r="M1663" s="18" t="str">
        <f>IF($K1663="","",IFERROR(VLOOKUP(--SUBSTITUTE(SUBSTITUTE(TRIM($K1663),"-","")," ",""),마스터시트!$A$2:$H$1946,2,FALSE),"미등록"))</f>
        <v/>
      </c>
      <c r="N1663" s="53" t="str">
        <f>IF($K1663="","",IFERROR(VLOOKUP(--SUBSTITUTE(SUBSTITUTE(TRIM($K1663),"-","")," ",""),마스터시트!$A$2:$H$1946,3,FALSE),"미등록"))</f>
        <v/>
      </c>
      <c r="O1663" s="18" t="str">
        <f>IF($K1663="","",IFERROR(VLOOKUP(--SUBSTITUTE(SUBSTITUTE(TRIM($K1663),"-","")," ",""),마스터시트!$A$2:$H$1946,4,FALSE),""))</f>
        <v/>
      </c>
      <c r="P1663" s="18" t="str">
        <f>IF($K1663="","",IFERROR(VLOOKUP(--SUBSTITUTE(SUBSTITUTE(TRIM($K1663),"-","")," ",""),마스터시트!$A$2:$H$1946,5,FALSE),""))</f>
        <v/>
      </c>
      <c r="Q1663" s="18" t="str">
        <f>IF($K1663="","",IFERROR(VLOOKUP(--SUBSTITUTE(SUBSTITUTE(TRIM($K1663),"-","")," ",""),마스터시트!$A$2:$H$1946,6,FALSE),""))</f>
        <v/>
      </c>
      <c r="R1663" s="18" t="str">
        <f>IF($K1663="","",IFERROR(VLOOKUP(--SUBSTITUTE(SUBSTITUTE(TRIM($K1663),"-","")," ",""),마스터시트!$A$2:$H$1946,7,FALSE),""))</f>
        <v/>
      </c>
    </row>
    <row r="1664" spans="13:18" x14ac:dyDescent="0.3">
      <c r="M1664" s="18" t="str">
        <f>IF($K1664="","",IFERROR(VLOOKUP(--SUBSTITUTE(SUBSTITUTE(TRIM($K1664),"-","")," ",""),마스터시트!$A$2:$H$1946,2,FALSE),"미등록"))</f>
        <v/>
      </c>
      <c r="N1664" s="53" t="str">
        <f>IF($K1664="","",IFERROR(VLOOKUP(--SUBSTITUTE(SUBSTITUTE(TRIM($K1664),"-","")," ",""),마스터시트!$A$2:$H$1946,3,FALSE),"미등록"))</f>
        <v/>
      </c>
      <c r="O1664" s="18" t="str">
        <f>IF($K1664="","",IFERROR(VLOOKUP(--SUBSTITUTE(SUBSTITUTE(TRIM($K1664),"-","")," ",""),마스터시트!$A$2:$H$1946,4,FALSE),""))</f>
        <v/>
      </c>
      <c r="P1664" s="18" t="str">
        <f>IF($K1664="","",IFERROR(VLOOKUP(--SUBSTITUTE(SUBSTITUTE(TRIM($K1664),"-","")," ",""),마스터시트!$A$2:$H$1946,5,FALSE),""))</f>
        <v/>
      </c>
      <c r="Q1664" s="18" t="str">
        <f>IF($K1664="","",IFERROR(VLOOKUP(--SUBSTITUTE(SUBSTITUTE(TRIM($K1664),"-","")," ",""),마스터시트!$A$2:$H$1946,6,FALSE),""))</f>
        <v/>
      </c>
      <c r="R1664" s="18" t="str">
        <f>IF($K1664="","",IFERROR(VLOOKUP(--SUBSTITUTE(SUBSTITUTE(TRIM($K1664),"-","")," ",""),마스터시트!$A$2:$H$1946,7,FALSE),""))</f>
        <v/>
      </c>
    </row>
    <row r="1665" spans="13:18" x14ac:dyDescent="0.3">
      <c r="M1665" s="18" t="str">
        <f>IF($K1665="","",IFERROR(VLOOKUP(--SUBSTITUTE(SUBSTITUTE(TRIM($K1665),"-","")," ",""),마스터시트!$A$2:$H$1946,2,FALSE),"미등록"))</f>
        <v/>
      </c>
      <c r="N1665" s="53" t="str">
        <f>IF($K1665="","",IFERROR(VLOOKUP(--SUBSTITUTE(SUBSTITUTE(TRIM($K1665),"-","")," ",""),마스터시트!$A$2:$H$1946,3,FALSE),"미등록"))</f>
        <v/>
      </c>
      <c r="O1665" s="18" t="str">
        <f>IF($K1665="","",IFERROR(VLOOKUP(--SUBSTITUTE(SUBSTITUTE(TRIM($K1665),"-","")," ",""),마스터시트!$A$2:$H$1946,4,FALSE),""))</f>
        <v/>
      </c>
      <c r="P1665" s="18" t="str">
        <f>IF($K1665="","",IFERROR(VLOOKUP(--SUBSTITUTE(SUBSTITUTE(TRIM($K1665),"-","")," ",""),마스터시트!$A$2:$H$1946,5,FALSE),""))</f>
        <v/>
      </c>
      <c r="Q1665" s="18" t="str">
        <f>IF($K1665="","",IFERROR(VLOOKUP(--SUBSTITUTE(SUBSTITUTE(TRIM($K1665),"-","")," ",""),마스터시트!$A$2:$H$1946,6,FALSE),""))</f>
        <v/>
      </c>
      <c r="R1665" s="18" t="str">
        <f>IF($K1665="","",IFERROR(VLOOKUP(--SUBSTITUTE(SUBSTITUTE(TRIM($K1665),"-","")," ",""),마스터시트!$A$2:$H$1946,7,FALSE),""))</f>
        <v/>
      </c>
    </row>
    <row r="1666" spans="13:18" x14ac:dyDescent="0.3">
      <c r="M1666" s="18" t="str">
        <f>IF($K1666="","",IFERROR(VLOOKUP(--SUBSTITUTE(SUBSTITUTE(TRIM($K1666),"-","")," ",""),마스터시트!$A$2:$H$1946,2,FALSE),"미등록"))</f>
        <v/>
      </c>
      <c r="N1666" s="53" t="str">
        <f>IF($K1666="","",IFERROR(VLOOKUP(--SUBSTITUTE(SUBSTITUTE(TRIM($K1666),"-","")," ",""),마스터시트!$A$2:$H$1946,3,FALSE),"미등록"))</f>
        <v/>
      </c>
      <c r="O1666" s="18" t="str">
        <f>IF($K1666="","",IFERROR(VLOOKUP(--SUBSTITUTE(SUBSTITUTE(TRIM($K1666),"-","")," ",""),마스터시트!$A$2:$H$1946,4,FALSE),""))</f>
        <v/>
      </c>
      <c r="P1666" s="18" t="str">
        <f>IF($K1666="","",IFERROR(VLOOKUP(--SUBSTITUTE(SUBSTITUTE(TRIM($K1666),"-","")," ",""),마스터시트!$A$2:$H$1946,5,FALSE),""))</f>
        <v/>
      </c>
      <c r="Q1666" s="18" t="str">
        <f>IF($K1666="","",IFERROR(VLOOKUP(--SUBSTITUTE(SUBSTITUTE(TRIM($K1666),"-","")," ",""),마스터시트!$A$2:$H$1946,6,FALSE),""))</f>
        <v/>
      </c>
      <c r="R1666" s="18" t="str">
        <f>IF($K1666="","",IFERROR(VLOOKUP(--SUBSTITUTE(SUBSTITUTE(TRIM($K1666),"-","")," ",""),마스터시트!$A$2:$H$1946,7,FALSE),""))</f>
        <v/>
      </c>
    </row>
    <row r="1667" spans="13:18" x14ac:dyDescent="0.3">
      <c r="M1667" s="18" t="str">
        <f>IF($K1667="","",IFERROR(VLOOKUP(--SUBSTITUTE(SUBSTITUTE(TRIM($K1667),"-","")," ",""),마스터시트!$A$2:$H$1946,2,FALSE),"미등록"))</f>
        <v/>
      </c>
      <c r="N1667" s="53" t="str">
        <f>IF($K1667="","",IFERROR(VLOOKUP(--SUBSTITUTE(SUBSTITUTE(TRIM($K1667),"-","")," ",""),마스터시트!$A$2:$H$1946,3,FALSE),"미등록"))</f>
        <v/>
      </c>
      <c r="O1667" s="18" t="str">
        <f>IF($K1667="","",IFERROR(VLOOKUP(--SUBSTITUTE(SUBSTITUTE(TRIM($K1667),"-","")," ",""),마스터시트!$A$2:$H$1946,4,FALSE),""))</f>
        <v/>
      </c>
      <c r="P1667" s="18" t="str">
        <f>IF($K1667="","",IFERROR(VLOOKUP(--SUBSTITUTE(SUBSTITUTE(TRIM($K1667),"-","")," ",""),마스터시트!$A$2:$H$1946,5,FALSE),""))</f>
        <v/>
      </c>
      <c r="Q1667" s="18" t="str">
        <f>IF($K1667="","",IFERROR(VLOOKUP(--SUBSTITUTE(SUBSTITUTE(TRIM($K1667),"-","")," ",""),마스터시트!$A$2:$H$1946,6,FALSE),""))</f>
        <v/>
      </c>
      <c r="R1667" s="18" t="str">
        <f>IF($K1667="","",IFERROR(VLOOKUP(--SUBSTITUTE(SUBSTITUTE(TRIM($K1667),"-","")," ",""),마스터시트!$A$2:$H$1946,7,FALSE),""))</f>
        <v/>
      </c>
    </row>
    <row r="1668" spans="13:18" x14ac:dyDescent="0.3">
      <c r="M1668" s="18" t="str">
        <f>IF($K1668="","",IFERROR(VLOOKUP(--SUBSTITUTE(SUBSTITUTE(TRIM($K1668),"-","")," ",""),마스터시트!$A$2:$H$1946,2,FALSE),"미등록"))</f>
        <v/>
      </c>
      <c r="N1668" s="53" t="str">
        <f>IF($K1668="","",IFERROR(VLOOKUP(--SUBSTITUTE(SUBSTITUTE(TRIM($K1668),"-","")," ",""),마스터시트!$A$2:$H$1946,3,FALSE),"미등록"))</f>
        <v/>
      </c>
      <c r="O1668" s="18" t="str">
        <f>IF($K1668="","",IFERROR(VLOOKUP(--SUBSTITUTE(SUBSTITUTE(TRIM($K1668),"-","")," ",""),마스터시트!$A$2:$H$1946,4,FALSE),""))</f>
        <v/>
      </c>
      <c r="P1668" s="18" t="str">
        <f>IF($K1668="","",IFERROR(VLOOKUP(--SUBSTITUTE(SUBSTITUTE(TRIM($K1668),"-","")," ",""),마스터시트!$A$2:$H$1946,5,FALSE),""))</f>
        <v/>
      </c>
      <c r="Q1668" s="18" t="str">
        <f>IF($K1668="","",IFERROR(VLOOKUP(--SUBSTITUTE(SUBSTITUTE(TRIM($K1668),"-","")," ",""),마스터시트!$A$2:$H$1946,6,FALSE),""))</f>
        <v/>
      </c>
      <c r="R1668" s="18" t="str">
        <f>IF($K1668="","",IFERROR(VLOOKUP(--SUBSTITUTE(SUBSTITUTE(TRIM($K1668),"-","")," ",""),마스터시트!$A$2:$H$1946,7,FALSE),""))</f>
        <v/>
      </c>
    </row>
    <row r="1669" spans="13:18" x14ac:dyDescent="0.3">
      <c r="M1669" s="18" t="str">
        <f>IF($K1669="","",IFERROR(VLOOKUP(--SUBSTITUTE(SUBSTITUTE(TRIM($K1669),"-","")," ",""),마스터시트!$A$2:$H$1946,2,FALSE),"미등록"))</f>
        <v/>
      </c>
      <c r="N1669" s="53" t="str">
        <f>IF($K1669="","",IFERROR(VLOOKUP(--SUBSTITUTE(SUBSTITUTE(TRIM($K1669),"-","")," ",""),마스터시트!$A$2:$H$1946,3,FALSE),"미등록"))</f>
        <v/>
      </c>
      <c r="O1669" s="18" t="str">
        <f>IF($K1669="","",IFERROR(VLOOKUP(--SUBSTITUTE(SUBSTITUTE(TRIM($K1669),"-","")," ",""),마스터시트!$A$2:$H$1946,4,FALSE),""))</f>
        <v/>
      </c>
      <c r="P1669" s="18" t="str">
        <f>IF($K1669="","",IFERROR(VLOOKUP(--SUBSTITUTE(SUBSTITUTE(TRIM($K1669),"-","")," ",""),마스터시트!$A$2:$H$1946,5,FALSE),""))</f>
        <v/>
      </c>
      <c r="Q1669" s="18" t="str">
        <f>IF($K1669="","",IFERROR(VLOOKUP(--SUBSTITUTE(SUBSTITUTE(TRIM($K1669),"-","")," ",""),마스터시트!$A$2:$H$1946,6,FALSE),""))</f>
        <v/>
      </c>
      <c r="R1669" s="18" t="str">
        <f>IF($K1669="","",IFERROR(VLOOKUP(--SUBSTITUTE(SUBSTITUTE(TRIM($K1669),"-","")," ",""),마스터시트!$A$2:$H$1946,7,FALSE),""))</f>
        <v/>
      </c>
    </row>
    <row r="1670" spans="13:18" x14ac:dyDescent="0.3">
      <c r="M1670" s="18" t="str">
        <f>IF($K1670="","",IFERROR(VLOOKUP(--SUBSTITUTE(SUBSTITUTE(TRIM($K1670),"-","")," ",""),마스터시트!$A$2:$H$1946,2,FALSE),"미등록"))</f>
        <v/>
      </c>
      <c r="N1670" s="53" t="str">
        <f>IF($K1670="","",IFERROR(VLOOKUP(--SUBSTITUTE(SUBSTITUTE(TRIM($K1670),"-","")," ",""),마스터시트!$A$2:$H$1946,3,FALSE),"미등록"))</f>
        <v/>
      </c>
      <c r="O1670" s="18" t="str">
        <f>IF($K1670="","",IFERROR(VLOOKUP(--SUBSTITUTE(SUBSTITUTE(TRIM($K1670),"-","")," ",""),마스터시트!$A$2:$H$1946,4,FALSE),""))</f>
        <v/>
      </c>
      <c r="P1670" s="18" t="str">
        <f>IF($K1670="","",IFERROR(VLOOKUP(--SUBSTITUTE(SUBSTITUTE(TRIM($K1670),"-","")," ",""),마스터시트!$A$2:$H$1946,5,FALSE),""))</f>
        <v/>
      </c>
      <c r="Q1670" s="18" t="str">
        <f>IF($K1670="","",IFERROR(VLOOKUP(--SUBSTITUTE(SUBSTITUTE(TRIM($K1670),"-","")," ",""),마스터시트!$A$2:$H$1946,6,FALSE),""))</f>
        <v/>
      </c>
      <c r="R1670" s="18" t="str">
        <f>IF($K1670="","",IFERROR(VLOOKUP(--SUBSTITUTE(SUBSTITUTE(TRIM($K1670),"-","")," ",""),마스터시트!$A$2:$H$1946,7,FALSE),""))</f>
        <v/>
      </c>
    </row>
    <row r="1671" spans="13:18" x14ac:dyDescent="0.3">
      <c r="M1671" s="18" t="str">
        <f>IF($K1671="","",IFERROR(VLOOKUP(--SUBSTITUTE(SUBSTITUTE(TRIM($K1671),"-","")," ",""),마스터시트!$A$2:$H$1946,2,FALSE),"미등록"))</f>
        <v/>
      </c>
      <c r="N1671" s="53" t="str">
        <f>IF($K1671="","",IFERROR(VLOOKUP(--SUBSTITUTE(SUBSTITUTE(TRIM($K1671),"-","")," ",""),마스터시트!$A$2:$H$1946,3,FALSE),"미등록"))</f>
        <v/>
      </c>
      <c r="O1671" s="18" t="str">
        <f>IF($K1671="","",IFERROR(VLOOKUP(--SUBSTITUTE(SUBSTITUTE(TRIM($K1671),"-","")," ",""),마스터시트!$A$2:$H$1946,4,FALSE),""))</f>
        <v/>
      </c>
      <c r="P1671" s="18" t="str">
        <f>IF($K1671="","",IFERROR(VLOOKUP(--SUBSTITUTE(SUBSTITUTE(TRIM($K1671),"-","")," ",""),마스터시트!$A$2:$H$1946,5,FALSE),""))</f>
        <v/>
      </c>
      <c r="Q1671" s="18" t="str">
        <f>IF($K1671="","",IFERROR(VLOOKUP(--SUBSTITUTE(SUBSTITUTE(TRIM($K1671),"-","")," ",""),마스터시트!$A$2:$H$1946,6,FALSE),""))</f>
        <v/>
      </c>
      <c r="R1671" s="18" t="str">
        <f>IF($K1671="","",IFERROR(VLOOKUP(--SUBSTITUTE(SUBSTITUTE(TRIM($K1671),"-","")," ",""),마스터시트!$A$2:$H$1946,7,FALSE),""))</f>
        <v/>
      </c>
    </row>
    <row r="1672" spans="13:18" x14ac:dyDescent="0.3">
      <c r="M1672" s="18" t="str">
        <f>IF($K1672="","",IFERROR(VLOOKUP(--SUBSTITUTE(SUBSTITUTE(TRIM($K1672),"-","")," ",""),마스터시트!$A$2:$H$1946,2,FALSE),"미등록"))</f>
        <v/>
      </c>
      <c r="N1672" s="53" t="str">
        <f>IF($K1672="","",IFERROR(VLOOKUP(--SUBSTITUTE(SUBSTITUTE(TRIM($K1672),"-","")," ",""),마스터시트!$A$2:$H$1946,3,FALSE),"미등록"))</f>
        <v/>
      </c>
      <c r="O1672" s="18" t="str">
        <f>IF($K1672="","",IFERROR(VLOOKUP(--SUBSTITUTE(SUBSTITUTE(TRIM($K1672),"-","")," ",""),마스터시트!$A$2:$H$1946,4,FALSE),""))</f>
        <v/>
      </c>
      <c r="P1672" s="18" t="str">
        <f>IF($K1672="","",IFERROR(VLOOKUP(--SUBSTITUTE(SUBSTITUTE(TRIM($K1672),"-","")," ",""),마스터시트!$A$2:$H$1946,5,FALSE),""))</f>
        <v/>
      </c>
      <c r="Q1672" s="18" t="str">
        <f>IF($K1672="","",IFERROR(VLOOKUP(--SUBSTITUTE(SUBSTITUTE(TRIM($K1672),"-","")," ",""),마스터시트!$A$2:$H$1946,6,FALSE),""))</f>
        <v/>
      </c>
      <c r="R1672" s="18" t="str">
        <f>IF($K1672="","",IFERROR(VLOOKUP(--SUBSTITUTE(SUBSTITUTE(TRIM($K1672),"-","")," ",""),마스터시트!$A$2:$H$1946,7,FALSE),""))</f>
        <v/>
      </c>
    </row>
    <row r="1673" spans="13:18" x14ac:dyDescent="0.3">
      <c r="M1673" s="18" t="str">
        <f>IF($K1673="","",IFERROR(VLOOKUP(--SUBSTITUTE(SUBSTITUTE(TRIM($K1673),"-","")," ",""),마스터시트!$A$2:$H$1946,2,FALSE),"미등록"))</f>
        <v/>
      </c>
      <c r="N1673" s="53" t="str">
        <f>IF($K1673="","",IFERROR(VLOOKUP(--SUBSTITUTE(SUBSTITUTE(TRIM($K1673),"-","")," ",""),마스터시트!$A$2:$H$1946,3,FALSE),"미등록"))</f>
        <v/>
      </c>
      <c r="O1673" s="18" t="str">
        <f>IF($K1673="","",IFERROR(VLOOKUP(--SUBSTITUTE(SUBSTITUTE(TRIM($K1673),"-","")," ",""),마스터시트!$A$2:$H$1946,4,FALSE),""))</f>
        <v/>
      </c>
      <c r="P1673" s="18" t="str">
        <f>IF($K1673="","",IFERROR(VLOOKUP(--SUBSTITUTE(SUBSTITUTE(TRIM($K1673),"-","")," ",""),마스터시트!$A$2:$H$1946,5,FALSE),""))</f>
        <v/>
      </c>
      <c r="Q1673" s="18" t="str">
        <f>IF($K1673="","",IFERROR(VLOOKUP(--SUBSTITUTE(SUBSTITUTE(TRIM($K1673),"-","")," ",""),마스터시트!$A$2:$H$1946,6,FALSE),""))</f>
        <v/>
      </c>
      <c r="R1673" s="18" t="str">
        <f>IF($K1673="","",IFERROR(VLOOKUP(--SUBSTITUTE(SUBSTITUTE(TRIM($K1673),"-","")," ",""),마스터시트!$A$2:$H$1946,7,FALSE),""))</f>
        <v/>
      </c>
    </row>
    <row r="1674" spans="13:18" x14ac:dyDescent="0.3">
      <c r="M1674" s="18" t="str">
        <f>IF($K1674="","",IFERROR(VLOOKUP(--SUBSTITUTE(SUBSTITUTE(TRIM($K1674),"-","")," ",""),마스터시트!$A$2:$H$1946,2,FALSE),"미등록"))</f>
        <v/>
      </c>
      <c r="N1674" s="53" t="str">
        <f>IF($K1674="","",IFERROR(VLOOKUP(--SUBSTITUTE(SUBSTITUTE(TRIM($K1674),"-","")," ",""),마스터시트!$A$2:$H$1946,3,FALSE),"미등록"))</f>
        <v/>
      </c>
      <c r="O1674" s="18" t="str">
        <f>IF($K1674="","",IFERROR(VLOOKUP(--SUBSTITUTE(SUBSTITUTE(TRIM($K1674),"-","")," ",""),마스터시트!$A$2:$H$1946,4,FALSE),""))</f>
        <v/>
      </c>
      <c r="P1674" s="18" t="str">
        <f>IF($K1674="","",IFERROR(VLOOKUP(--SUBSTITUTE(SUBSTITUTE(TRIM($K1674),"-","")," ",""),마스터시트!$A$2:$H$1946,5,FALSE),""))</f>
        <v/>
      </c>
      <c r="Q1674" s="18" t="str">
        <f>IF($K1674="","",IFERROR(VLOOKUP(--SUBSTITUTE(SUBSTITUTE(TRIM($K1674),"-","")," ",""),마스터시트!$A$2:$H$1946,6,FALSE),""))</f>
        <v/>
      </c>
      <c r="R1674" s="18" t="str">
        <f>IF($K1674="","",IFERROR(VLOOKUP(--SUBSTITUTE(SUBSTITUTE(TRIM($K1674),"-","")," ",""),마스터시트!$A$2:$H$1946,7,FALSE),""))</f>
        <v/>
      </c>
    </row>
    <row r="1675" spans="13:18" x14ac:dyDescent="0.3">
      <c r="M1675" s="18" t="str">
        <f>IF($K1675="","",IFERROR(VLOOKUP(--SUBSTITUTE(SUBSTITUTE(TRIM($K1675),"-","")," ",""),마스터시트!$A$2:$H$1946,2,FALSE),"미등록"))</f>
        <v/>
      </c>
      <c r="N1675" s="53" t="str">
        <f>IF($K1675="","",IFERROR(VLOOKUP(--SUBSTITUTE(SUBSTITUTE(TRIM($K1675),"-","")," ",""),마스터시트!$A$2:$H$1946,3,FALSE),"미등록"))</f>
        <v/>
      </c>
      <c r="O1675" s="18" t="str">
        <f>IF($K1675="","",IFERROR(VLOOKUP(--SUBSTITUTE(SUBSTITUTE(TRIM($K1675),"-","")," ",""),마스터시트!$A$2:$H$1946,4,FALSE),""))</f>
        <v/>
      </c>
      <c r="P1675" s="18" t="str">
        <f>IF($K1675="","",IFERROR(VLOOKUP(--SUBSTITUTE(SUBSTITUTE(TRIM($K1675),"-","")," ",""),마스터시트!$A$2:$H$1946,5,FALSE),""))</f>
        <v/>
      </c>
      <c r="Q1675" s="18" t="str">
        <f>IF($K1675="","",IFERROR(VLOOKUP(--SUBSTITUTE(SUBSTITUTE(TRIM($K1675),"-","")," ",""),마스터시트!$A$2:$H$1946,6,FALSE),""))</f>
        <v/>
      </c>
      <c r="R1675" s="18" t="str">
        <f>IF($K1675="","",IFERROR(VLOOKUP(--SUBSTITUTE(SUBSTITUTE(TRIM($K1675),"-","")," ",""),마스터시트!$A$2:$H$1946,7,FALSE),""))</f>
        <v/>
      </c>
    </row>
    <row r="1676" spans="13:18" x14ac:dyDescent="0.3">
      <c r="M1676" s="18" t="str">
        <f>IF($K1676="","",IFERROR(VLOOKUP(--SUBSTITUTE(SUBSTITUTE(TRIM($K1676),"-","")," ",""),마스터시트!$A$2:$H$1946,2,FALSE),"미등록"))</f>
        <v/>
      </c>
      <c r="N1676" s="53" t="str">
        <f>IF($K1676="","",IFERROR(VLOOKUP(--SUBSTITUTE(SUBSTITUTE(TRIM($K1676),"-","")," ",""),마스터시트!$A$2:$H$1946,3,FALSE),"미등록"))</f>
        <v/>
      </c>
      <c r="O1676" s="18" t="str">
        <f>IF($K1676="","",IFERROR(VLOOKUP(--SUBSTITUTE(SUBSTITUTE(TRIM($K1676),"-","")," ",""),마스터시트!$A$2:$H$1946,4,FALSE),""))</f>
        <v/>
      </c>
      <c r="P1676" s="18" t="str">
        <f>IF($K1676="","",IFERROR(VLOOKUP(--SUBSTITUTE(SUBSTITUTE(TRIM($K1676),"-","")," ",""),마스터시트!$A$2:$H$1946,5,FALSE),""))</f>
        <v/>
      </c>
      <c r="Q1676" s="18" t="str">
        <f>IF($K1676="","",IFERROR(VLOOKUP(--SUBSTITUTE(SUBSTITUTE(TRIM($K1676),"-","")," ",""),마스터시트!$A$2:$H$1946,6,FALSE),""))</f>
        <v/>
      </c>
      <c r="R1676" s="18" t="str">
        <f>IF($K1676="","",IFERROR(VLOOKUP(--SUBSTITUTE(SUBSTITUTE(TRIM($K1676),"-","")," ",""),마스터시트!$A$2:$H$1946,7,FALSE),""))</f>
        <v/>
      </c>
    </row>
    <row r="1677" spans="13:18" x14ac:dyDescent="0.3">
      <c r="M1677" s="18" t="str">
        <f>IF($K1677="","",IFERROR(VLOOKUP(--SUBSTITUTE(SUBSTITUTE(TRIM($K1677),"-","")," ",""),마스터시트!$A$2:$H$1946,2,FALSE),"미등록"))</f>
        <v/>
      </c>
      <c r="N1677" s="53" t="str">
        <f>IF($K1677="","",IFERROR(VLOOKUP(--SUBSTITUTE(SUBSTITUTE(TRIM($K1677),"-","")," ",""),마스터시트!$A$2:$H$1946,3,FALSE),"미등록"))</f>
        <v/>
      </c>
      <c r="O1677" s="18" t="str">
        <f>IF($K1677="","",IFERROR(VLOOKUP(--SUBSTITUTE(SUBSTITUTE(TRIM($K1677),"-","")," ",""),마스터시트!$A$2:$H$1946,4,FALSE),""))</f>
        <v/>
      </c>
      <c r="P1677" s="18" t="str">
        <f>IF($K1677="","",IFERROR(VLOOKUP(--SUBSTITUTE(SUBSTITUTE(TRIM($K1677),"-","")," ",""),마스터시트!$A$2:$H$1946,5,FALSE),""))</f>
        <v/>
      </c>
      <c r="Q1677" s="18" t="str">
        <f>IF($K1677="","",IFERROR(VLOOKUP(--SUBSTITUTE(SUBSTITUTE(TRIM($K1677),"-","")," ",""),마스터시트!$A$2:$H$1946,6,FALSE),""))</f>
        <v/>
      </c>
      <c r="R1677" s="18" t="str">
        <f>IF($K1677="","",IFERROR(VLOOKUP(--SUBSTITUTE(SUBSTITUTE(TRIM($K1677),"-","")," ",""),마스터시트!$A$2:$H$1946,7,FALSE),""))</f>
        <v/>
      </c>
    </row>
    <row r="1678" spans="13:18" x14ac:dyDescent="0.3">
      <c r="M1678" s="18" t="str">
        <f>IF($K1678="","",IFERROR(VLOOKUP(--SUBSTITUTE(SUBSTITUTE(TRIM($K1678),"-","")," ",""),마스터시트!$A$2:$H$1946,2,FALSE),"미등록"))</f>
        <v/>
      </c>
      <c r="N1678" s="53" t="str">
        <f>IF($K1678="","",IFERROR(VLOOKUP(--SUBSTITUTE(SUBSTITUTE(TRIM($K1678),"-","")," ",""),마스터시트!$A$2:$H$1946,3,FALSE),"미등록"))</f>
        <v/>
      </c>
      <c r="O1678" s="18" t="str">
        <f>IF($K1678="","",IFERROR(VLOOKUP(--SUBSTITUTE(SUBSTITUTE(TRIM($K1678),"-","")," ",""),마스터시트!$A$2:$H$1946,4,FALSE),""))</f>
        <v/>
      </c>
      <c r="P1678" s="18" t="str">
        <f>IF($K1678="","",IFERROR(VLOOKUP(--SUBSTITUTE(SUBSTITUTE(TRIM($K1678),"-","")," ",""),마스터시트!$A$2:$H$1946,5,FALSE),""))</f>
        <v/>
      </c>
      <c r="Q1678" s="18" t="str">
        <f>IF($K1678="","",IFERROR(VLOOKUP(--SUBSTITUTE(SUBSTITUTE(TRIM($K1678),"-","")," ",""),마스터시트!$A$2:$H$1946,6,FALSE),""))</f>
        <v/>
      </c>
      <c r="R1678" s="18" t="str">
        <f>IF($K1678="","",IFERROR(VLOOKUP(--SUBSTITUTE(SUBSTITUTE(TRIM($K1678),"-","")," ",""),마스터시트!$A$2:$H$1946,7,FALSE),""))</f>
        <v/>
      </c>
    </row>
    <row r="1679" spans="13:18" x14ac:dyDescent="0.3">
      <c r="M1679" s="18" t="str">
        <f>IF($K1679="","",IFERROR(VLOOKUP(--SUBSTITUTE(SUBSTITUTE(TRIM($K1679),"-","")," ",""),마스터시트!$A$2:$H$1946,2,FALSE),"미등록"))</f>
        <v/>
      </c>
      <c r="N1679" s="53" t="str">
        <f>IF($K1679="","",IFERROR(VLOOKUP(--SUBSTITUTE(SUBSTITUTE(TRIM($K1679),"-","")," ",""),마스터시트!$A$2:$H$1946,3,FALSE),"미등록"))</f>
        <v/>
      </c>
      <c r="O1679" s="18" t="str">
        <f>IF($K1679="","",IFERROR(VLOOKUP(--SUBSTITUTE(SUBSTITUTE(TRIM($K1679),"-","")," ",""),마스터시트!$A$2:$H$1946,4,FALSE),""))</f>
        <v/>
      </c>
      <c r="P1679" s="18" t="str">
        <f>IF($K1679="","",IFERROR(VLOOKUP(--SUBSTITUTE(SUBSTITUTE(TRIM($K1679),"-","")," ",""),마스터시트!$A$2:$H$1946,5,FALSE),""))</f>
        <v/>
      </c>
      <c r="Q1679" s="18" t="str">
        <f>IF($K1679="","",IFERROR(VLOOKUP(--SUBSTITUTE(SUBSTITUTE(TRIM($K1679),"-","")," ",""),마스터시트!$A$2:$H$1946,6,FALSE),""))</f>
        <v/>
      </c>
      <c r="R1679" s="18" t="str">
        <f>IF($K1679="","",IFERROR(VLOOKUP(--SUBSTITUTE(SUBSTITUTE(TRIM($K1679),"-","")," ",""),마스터시트!$A$2:$H$1946,7,FALSE),""))</f>
        <v/>
      </c>
    </row>
    <row r="1680" spans="13:18" x14ac:dyDescent="0.3">
      <c r="M1680" s="18" t="str">
        <f>IF($K1680="","",IFERROR(VLOOKUP(--SUBSTITUTE(SUBSTITUTE(TRIM($K1680),"-","")," ",""),마스터시트!$A$2:$H$1946,2,FALSE),"미등록"))</f>
        <v/>
      </c>
      <c r="N1680" s="53" t="str">
        <f>IF($K1680="","",IFERROR(VLOOKUP(--SUBSTITUTE(SUBSTITUTE(TRIM($K1680),"-","")," ",""),마스터시트!$A$2:$H$1946,3,FALSE),"미등록"))</f>
        <v/>
      </c>
      <c r="O1680" s="18" t="str">
        <f>IF($K1680="","",IFERROR(VLOOKUP(--SUBSTITUTE(SUBSTITUTE(TRIM($K1680),"-","")," ",""),마스터시트!$A$2:$H$1946,4,FALSE),""))</f>
        <v/>
      </c>
      <c r="P1680" s="18" t="str">
        <f>IF($K1680="","",IFERROR(VLOOKUP(--SUBSTITUTE(SUBSTITUTE(TRIM($K1680),"-","")," ",""),마스터시트!$A$2:$H$1946,5,FALSE),""))</f>
        <v/>
      </c>
      <c r="Q1680" s="18" t="str">
        <f>IF($K1680="","",IFERROR(VLOOKUP(--SUBSTITUTE(SUBSTITUTE(TRIM($K1680),"-","")," ",""),마스터시트!$A$2:$H$1946,6,FALSE),""))</f>
        <v/>
      </c>
      <c r="R1680" s="18" t="str">
        <f>IF($K1680="","",IFERROR(VLOOKUP(--SUBSTITUTE(SUBSTITUTE(TRIM($K1680),"-","")," ",""),마스터시트!$A$2:$H$1946,7,FALSE),""))</f>
        <v/>
      </c>
    </row>
    <row r="1681" spans="13:18" x14ac:dyDescent="0.3">
      <c r="M1681" s="18" t="str">
        <f>IF($K1681="","",IFERROR(VLOOKUP(--SUBSTITUTE(SUBSTITUTE(TRIM($K1681),"-","")," ",""),마스터시트!$A$2:$H$1946,2,FALSE),"미등록"))</f>
        <v/>
      </c>
      <c r="N1681" s="53" t="str">
        <f>IF($K1681="","",IFERROR(VLOOKUP(--SUBSTITUTE(SUBSTITUTE(TRIM($K1681),"-","")," ",""),마스터시트!$A$2:$H$1946,3,FALSE),"미등록"))</f>
        <v/>
      </c>
      <c r="O1681" s="18" t="str">
        <f>IF($K1681="","",IFERROR(VLOOKUP(--SUBSTITUTE(SUBSTITUTE(TRIM($K1681),"-","")," ",""),마스터시트!$A$2:$H$1946,4,FALSE),""))</f>
        <v/>
      </c>
      <c r="P1681" s="18" t="str">
        <f>IF($K1681="","",IFERROR(VLOOKUP(--SUBSTITUTE(SUBSTITUTE(TRIM($K1681),"-","")," ",""),마스터시트!$A$2:$H$1946,5,FALSE),""))</f>
        <v/>
      </c>
      <c r="Q1681" s="18" t="str">
        <f>IF($K1681="","",IFERROR(VLOOKUP(--SUBSTITUTE(SUBSTITUTE(TRIM($K1681),"-","")," ",""),마스터시트!$A$2:$H$1946,6,FALSE),""))</f>
        <v/>
      </c>
      <c r="R1681" s="18" t="str">
        <f>IF($K1681="","",IFERROR(VLOOKUP(--SUBSTITUTE(SUBSTITUTE(TRIM($K1681),"-","")," ",""),마스터시트!$A$2:$H$1946,7,FALSE),""))</f>
        <v/>
      </c>
    </row>
    <row r="1682" spans="13:18" x14ac:dyDescent="0.3">
      <c r="M1682" s="18" t="str">
        <f>IF($K1682="","",IFERROR(VLOOKUP(--SUBSTITUTE(SUBSTITUTE(TRIM($K1682),"-","")," ",""),마스터시트!$A$2:$H$1946,2,FALSE),"미등록"))</f>
        <v/>
      </c>
      <c r="N1682" s="53" t="str">
        <f>IF($K1682="","",IFERROR(VLOOKUP(--SUBSTITUTE(SUBSTITUTE(TRIM($K1682),"-","")," ",""),마스터시트!$A$2:$H$1946,3,FALSE),"미등록"))</f>
        <v/>
      </c>
      <c r="O1682" s="18" t="str">
        <f>IF($K1682="","",IFERROR(VLOOKUP(--SUBSTITUTE(SUBSTITUTE(TRIM($K1682),"-","")," ",""),마스터시트!$A$2:$H$1946,4,FALSE),""))</f>
        <v/>
      </c>
      <c r="P1682" s="18" t="str">
        <f>IF($K1682="","",IFERROR(VLOOKUP(--SUBSTITUTE(SUBSTITUTE(TRIM($K1682),"-","")," ",""),마스터시트!$A$2:$H$1946,5,FALSE),""))</f>
        <v/>
      </c>
      <c r="Q1682" s="18" t="str">
        <f>IF($K1682="","",IFERROR(VLOOKUP(--SUBSTITUTE(SUBSTITUTE(TRIM($K1682),"-","")," ",""),마스터시트!$A$2:$H$1946,6,FALSE),""))</f>
        <v/>
      </c>
      <c r="R1682" s="18" t="str">
        <f>IF($K1682="","",IFERROR(VLOOKUP(--SUBSTITUTE(SUBSTITUTE(TRIM($K1682),"-","")," ",""),마스터시트!$A$2:$H$1946,7,FALSE),""))</f>
        <v/>
      </c>
    </row>
    <row r="1683" spans="13:18" x14ac:dyDescent="0.3">
      <c r="M1683" s="18" t="str">
        <f>IF($K1683="","",IFERROR(VLOOKUP(--SUBSTITUTE(SUBSTITUTE(TRIM($K1683),"-","")," ",""),마스터시트!$A$2:$H$1946,2,FALSE),"미등록"))</f>
        <v/>
      </c>
      <c r="N1683" s="53" t="str">
        <f>IF($K1683="","",IFERROR(VLOOKUP(--SUBSTITUTE(SUBSTITUTE(TRIM($K1683),"-","")," ",""),마스터시트!$A$2:$H$1946,3,FALSE),"미등록"))</f>
        <v/>
      </c>
      <c r="O1683" s="18" t="str">
        <f>IF($K1683="","",IFERROR(VLOOKUP(--SUBSTITUTE(SUBSTITUTE(TRIM($K1683),"-","")," ",""),마스터시트!$A$2:$H$1946,4,FALSE),""))</f>
        <v/>
      </c>
      <c r="P1683" s="18" t="str">
        <f>IF($K1683="","",IFERROR(VLOOKUP(--SUBSTITUTE(SUBSTITUTE(TRIM($K1683),"-","")," ",""),마스터시트!$A$2:$H$1946,5,FALSE),""))</f>
        <v/>
      </c>
      <c r="Q1683" s="18" t="str">
        <f>IF($K1683="","",IFERROR(VLOOKUP(--SUBSTITUTE(SUBSTITUTE(TRIM($K1683),"-","")," ",""),마스터시트!$A$2:$H$1946,6,FALSE),""))</f>
        <v/>
      </c>
      <c r="R1683" s="18" t="str">
        <f>IF($K1683="","",IFERROR(VLOOKUP(--SUBSTITUTE(SUBSTITUTE(TRIM($K1683),"-","")," ",""),마스터시트!$A$2:$H$1946,7,FALSE),""))</f>
        <v/>
      </c>
    </row>
    <row r="1684" spans="13:18" x14ac:dyDescent="0.3">
      <c r="M1684" s="18" t="str">
        <f>IF($K1684="","",IFERROR(VLOOKUP(--SUBSTITUTE(SUBSTITUTE(TRIM($K1684),"-","")," ",""),마스터시트!$A$2:$H$1946,2,FALSE),"미등록"))</f>
        <v/>
      </c>
      <c r="N1684" s="53" t="str">
        <f>IF($K1684="","",IFERROR(VLOOKUP(--SUBSTITUTE(SUBSTITUTE(TRIM($K1684),"-","")," ",""),마스터시트!$A$2:$H$1946,3,FALSE),"미등록"))</f>
        <v/>
      </c>
      <c r="O1684" s="18" t="str">
        <f>IF($K1684="","",IFERROR(VLOOKUP(--SUBSTITUTE(SUBSTITUTE(TRIM($K1684),"-","")," ",""),마스터시트!$A$2:$H$1946,4,FALSE),""))</f>
        <v/>
      </c>
      <c r="P1684" s="18" t="str">
        <f>IF($K1684="","",IFERROR(VLOOKUP(--SUBSTITUTE(SUBSTITUTE(TRIM($K1684),"-","")," ",""),마스터시트!$A$2:$H$1946,5,FALSE),""))</f>
        <v/>
      </c>
      <c r="Q1684" s="18" t="str">
        <f>IF($K1684="","",IFERROR(VLOOKUP(--SUBSTITUTE(SUBSTITUTE(TRIM($K1684),"-","")," ",""),마스터시트!$A$2:$H$1946,6,FALSE),""))</f>
        <v/>
      </c>
      <c r="R1684" s="18" t="str">
        <f>IF($K1684="","",IFERROR(VLOOKUP(--SUBSTITUTE(SUBSTITUTE(TRIM($K1684),"-","")," ",""),마스터시트!$A$2:$H$1946,7,FALSE),""))</f>
        <v/>
      </c>
    </row>
    <row r="1685" spans="13:18" x14ac:dyDescent="0.3">
      <c r="M1685" s="18" t="str">
        <f>IF($K1685="","",IFERROR(VLOOKUP(--SUBSTITUTE(SUBSTITUTE(TRIM($K1685),"-","")," ",""),마스터시트!$A$2:$H$1946,2,FALSE),"미등록"))</f>
        <v/>
      </c>
      <c r="N1685" s="53" t="str">
        <f>IF($K1685="","",IFERROR(VLOOKUP(--SUBSTITUTE(SUBSTITUTE(TRIM($K1685),"-","")," ",""),마스터시트!$A$2:$H$1946,3,FALSE),"미등록"))</f>
        <v/>
      </c>
      <c r="O1685" s="18" t="str">
        <f>IF($K1685="","",IFERROR(VLOOKUP(--SUBSTITUTE(SUBSTITUTE(TRIM($K1685),"-","")," ",""),마스터시트!$A$2:$H$1946,4,FALSE),""))</f>
        <v/>
      </c>
      <c r="P1685" s="18" t="str">
        <f>IF($K1685="","",IFERROR(VLOOKUP(--SUBSTITUTE(SUBSTITUTE(TRIM($K1685),"-","")," ",""),마스터시트!$A$2:$H$1946,5,FALSE),""))</f>
        <v/>
      </c>
      <c r="Q1685" s="18" t="str">
        <f>IF($K1685="","",IFERROR(VLOOKUP(--SUBSTITUTE(SUBSTITUTE(TRIM($K1685),"-","")," ",""),마스터시트!$A$2:$H$1946,6,FALSE),""))</f>
        <v/>
      </c>
      <c r="R1685" s="18" t="str">
        <f>IF($K1685="","",IFERROR(VLOOKUP(--SUBSTITUTE(SUBSTITUTE(TRIM($K1685),"-","")," ",""),마스터시트!$A$2:$H$1946,7,FALSE),""))</f>
        <v/>
      </c>
    </row>
    <row r="1686" spans="13:18" x14ac:dyDescent="0.3">
      <c r="M1686" s="18" t="str">
        <f>IF($K1686="","",IFERROR(VLOOKUP(--SUBSTITUTE(SUBSTITUTE(TRIM($K1686),"-","")," ",""),마스터시트!$A$2:$H$1946,2,FALSE),"미등록"))</f>
        <v/>
      </c>
      <c r="N1686" s="53" t="str">
        <f>IF($K1686="","",IFERROR(VLOOKUP(--SUBSTITUTE(SUBSTITUTE(TRIM($K1686),"-","")," ",""),마스터시트!$A$2:$H$1946,3,FALSE),"미등록"))</f>
        <v/>
      </c>
      <c r="O1686" s="18" t="str">
        <f>IF($K1686="","",IFERROR(VLOOKUP(--SUBSTITUTE(SUBSTITUTE(TRIM($K1686),"-","")," ",""),마스터시트!$A$2:$H$1946,4,FALSE),""))</f>
        <v/>
      </c>
      <c r="P1686" s="18" t="str">
        <f>IF($K1686="","",IFERROR(VLOOKUP(--SUBSTITUTE(SUBSTITUTE(TRIM($K1686),"-","")," ",""),마스터시트!$A$2:$H$1946,5,FALSE),""))</f>
        <v/>
      </c>
      <c r="Q1686" s="18" t="str">
        <f>IF($K1686="","",IFERROR(VLOOKUP(--SUBSTITUTE(SUBSTITUTE(TRIM($K1686),"-","")," ",""),마스터시트!$A$2:$H$1946,6,FALSE),""))</f>
        <v/>
      </c>
      <c r="R1686" s="18" t="str">
        <f>IF($K1686="","",IFERROR(VLOOKUP(--SUBSTITUTE(SUBSTITUTE(TRIM($K1686),"-","")," ",""),마스터시트!$A$2:$H$1946,7,FALSE),""))</f>
        <v/>
      </c>
    </row>
    <row r="1687" spans="13:18" x14ac:dyDescent="0.3">
      <c r="M1687" s="18" t="str">
        <f>IF($K1687="","",IFERROR(VLOOKUP(--SUBSTITUTE(SUBSTITUTE(TRIM($K1687),"-","")," ",""),마스터시트!$A$2:$H$1946,2,FALSE),"미등록"))</f>
        <v/>
      </c>
      <c r="N1687" s="53" t="str">
        <f>IF($K1687="","",IFERROR(VLOOKUP(--SUBSTITUTE(SUBSTITUTE(TRIM($K1687),"-","")," ",""),마스터시트!$A$2:$H$1946,3,FALSE),"미등록"))</f>
        <v/>
      </c>
      <c r="O1687" s="18" t="str">
        <f>IF($K1687="","",IFERROR(VLOOKUP(--SUBSTITUTE(SUBSTITUTE(TRIM($K1687),"-","")," ",""),마스터시트!$A$2:$H$1946,4,FALSE),""))</f>
        <v/>
      </c>
      <c r="P1687" s="18" t="str">
        <f>IF($K1687="","",IFERROR(VLOOKUP(--SUBSTITUTE(SUBSTITUTE(TRIM($K1687),"-","")," ",""),마스터시트!$A$2:$H$1946,5,FALSE),""))</f>
        <v/>
      </c>
      <c r="Q1687" s="18" t="str">
        <f>IF($K1687="","",IFERROR(VLOOKUP(--SUBSTITUTE(SUBSTITUTE(TRIM($K1687),"-","")," ",""),마스터시트!$A$2:$H$1946,6,FALSE),""))</f>
        <v/>
      </c>
      <c r="R1687" s="18" t="str">
        <f>IF($K1687="","",IFERROR(VLOOKUP(--SUBSTITUTE(SUBSTITUTE(TRIM($K1687),"-","")," ",""),마스터시트!$A$2:$H$1946,7,FALSE),""))</f>
        <v/>
      </c>
    </row>
    <row r="1688" spans="13:18" x14ac:dyDescent="0.3">
      <c r="M1688" s="18" t="str">
        <f>IF($K1688="","",IFERROR(VLOOKUP(--SUBSTITUTE(SUBSTITUTE(TRIM($K1688),"-","")," ",""),마스터시트!$A$2:$H$1946,2,FALSE),"미등록"))</f>
        <v/>
      </c>
      <c r="N1688" s="53" t="str">
        <f>IF($K1688="","",IFERROR(VLOOKUP(--SUBSTITUTE(SUBSTITUTE(TRIM($K1688),"-","")," ",""),마스터시트!$A$2:$H$1946,3,FALSE),"미등록"))</f>
        <v/>
      </c>
      <c r="O1688" s="18" t="str">
        <f>IF($K1688="","",IFERROR(VLOOKUP(--SUBSTITUTE(SUBSTITUTE(TRIM($K1688),"-","")," ",""),마스터시트!$A$2:$H$1946,4,FALSE),""))</f>
        <v/>
      </c>
      <c r="P1688" s="18" t="str">
        <f>IF($K1688="","",IFERROR(VLOOKUP(--SUBSTITUTE(SUBSTITUTE(TRIM($K1688),"-","")," ",""),마스터시트!$A$2:$H$1946,5,FALSE),""))</f>
        <v/>
      </c>
      <c r="Q1688" s="18" t="str">
        <f>IF($K1688="","",IFERROR(VLOOKUP(--SUBSTITUTE(SUBSTITUTE(TRIM($K1688),"-","")," ",""),마스터시트!$A$2:$H$1946,6,FALSE),""))</f>
        <v/>
      </c>
      <c r="R1688" s="18" t="str">
        <f>IF($K1688="","",IFERROR(VLOOKUP(--SUBSTITUTE(SUBSTITUTE(TRIM($K1688),"-","")," ",""),마스터시트!$A$2:$H$1946,7,FALSE),""))</f>
        <v/>
      </c>
    </row>
    <row r="1689" spans="13:18" x14ac:dyDescent="0.3">
      <c r="M1689" s="18" t="str">
        <f>IF($K1689="","",IFERROR(VLOOKUP(--SUBSTITUTE(SUBSTITUTE(TRIM($K1689),"-","")," ",""),마스터시트!$A$2:$H$1946,2,FALSE),"미등록"))</f>
        <v/>
      </c>
      <c r="N1689" s="53" t="str">
        <f>IF($K1689="","",IFERROR(VLOOKUP(--SUBSTITUTE(SUBSTITUTE(TRIM($K1689),"-","")," ",""),마스터시트!$A$2:$H$1946,3,FALSE),"미등록"))</f>
        <v/>
      </c>
      <c r="O1689" s="18" t="str">
        <f>IF($K1689="","",IFERROR(VLOOKUP(--SUBSTITUTE(SUBSTITUTE(TRIM($K1689),"-","")," ",""),마스터시트!$A$2:$H$1946,4,FALSE),""))</f>
        <v/>
      </c>
      <c r="P1689" s="18" t="str">
        <f>IF($K1689="","",IFERROR(VLOOKUP(--SUBSTITUTE(SUBSTITUTE(TRIM($K1689),"-","")," ",""),마스터시트!$A$2:$H$1946,5,FALSE),""))</f>
        <v/>
      </c>
      <c r="Q1689" s="18" t="str">
        <f>IF($K1689="","",IFERROR(VLOOKUP(--SUBSTITUTE(SUBSTITUTE(TRIM($K1689),"-","")," ",""),마스터시트!$A$2:$H$1946,6,FALSE),""))</f>
        <v/>
      </c>
      <c r="R1689" s="18" t="str">
        <f>IF($K1689="","",IFERROR(VLOOKUP(--SUBSTITUTE(SUBSTITUTE(TRIM($K1689),"-","")," ",""),마스터시트!$A$2:$H$1946,7,FALSE),""))</f>
        <v/>
      </c>
    </row>
    <row r="1690" spans="13:18" x14ac:dyDescent="0.3">
      <c r="M1690" s="18" t="str">
        <f>IF($K1690="","",IFERROR(VLOOKUP(--SUBSTITUTE(SUBSTITUTE(TRIM($K1690),"-","")," ",""),마스터시트!$A$2:$H$1946,2,FALSE),"미등록"))</f>
        <v/>
      </c>
      <c r="N1690" s="53" t="str">
        <f>IF($K1690="","",IFERROR(VLOOKUP(--SUBSTITUTE(SUBSTITUTE(TRIM($K1690),"-","")," ",""),마스터시트!$A$2:$H$1946,3,FALSE),"미등록"))</f>
        <v/>
      </c>
      <c r="O1690" s="18" t="str">
        <f>IF($K1690="","",IFERROR(VLOOKUP(--SUBSTITUTE(SUBSTITUTE(TRIM($K1690),"-","")," ",""),마스터시트!$A$2:$H$1946,4,FALSE),""))</f>
        <v/>
      </c>
      <c r="P1690" s="18" t="str">
        <f>IF($K1690="","",IFERROR(VLOOKUP(--SUBSTITUTE(SUBSTITUTE(TRIM($K1690),"-","")," ",""),마스터시트!$A$2:$H$1946,5,FALSE),""))</f>
        <v/>
      </c>
      <c r="Q1690" s="18" t="str">
        <f>IF($K1690="","",IFERROR(VLOOKUP(--SUBSTITUTE(SUBSTITUTE(TRIM($K1690),"-","")," ",""),마스터시트!$A$2:$H$1946,6,FALSE),""))</f>
        <v/>
      </c>
      <c r="R1690" s="18" t="str">
        <f>IF($K1690="","",IFERROR(VLOOKUP(--SUBSTITUTE(SUBSTITUTE(TRIM($K1690),"-","")," ",""),마스터시트!$A$2:$H$1946,7,FALSE),""))</f>
        <v/>
      </c>
    </row>
    <row r="1691" spans="13:18" x14ac:dyDescent="0.3">
      <c r="M1691" s="18" t="str">
        <f>IF($K1691="","",IFERROR(VLOOKUP(--SUBSTITUTE(SUBSTITUTE(TRIM($K1691),"-","")," ",""),마스터시트!$A$2:$H$1946,2,FALSE),"미등록"))</f>
        <v/>
      </c>
      <c r="N1691" s="53" t="str">
        <f>IF($K1691="","",IFERROR(VLOOKUP(--SUBSTITUTE(SUBSTITUTE(TRIM($K1691),"-","")," ",""),마스터시트!$A$2:$H$1946,3,FALSE),"미등록"))</f>
        <v/>
      </c>
      <c r="O1691" s="18" t="str">
        <f>IF($K1691="","",IFERROR(VLOOKUP(--SUBSTITUTE(SUBSTITUTE(TRIM($K1691),"-","")," ",""),마스터시트!$A$2:$H$1946,4,FALSE),""))</f>
        <v/>
      </c>
      <c r="P1691" s="18" t="str">
        <f>IF($K1691="","",IFERROR(VLOOKUP(--SUBSTITUTE(SUBSTITUTE(TRIM($K1691),"-","")," ",""),마스터시트!$A$2:$H$1946,5,FALSE),""))</f>
        <v/>
      </c>
      <c r="Q1691" s="18" t="str">
        <f>IF($K1691="","",IFERROR(VLOOKUP(--SUBSTITUTE(SUBSTITUTE(TRIM($K1691),"-","")," ",""),마스터시트!$A$2:$H$1946,6,FALSE),""))</f>
        <v/>
      </c>
      <c r="R1691" s="18" t="str">
        <f>IF($K1691="","",IFERROR(VLOOKUP(--SUBSTITUTE(SUBSTITUTE(TRIM($K1691),"-","")," ",""),마스터시트!$A$2:$H$1946,7,FALSE),""))</f>
        <v/>
      </c>
    </row>
    <row r="1692" spans="13:18" x14ac:dyDescent="0.3">
      <c r="M1692" s="18" t="str">
        <f>IF($K1692="","",IFERROR(VLOOKUP(--SUBSTITUTE(SUBSTITUTE(TRIM($K1692),"-","")," ",""),마스터시트!$A$2:$H$1946,2,FALSE),"미등록"))</f>
        <v/>
      </c>
      <c r="N1692" s="53" t="str">
        <f>IF($K1692="","",IFERROR(VLOOKUP(--SUBSTITUTE(SUBSTITUTE(TRIM($K1692),"-","")," ",""),마스터시트!$A$2:$H$1946,3,FALSE),"미등록"))</f>
        <v/>
      </c>
      <c r="O1692" s="18" t="str">
        <f>IF($K1692="","",IFERROR(VLOOKUP(--SUBSTITUTE(SUBSTITUTE(TRIM($K1692),"-","")," ",""),마스터시트!$A$2:$H$1946,4,FALSE),""))</f>
        <v/>
      </c>
      <c r="P1692" s="18" t="str">
        <f>IF($K1692="","",IFERROR(VLOOKUP(--SUBSTITUTE(SUBSTITUTE(TRIM($K1692),"-","")," ",""),마스터시트!$A$2:$H$1946,5,FALSE),""))</f>
        <v/>
      </c>
      <c r="Q1692" s="18" t="str">
        <f>IF($K1692="","",IFERROR(VLOOKUP(--SUBSTITUTE(SUBSTITUTE(TRIM($K1692),"-","")," ",""),마스터시트!$A$2:$H$1946,6,FALSE),""))</f>
        <v/>
      </c>
      <c r="R1692" s="18" t="str">
        <f>IF($K1692="","",IFERROR(VLOOKUP(--SUBSTITUTE(SUBSTITUTE(TRIM($K1692),"-","")," ",""),마스터시트!$A$2:$H$1946,7,FALSE),""))</f>
        <v/>
      </c>
    </row>
    <row r="1693" spans="13:18" x14ac:dyDescent="0.3">
      <c r="M1693" s="18" t="str">
        <f>IF($K1693="","",IFERROR(VLOOKUP(--SUBSTITUTE(SUBSTITUTE(TRIM($K1693),"-","")," ",""),마스터시트!$A$2:$H$1946,2,FALSE),"미등록"))</f>
        <v/>
      </c>
      <c r="N1693" s="53" t="str">
        <f>IF($K1693="","",IFERROR(VLOOKUP(--SUBSTITUTE(SUBSTITUTE(TRIM($K1693),"-","")," ",""),마스터시트!$A$2:$H$1946,3,FALSE),"미등록"))</f>
        <v/>
      </c>
      <c r="O1693" s="18" t="str">
        <f>IF($K1693="","",IFERROR(VLOOKUP(--SUBSTITUTE(SUBSTITUTE(TRIM($K1693),"-","")," ",""),마스터시트!$A$2:$H$1946,4,FALSE),""))</f>
        <v/>
      </c>
      <c r="P1693" s="18" t="str">
        <f>IF($K1693="","",IFERROR(VLOOKUP(--SUBSTITUTE(SUBSTITUTE(TRIM($K1693),"-","")," ",""),마스터시트!$A$2:$H$1946,5,FALSE),""))</f>
        <v/>
      </c>
      <c r="Q1693" s="18" t="str">
        <f>IF($K1693="","",IFERROR(VLOOKUP(--SUBSTITUTE(SUBSTITUTE(TRIM($K1693),"-","")," ",""),마스터시트!$A$2:$H$1946,6,FALSE),""))</f>
        <v/>
      </c>
      <c r="R1693" s="18" t="str">
        <f>IF($K1693="","",IFERROR(VLOOKUP(--SUBSTITUTE(SUBSTITUTE(TRIM($K1693),"-","")," ",""),마스터시트!$A$2:$H$1946,7,FALSE),""))</f>
        <v/>
      </c>
    </row>
    <row r="1694" spans="13:18" x14ac:dyDescent="0.3">
      <c r="M1694" s="18" t="str">
        <f>IF($K1694="","",IFERROR(VLOOKUP(--SUBSTITUTE(SUBSTITUTE(TRIM($K1694),"-","")," ",""),마스터시트!$A$2:$H$1946,2,FALSE),"미등록"))</f>
        <v/>
      </c>
      <c r="N1694" s="53" t="str">
        <f>IF($K1694="","",IFERROR(VLOOKUP(--SUBSTITUTE(SUBSTITUTE(TRIM($K1694),"-","")," ",""),마스터시트!$A$2:$H$1946,3,FALSE),"미등록"))</f>
        <v/>
      </c>
      <c r="O1694" s="18" t="str">
        <f>IF($K1694="","",IFERROR(VLOOKUP(--SUBSTITUTE(SUBSTITUTE(TRIM($K1694),"-","")," ",""),마스터시트!$A$2:$H$1946,4,FALSE),""))</f>
        <v/>
      </c>
      <c r="P1694" s="18" t="str">
        <f>IF($K1694="","",IFERROR(VLOOKUP(--SUBSTITUTE(SUBSTITUTE(TRIM($K1694),"-","")," ",""),마스터시트!$A$2:$H$1946,5,FALSE),""))</f>
        <v/>
      </c>
      <c r="Q1694" s="18" t="str">
        <f>IF($K1694="","",IFERROR(VLOOKUP(--SUBSTITUTE(SUBSTITUTE(TRIM($K1694),"-","")," ",""),마스터시트!$A$2:$H$1946,6,FALSE),""))</f>
        <v/>
      </c>
      <c r="R1694" s="18" t="str">
        <f>IF($K1694="","",IFERROR(VLOOKUP(--SUBSTITUTE(SUBSTITUTE(TRIM($K1694),"-","")," ",""),마스터시트!$A$2:$H$1946,7,FALSE),""))</f>
        <v/>
      </c>
    </row>
    <row r="1695" spans="13:18" x14ac:dyDescent="0.3">
      <c r="M1695" s="18" t="str">
        <f>IF($K1695="","",IFERROR(VLOOKUP(--SUBSTITUTE(SUBSTITUTE(TRIM($K1695),"-","")," ",""),마스터시트!$A$2:$H$1946,2,FALSE),"미등록"))</f>
        <v/>
      </c>
      <c r="N1695" s="53" t="str">
        <f>IF($K1695="","",IFERROR(VLOOKUP(--SUBSTITUTE(SUBSTITUTE(TRIM($K1695),"-","")," ",""),마스터시트!$A$2:$H$1946,3,FALSE),"미등록"))</f>
        <v/>
      </c>
      <c r="O1695" s="18" t="str">
        <f>IF($K1695="","",IFERROR(VLOOKUP(--SUBSTITUTE(SUBSTITUTE(TRIM($K1695),"-","")," ",""),마스터시트!$A$2:$H$1946,4,FALSE),""))</f>
        <v/>
      </c>
      <c r="P1695" s="18" t="str">
        <f>IF($K1695="","",IFERROR(VLOOKUP(--SUBSTITUTE(SUBSTITUTE(TRIM($K1695),"-","")," ",""),마스터시트!$A$2:$H$1946,5,FALSE),""))</f>
        <v/>
      </c>
      <c r="Q1695" s="18" t="str">
        <f>IF($K1695="","",IFERROR(VLOOKUP(--SUBSTITUTE(SUBSTITUTE(TRIM($K1695),"-","")," ",""),마스터시트!$A$2:$H$1946,6,FALSE),""))</f>
        <v/>
      </c>
      <c r="R1695" s="18" t="str">
        <f>IF($K1695="","",IFERROR(VLOOKUP(--SUBSTITUTE(SUBSTITUTE(TRIM($K1695),"-","")," ",""),마스터시트!$A$2:$H$1946,7,FALSE),""))</f>
        <v/>
      </c>
    </row>
    <row r="1696" spans="13:18" x14ac:dyDescent="0.3">
      <c r="M1696" s="18" t="str">
        <f>IF($K1696="","",IFERROR(VLOOKUP(--SUBSTITUTE(SUBSTITUTE(TRIM($K1696),"-","")," ",""),마스터시트!$A$2:$H$1946,2,FALSE),"미등록"))</f>
        <v/>
      </c>
      <c r="N1696" s="53" t="str">
        <f>IF($K1696="","",IFERROR(VLOOKUP(--SUBSTITUTE(SUBSTITUTE(TRIM($K1696),"-","")," ",""),마스터시트!$A$2:$H$1946,3,FALSE),"미등록"))</f>
        <v/>
      </c>
      <c r="O1696" s="18" t="str">
        <f>IF($K1696="","",IFERROR(VLOOKUP(--SUBSTITUTE(SUBSTITUTE(TRIM($K1696),"-","")," ",""),마스터시트!$A$2:$H$1946,4,FALSE),""))</f>
        <v/>
      </c>
      <c r="P1696" s="18" t="str">
        <f>IF($K1696="","",IFERROR(VLOOKUP(--SUBSTITUTE(SUBSTITUTE(TRIM($K1696),"-","")," ",""),마스터시트!$A$2:$H$1946,5,FALSE),""))</f>
        <v/>
      </c>
      <c r="Q1696" s="18" t="str">
        <f>IF($K1696="","",IFERROR(VLOOKUP(--SUBSTITUTE(SUBSTITUTE(TRIM($K1696),"-","")," ",""),마스터시트!$A$2:$H$1946,6,FALSE),""))</f>
        <v/>
      </c>
      <c r="R1696" s="18" t="str">
        <f>IF($K1696="","",IFERROR(VLOOKUP(--SUBSTITUTE(SUBSTITUTE(TRIM($K1696),"-","")," ",""),마스터시트!$A$2:$H$1946,7,FALSE),""))</f>
        <v/>
      </c>
    </row>
    <row r="1697" spans="13:18" x14ac:dyDescent="0.3">
      <c r="M1697" s="18" t="str">
        <f>IF($K1697="","",IFERROR(VLOOKUP(--SUBSTITUTE(SUBSTITUTE(TRIM($K1697),"-","")," ",""),마스터시트!$A$2:$H$1946,2,FALSE),"미등록"))</f>
        <v/>
      </c>
      <c r="N1697" s="53" t="str">
        <f>IF($K1697="","",IFERROR(VLOOKUP(--SUBSTITUTE(SUBSTITUTE(TRIM($K1697),"-","")," ",""),마스터시트!$A$2:$H$1946,3,FALSE),"미등록"))</f>
        <v/>
      </c>
      <c r="O1697" s="18" t="str">
        <f>IF($K1697="","",IFERROR(VLOOKUP(--SUBSTITUTE(SUBSTITUTE(TRIM($K1697),"-","")," ",""),마스터시트!$A$2:$H$1946,4,FALSE),""))</f>
        <v/>
      </c>
      <c r="P1697" s="18" t="str">
        <f>IF($K1697="","",IFERROR(VLOOKUP(--SUBSTITUTE(SUBSTITUTE(TRIM($K1697),"-","")," ",""),마스터시트!$A$2:$H$1946,5,FALSE),""))</f>
        <v/>
      </c>
      <c r="Q1697" s="18" t="str">
        <f>IF($K1697="","",IFERROR(VLOOKUP(--SUBSTITUTE(SUBSTITUTE(TRIM($K1697),"-","")," ",""),마스터시트!$A$2:$H$1946,6,FALSE),""))</f>
        <v/>
      </c>
      <c r="R1697" s="18" t="str">
        <f>IF($K1697="","",IFERROR(VLOOKUP(--SUBSTITUTE(SUBSTITUTE(TRIM($K1697),"-","")," ",""),마스터시트!$A$2:$H$1946,7,FALSE),""))</f>
        <v/>
      </c>
    </row>
    <row r="1698" spans="13:18" x14ac:dyDescent="0.3">
      <c r="M1698" s="18" t="str">
        <f>IF($K1698="","",IFERROR(VLOOKUP(--SUBSTITUTE(SUBSTITUTE(TRIM($K1698),"-","")," ",""),마스터시트!$A$2:$H$1946,2,FALSE),"미등록"))</f>
        <v/>
      </c>
      <c r="N1698" s="53" t="str">
        <f>IF($K1698="","",IFERROR(VLOOKUP(--SUBSTITUTE(SUBSTITUTE(TRIM($K1698),"-","")," ",""),마스터시트!$A$2:$H$1946,3,FALSE),"미등록"))</f>
        <v/>
      </c>
      <c r="O1698" s="18" t="str">
        <f>IF($K1698="","",IFERROR(VLOOKUP(--SUBSTITUTE(SUBSTITUTE(TRIM($K1698),"-","")," ",""),마스터시트!$A$2:$H$1946,4,FALSE),""))</f>
        <v/>
      </c>
      <c r="P1698" s="18" t="str">
        <f>IF($K1698="","",IFERROR(VLOOKUP(--SUBSTITUTE(SUBSTITUTE(TRIM($K1698),"-","")," ",""),마스터시트!$A$2:$H$1946,5,FALSE),""))</f>
        <v/>
      </c>
      <c r="Q1698" s="18" t="str">
        <f>IF($K1698="","",IFERROR(VLOOKUP(--SUBSTITUTE(SUBSTITUTE(TRIM($K1698),"-","")," ",""),마스터시트!$A$2:$H$1946,6,FALSE),""))</f>
        <v/>
      </c>
      <c r="R1698" s="18" t="str">
        <f>IF($K1698="","",IFERROR(VLOOKUP(--SUBSTITUTE(SUBSTITUTE(TRIM($K1698),"-","")," ",""),마스터시트!$A$2:$H$1946,7,FALSE),""))</f>
        <v/>
      </c>
    </row>
    <row r="1699" spans="13:18" x14ac:dyDescent="0.3">
      <c r="M1699" s="18" t="str">
        <f>IF($K1699="","",IFERROR(VLOOKUP(--SUBSTITUTE(SUBSTITUTE(TRIM($K1699),"-","")," ",""),마스터시트!$A$2:$H$1946,2,FALSE),"미등록"))</f>
        <v/>
      </c>
      <c r="N1699" s="53" t="str">
        <f>IF($K1699="","",IFERROR(VLOOKUP(--SUBSTITUTE(SUBSTITUTE(TRIM($K1699),"-","")," ",""),마스터시트!$A$2:$H$1946,3,FALSE),"미등록"))</f>
        <v/>
      </c>
      <c r="O1699" s="18" t="str">
        <f>IF($K1699="","",IFERROR(VLOOKUP(--SUBSTITUTE(SUBSTITUTE(TRIM($K1699),"-","")," ",""),마스터시트!$A$2:$H$1946,4,FALSE),""))</f>
        <v/>
      </c>
      <c r="P1699" s="18" t="str">
        <f>IF($K1699="","",IFERROR(VLOOKUP(--SUBSTITUTE(SUBSTITUTE(TRIM($K1699),"-","")," ",""),마스터시트!$A$2:$H$1946,5,FALSE),""))</f>
        <v/>
      </c>
      <c r="Q1699" s="18" t="str">
        <f>IF($K1699="","",IFERROR(VLOOKUP(--SUBSTITUTE(SUBSTITUTE(TRIM($K1699),"-","")," ",""),마스터시트!$A$2:$H$1946,6,FALSE),""))</f>
        <v/>
      </c>
      <c r="R1699" s="18" t="str">
        <f>IF($K1699="","",IFERROR(VLOOKUP(--SUBSTITUTE(SUBSTITUTE(TRIM($K1699),"-","")," ",""),마스터시트!$A$2:$H$1946,7,FALSE),""))</f>
        <v/>
      </c>
    </row>
    <row r="1700" spans="13:18" x14ac:dyDescent="0.3">
      <c r="M1700" s="18" t="str">
        <f>IF($K1700="","",IFERROR(VLOOKUP(--SUBSTITUTE(SUBSTITUTE(TRIM($K1700),"-","")," ",""),마스터시트!$A$2:$H$1946,2,FALSE),"미등록"))</f>
        <v/>
      </c>
      <c r="N1700" s="53" t="str">
        <f>IF($K1700="","",IFERROR(VLOOKUP(--SUBSTITUTE(SUBSTITUTE(TRIM($K1700),"-","")," ",""),마스터시트!$A$2:$H$1946,3,FALSE),"미등록"))</f>
        <v/>
      </c>
      <c r="O1700" s="18" t="str">
        <f>IF($K1700="","",IFERROR(VLOOKUP(--SUBSTITUTE(SUBSTITUTE(TRIM($K1700),"-","")," ",""),마스터시트!$A$2:$H$1946,4,FALSE),""))</f>
        <v/>
      </c>
      <c r="P1700" s="18" t="str">
        <f>IF($K1700="","",IFERROR(VLOOKUP(--SUBSTITUTE(SUBSTITUTE(TRIM($K1700),"-","")," ",""),마스터시트!$A$2:$H$1946,5,FALSE),""))</f>
        <v/>
      </c>
      <c r="Q1700" s="18" t="str">
        <f>IF($K1700="","",IFERROR(VLOOKUP(--SUBSTITUTE(SUBSTITUTE(TRIM($K1700),"-","")," ",""),마스터시트!$A$2:$H$1946,6,FALSE),""))</f>
        <v/>
      </c>
      <c r="R1700" s="18" t="str">
        <f>IF($K1700="","",IFERROR(VLOOKUP(--SUBSTITUTE(SUBSTITUTE(TRIM($K1700),"-","")," ",""),마스터시트!$A$2:$H$1946,7,FALSE),""))</f>
        <v/>
      </c>
    </row>
    <row r="1701" spans="13:18" x14ac:dyDescent="0.3">
      <c r="M1701" s="18" t="str">
        <f>IF($K1701="","",IFERROR(VLOOKUP(--SUBSTITUTE(SUBSTITUTE(TRIM($K1701),"-","")," ",""),마스터시트!$A$2:$H$1946,2,FALSE),"미등록"))</f>
        <v/>
      </c>
      <c r="N1701" s="53" t="str">
        <f>IF($K1701="","",IFERROR(VLOOKUP(--SUBSTITUTE(SUBSTITUTE(TRIM($K1701),"-","")," ",""),마스터시트!$A$2:$H$1946,3,FALSE),"미등록"))</f>
        <v/>
      </c>
      <c r="O1701" s="18" t="str">
        <f>IF($K1701="","",IFERROR(VLOOKUP(--SUBSTITUTE(SUBSTITUTE(TRIM($K1701),"-","")," ",""),마스터시트!$A$2:$H$1946,4,FALSE),""))</f>
        <v/>
      </c>
      <c r="P1701" s="18" t="str">
        <f>IF($K1701="","",IFERROR(VLOOKUP(--SUBSTITUTE(SUBSTITUTE(TRIM($K1701),"-","")," ",""),마스터시트!$A$2:$H$1946,5,FALSE),""))</f>
        <v/>
      </c>
      <c r="Q1701" s="18" t="str">
        <f>IF($K1701="","",IFERROR(VLOOKUP(--SUBSTITUTE(SUBSTITUTE(TRIM($K1701),"-","")," ",""),마스터시트!$A$2:$H$1946,6,FALSE),""))</f>
        <v/>
      </c>
      <c r="R1701" s="18" t="str">
        <f>IF($K1701="","",IFERROR(VLOOKUP(--SUBSTITUTE(SUBSTITUTE(TRIM($K1701),"-","")," ",""),마스터시트!$A$2:$H$1946,7,FALSE),""))</f>
        <v/>
      </c>
    </row>
    <row r="1702" spans="13:18" x14ac:dyDescent="0.3">
      <c r="M1702" s="18" t="str">
        <f>IF($K1702="","",IFERROR(VLOOKUP(--SUBSTITUTE(SUBSTITUTE(TRIM($K1702),"-","")," ",""),마스터시트!$A$2:$H$1946,2,FALSE),"미등록"))</f>
        <v/>
      </c>
      <c r="N1702" s="53" t="str">
        <f>IF($K1702="","",IFERROR(VLOOKUP(--SUBSTITUTE(SUBSTITUTE(TRIM($K1702),"-","")," ",""),마스터시트!$A$2:$H$1946,3,FALSE),"미등록"))</f>
        <v/>
      </c>
      <c r="O1702" s="18" t="str">
        <f>IF($K1702="","",IFERROR(VLOOKUP(--SUBSTITUTE(SUBSTITUTE(TRIM($K1702),"-","")," ",""),마스터시트!$A$2:$H$1946,4,FALSE),""))</f>
        <v/>
      </c>
      <c r="P1702" s="18" t="str">
        <f>IF($K1702="","",IFERROR(VLOOKUP(--SUBSTITUTE(SUBSTITUTE(TRIM($K1702),"-","")," ",""),마스터시트!$A$2:$H$1946,5,FALSE),""))</f>
        <v/>
      </c>
      <c r="Q1702" s="18" t="str">
        <f>IF($K1702="","",IFERROR(VLOOKUP(--SUBSTITUTE(SUBSTITUTE(TRIM($K1702),"-","")," ",""),마스터시트!$A$2:$H$1946,6,FALSE),""))</f>
        <v/>
      </c>
      <c r="R1702" s="18" t="str">
        <f>IF($K1702="","",IFERROR(VLOOKUP(--SUBSTITUTE(SUBSTITUTE(TRIM($K1702),"-","")," ",""),마스터시트!$A$2:$H$1946,7,FALSE),""))</f>
        <v/>
      </c>
    </row>
    <row r="1703" spans="13:18" x14ac:dyDescent="0.3">
      <c r="M1703" s="18" t="str">
        <f>IF($K1703="","",IFERROR(VLOOKUP(--SUBSTITUTE(SUBSTITUTE(TRIM($K1703),"-","")," ",""),마스터시트!$A$2:$H$1946,2,FALSE),"미등록"))</f>
        <v/>
      </c>
      <c r="N1703" s="53" t="str">
        <f>IF($K1703="","",IFERROR(VLOOKUP(--SUBSTITUTE(SUBSTITUTE(TRIM($K1703),"-","")," ",""),마스터시트!$A$2:$H$1946,3,FALSE),"미등록"))</f>
        <v/>
      </c>
      <c r="O1703" s="18" t="str">
        <f>IF($K1703="","",IFERROR(VLOOKUP(--SUBSTITUTE(SUBSTITUTE(TRIM($K1703),"-","")," ",""),마스터시트!$A$2:$H$1946,4,FALSE),""))</f>
        <v/>
      </c>
      <c r="P1703" s="18" t="str">
        <f>IF($K1703="","",IFERROR(VLOOKUP(--SUBSTITUTE(SUBSTITUTE(TRIM($K1703),"-","")," ",""),마스터시트!$A$2:$H$1946,5,FALSE),""))</f>
        <v/>
      </c>
      <c r="Q1703" s="18" t="str">
        <f>IF($K1703="","",IFERROR(VLOOKUP(--SUBSTITUTE(SUBSTITUTE(TRIM($K1703),"-","")," ",""),마스터시트!$A$2:$H$1946,6,FALSE),""))</f>
        <v/>
      </c>
      <c r="R1703" s="18" t="str">
        <f>IF($K1703="","",IFERROR(VLOOKUP(--SUBSTITUTE(SUBSTITUTE(TRIM($K1703),"-","")," ",""),마스터시트!$A$2:$H$1946,7,FALSE),""))</f>
        <v/>
      </c>
    </row>
    <row r="1704" spans="13:18" x14ac:dyDescent="0.3">
      <c r="M1704" s="18" t="str">
        <f>IF($K1704="","",IFERROR(VLOOKUP(--SUBSTITUTE(SUBSTITUTE(TRIM($K1704),"-","")," ",""),마스터시트!$A$2:$H$1946,2,FALSE),"미등록"))</f>
        <v/>
      </c>
      <c r="N1704" s="53" t="str">
        <f>IF($K1704="","",IFERROR(VLOOKUP(--SUBSTITUTE(SUBSTITUTE(TRIM($K1704),"-","")," ",""),마스터시트!$A$2:$H$1946,3,FALSE),"미등록"))</f>
        <v/>
      </c>
      <c r="O1704" s="18" t="str">
        <f>IF($K1704="","",IFERROR(VLOOKUP(--SUBSTITUTE(SUBSTITUTE(TRIM($K1704),"-","")," ",""),마스터시트!$A$2:$H$1946,4,FALSE),""))</f>
        <v/>
      </c>
      <c r="P1704" s="18" t="str">
        <f>IF($K1704="","",IFERROR(VLOOKUP(--SUBSTITUTE(SUBSTITUTE(TRIM($K1704),"-","")," ",""),마스터시트!$A$2:$H$1946,5,FALSE),""))</f>
        <v/>
      </c>
      <c r="Q1704" s="18" t="str">
        <f>IF($K1704="","",IFERROR(VLOOKUP(--SUBSTITUTE(SUBSTITUTE(TRIM($K1704),"-","")," ",""),마스터시트!$A$2:$H$1946,6,FALSE),""))</f>
        <v/>
      </c>
      <c r="R1704" s="18" t="str">
        <f>IF($K1704="","",IFERROR(VLOOKUP(--SUBSTITUTE(SUBSTITUTE(TRIM($K1704),"-","")," ",""),마스터시트!$A$2:$H$1946,7,FALSE),""))</f>
        <v/>
      </c>
    </row>
    <row r="1705" spans="13:18" x14ac:dyDescent="0.3">
      <c r="M1705" s="18" t="str">
        <f>IF($K1705="","",IFERROR(VLOOKUP(--SUBSTITUTE(SUBSTITUTE(TRIM($K1705),"-","")," ",""),마스터시트!$A$2:$H$1946,2,FALSE),"미등록"))</f>
        <v/>
      </c>
      <c r="N1705" s="53" t="str">
        <f>IF($K1705="","",IFERROR(VLOOKUP(--SUBSTITUTE(SUBSTITUTE(TRIM($K1705),"-","")," ",""),마스터시트!$A$2:$H$1946,3,FALSE),"미등록"))</f>
        <v/>
      </c>
      <c r="O1705" s="18" t="str">
        <f>IF($K1705="","",IFERROR(VLOOKUP(--SUBSTITUTE(SUBSTITUTE(TRIM($K1705),"-","")," ",""),마스터시트!$A$2:$H$1946,4,FALSE),""))</f>
        <v/>
      </c>
      <c r="P1705" s="18" t="str">
        <f>IF($K1705="","",IFERROR(VLOOKUP(--SUBSTITUTE(SUBSTITUTE(TRIM($K1705),"-","")," ",""),마스터시트!$A$2:$H$1946,5,FALSE),""))</f>
        <v/>
      </c>
      <c r="Q1705" s="18" t="str">
        <f>IF($K1705="","",IFERROR(VLOOKUP(--SUBSTITUTE(SUBSTITUTE(TRIM($K1705),"-","")," ",""),마스터시트!$A$2:$H$1946,6,FALSE),""))</f>
        <v/>
      </c>
      <c r="R1705" s="18" t="str">
        <f>IF($K1705="","",IFERROR(VLOOKUP(--SUBSTITUTE(SUBSTITUTE(TRIM($K1705),"-","")," ",""),마스터시트!$A$2:$H$1946,7,FALSE),""))</f>
        <v/>
      </c>
    </row>
    <row r="1706" spans="13:18" x14ac:dyDescent="0.3">
      <c r="M1706" s="18" t="str">
        <f>IF($K1706="","",IFERROR(VLOOKUP(--SUBSTITUTE(SUBSTITUTE(TRIM($K1706),"-","")," ",""),마스터시트!$A$2:$H$1946,2,FALSE),"미등록"))</f>
        <v/>
      </c>
      <c r="N1706" s="53" t="str">
        <f>IF($K1706="","",IFERROR(VLOOKUP(--SUBSTITUTE(SUBSTITUTE(TRIM($K1706),"-","")," ",""),마스터시트!$A$2:$H$1946,3,FALSE),"미등록"))</f>
        <v/>
      </c>
      <c r="O1706" s="18" t="str">
        <f>IF($K1706="","",IFERROR(VLOOKUP(--SUBSTITUTE(SUBSTITUTE(TRIM($K1706),"-","")," ",""),마스터시트!$A$2:$H$1946,4,FALSE),""))</f>
        <v/>
      </c>
      <c r="P1706" s="18" t="str">
        <f>IF($K1706="","",IFERROR(VLOOKUP(--SUBSTITUTE(SUBSTITUTE(TRIM($K1706),"-","")," ",""),마스터시트!$A$2:$H$1946,5,FALSE),""))</f>
        <v/>
      </c>
      <c r="Q1706" s="18" t="str">
        <f>IF($K1706="","",IFERROR(VLOOKUP(--SUBSTITUTE(SUBSTITUTE(TRIM($K1706),"-","")," ",""),마스터시트!$A$2:$H$1946,6,FALSE),""))</f>
        <v/>
      </c>
      <c r="R1706" s="18" t="str">
        <f>IF($K1706="","",IFERROR(VLOOKUP(--SUBSTITUTE(SUBSTITUTE(TRIM($K1706),"-","")," ",""),마스터시트!$A$2:$H$1946,7,FALSE),""))</f>
        <v/>
      </c>
    </row>
    <row r="1707" spans="13:18" x14ac:dyDescent="0.3">
      <c r="M1707" s="18" t="str">
        <f>IF($K1707="","",IFERROR(VLOOKUP(--SUBSTITUTE(SUBSTITUTE(TRIM($K1707),"-","")," ",""),마스터시트!$A$2:$H$1946,2,FALSE),"미등록"))</f>
        <v/>
      </c>
      <c r="N1707" s="53" t="str">
        <f>IF($K1707="","",IFERROR(VLOOKUP(--SUBSTITUTE(SUBSTITUTE(TRIM($K1707),"-","")," ",""),마스터시트!$A$2:$H$1946,3,FALSE),"미등록"))</f>
        <v/>
      </c>
      <c r="O1707" s="18" t="str">
        <f>IF($K1707="","",IFERROR(VLOOKUP(--SUBSTITUTE(SUBSTITUTE(TRIM($K1707),"-","")," ",""),마스터시트!$A$2:$H$1946,4,FALSE),""))</f>
        <v/>
      </c>
      <c r="P1707" s="18" t="str">
        <f>IF($K1707="","",IFERROR(VLOOKUP(--SUBSTITUTE(SUBSTITUTE(TRIM($K1707),"-","")," ",""),마스터시트!$A$2:$H$1946,5,FALSE),""))</f>
        <v/>
      </c>
      <c r="Q1707" s="18" t="str">
        <f>IF($K1707="","",IFERROR(VLOOKUP(--SUBSTITUTE(SUBSTITUTE(TRIM($K1707),"-","")," ",""),마스터시트!$A$2:$H$1946,6,FALSE),""))</f>
        <v/>
      </c>
      <c r="R1707" s="18" t="str">
        <f>IF($K1707="","",IFERROR(VLOOKUP(--SUBSTITUTE(SUBSTITUTE(TRIM($K1707),"-","")," ",""),마스터시트!$A$2:$H$1946,7,FALSE),""))</f>
        <v/>
      </c>
    </row>
    <row r="1708" spans="13:18" x14ac:dyDescent="0.3">
      <c r="M1708" s="18" t="str">
        <f>IF($K1708="","",IFERROR(VLOOKUP(--SUBSTITUTE(SUBSTITUTE(TRIM($K1708),"-","")," ",""),마스터시트!$A$2:$H$1946,2,FALSE),"미등록"))</f>
        <v/>
      </c>
      <c r="N1708" s="53" t="str">
        <f>IF($K1708="","",IFERROR(VLOOKUP(--SUBSTITUTE(SUBSTITUTE(TRIM($K1708),"-","")," ",""),마스터시트!$A$2:$H$1946,3,FALSE),"미등록"))</f>
        <v/>
      </c>
      <c r="O1708" s="18" t="str">
        <f>IF($K1708="","",IFERROR(VLOOKUP(--SUBSTITUTE(SUBSTITUTE(TRIM($K1708),"-","")," ",""),마스터시트!$A$2:$H$1946,4,FALSE),""))</f>
        <v/>
      </c>
      <c r="P1708" s="18" t="str">
        <f>IF($K1708="","",IFERROR(VLOOKUP(--SUBSTITUTE(SUBSTITUTE(TRIM($K1708),"-","")," ",""),마스터시트!$A$2:$H$1946,5,FALSE),""))</f>
        <v/>
      </c>
      <c r="Q1708" s="18" t="str">
        <f>IF($K1708="","",IFERROR(VLOOKUP(--SUBSTITUTE(SUBSTITUTE(TRIM($K1708),"-","")," ",""),마스터시트!$A$2:$H$1946,6,FALSE),""))</f>
        <v/>
      </c>
      <c r="R1708" s="18" t="str">
        <f>IF($K1708="","",IFERROR(VLOOKUP(--SUBSTITUTE(SUBSTITUTE(TRIM($K1708),"-","")," ",""),마스터시트!$A$2:$H$1946,7,FALSE),""))</f>
        <v/>
      </c>
    </row>
    <row r="1709" spans="13:18" x14ac:dyDescent="0.3">
      <c r="M1709" s="18" t="str">
        <f>IF($K1709="","",IFERROR(VLOOKUP(--SUBSTITUTE(SUBSTITUTE(TRIM($K1709),"-","")," ",""),마스터시트!$A$2:$H$1946,2,FALSE),"미등록"))</f>
        <v/>
      </c>
      <c r="N1709" s="53" t="str">
        <f>IF($K1709="","",IFERROR(VLOOKUP(--SUBSTITUTE(SUBSTITUTE(TRIM($K1709),"-","")," ",""),마스터시트!$A$2:$H$1946,3,FALSE),"미등록"))</f>
        <v/>
      </c>
      <c r="O1709" s="18" t="str">
        <f>IF($K1709="","",IFERROR(VLOOKUP(--SUBSTITUTE(SUBSTITUTE(TRIM($K1709),"-","")," ",""),마스터시트!$A$2:$H$1946,4,FALSE),""))</f>
        <v/>
      </c>
      <c r="P1709" s="18" t="str">
        <f>IF($K1709="","",IFERROR(VLOOKUP(--SUBSTITUTE(SUBSTITUTE(TRIM($K1709),"-","")," ",""),마스터시트!$A$2:$H$1946,5,FALSE),""))</f>
        <v/>
      </c>
      <c r="Q1709" s="18" t="str">
        <f>IF($K1709="","",IFERROR(VLOOKUP(--SUBSTITUTE(SUBSTITUTE(TRIM($K1709),"-","")," ",""),마스터시트!$A$2:$H$1946,6,FALSE),""))</f>
        <v/>
      </c>
      <c r="R1709" s="18" t="str">
        <f>IF($K1709="","",IFERROR(VLOOKUP(--SUBSTITUTE(SUBSTITUTE(TRIM($K1709),"-","")," ",""),마스터시트!$A$2:$H$1946,7,FALSE),""))</f>
        <v/>
      </c>
    </row>
    <row r="1710" spans="13:18" x14ac:dyDescent="0.3">
      <c r="M1710" s="18" t="str">
        <f>IF($K1710="","",IFERROR(VLOOKUP(--SUBSTITUTE(SUBSTITUTE(TRIM($K1710),"-","")," ",""),마스터시트!$A$2:$H$1946,2,FALSE),"미등록"))</f>
        <v/>
      </c>
      <c r="N1710" s="53" t="str">
        <f>IF($K1710="","",IFERROR(VLOOKUP(--SUBSTITUTE(SUBSTITUTE(TRIM($K1710),"-","")," ",""),마스터시트!$A$2:$H$1946,3,FALSE),"미등록"))</f>
        <v/>
      </c>
      <c r="O1710" s="18" t="str">
        <f>IF($K1710="","",IFERROR(VLOOKUP(--SUBSTITUTE(SUBSTITUTE(TRIM($K1710),"-","")," ",""),마스터시트!$A$2:$H$1946,4,FALSE),""))</f>
        <v/>
      </c>
      <c r="P1710" s="18" t="str">
        <f>IF($K1710="","",IFERROR(VLOOKUP(--SUBSTITUTE(SUBSTITUTE(TRIM($K1710),"-","")," ",""),마스터시트!$A$2:$H$1946,5,FALSE),""))</f>
        <v/>
      </c>
      <c r="Q1710" s="18" t="str">
        <f>IF($K1710="","",IFERROR(VLOOKUP(--SUBSTITUTE(SUBSTITUTE(TRIM($K1710),"-","")," ",""),마스터시트!$A$2:$H$1946,6,FALSE),""))</f>
        <v/>
      </c>
      <c r="R1710" s="18" t="str">
        <f>IF($K1710="","",IFERROR(VLOOKUP(--SUBSTITUTE(SUBSTITUTE(TRIM($K1710),"-","")," ",""),마스터시트!$A$2:$H$1946,7,FALSE),""))</f>
        <v/>
      </c>
    </row>
    <row r="1711" spans="13:18" x14ac:dyDescent="0.3">
      <c r="M1711" s="18" t="str">
        <f>IF($K1711="","",IFERROR(VLOOKUP(--SUBSTITUTE(SUBSTITUTE(TRIM($K1711),"-","")," ",""),마스터시트!$A$2:$H$1946,2,FALSE),"미등록"))</f>
        <v/>
      </c>
      <c r="N1711" s="53" t="str">
        <f>IF($K1711="","",IFERROR(VLOOKUP(--SUBSTITUTE(SUBSTITUTE(TRIM($K1711),"-","")," ",""),마스터시트!$A$2:$H$1946,3,FALSE),"미등록"))</f>
        <v/>
      </c>
      <c r="O1711" s="18" t="str">
        <f>IF($K1711="","",IFERROR(VLOOKUP(--SUBSTITUTE(SUBSTITUTE(TRIM($K1711),"-","")," ",""),마스터시트!$A$2:$H$1946,4,FALSE),""))</f>
        <v/>
      </c>
      <c r="P1711" s="18" t="str">
        <f>IF($K1711="","",IFERROR(VLOOKUP(--SUBSTITUTE(SUBSTITUTE(TRIM($K1711),"-","")," ",""),마스터시트!$A$2:$H$1946,5,FALSE),""))</f>
        <v/>
      </c>
      <c r="Q1711" s="18" t="str">
        <f>IF($K1711="","",IFERROR(VLOOKUP(--SUBSTITUTE(SUBSTITUTE(TRIM($K1711),"-","")," ",""),마스터시트!$A$2:$H$1946,6,FALSE),""))</f>
        <v/>
      </c>
      <c r="R1711" s="18" t="str">
        <f>IF($K1711="","",IFERROR(VLOOKUP(--SUBSTITUTE(SUBSTITUTE(TRIM($K1711),"-","")," ",""),마스터시트!$A$2:$H$1946,7,FALSE),""))</f>
        <v/>
      </c>
    </row>
    <row r="1712" spans="13:18" x14ac:dyDescent="0.3">
      <c r="M1712" s="18" t="str">
        <f>IF($K1712="","",IFERROR(VLOOKUP(--SUBSTITUTE(SUBSTITUTE(TRIM($K1712),"-","")," ",""),마스터시트!$A$2:$H$1946,2,FALSE),"미등록"))</f>
        <v/>
      </c>
      <c r="N1712" s="53" t="str">
        <f>IF($K1712="","",IFERROR(VLOOKUP(--SUBSTITUTE(SUBSTITUTE(TRIM($K1712),"-","")," ",""),마스터시트!$A$2:$H$1946,3,FALSE),"미등록"))</f>
        <v/>
      </c>
      <c r="O1712" s="18" t="str">
        <f>IF($K1712="","",IFERROR(VLOOKUP(--SUBSTITUTE(SUBSTITUTE(TRIM($K1712),"-","")," ",""),마스터시트!$A$2:$H$1946,4,FALSE),""))</f>
        <v/>
      </c>
      <c r="P1712" s="18" t="str">
        <f>IF($K1712="","",IFERROR(VLOOKUP(--SUBSTITUTE(SUBSTITUTE(TRIM($K1712),"-","")," ",""),마스터시트!$A$2:$H$1946,5,FALSE),""))</f>
        <v/>
      </c>
      <c r="Q1712" s="18" t="str">
        <f>IF($K1712="","",IFERROR(VLOOKUP(--SUBSTITUTE(SUBSTITUTE(TRIM($K1712),"-","")," ",""),마스터시트!$A$2:$H$1946,6,FALSE),""))</f>
        <v/>
      </c>
      <c r="R1712" s="18" t="str">
        <f>IF($K1712="","",IFERROR(VLOOKUP(--SUBSTITUTE(SUBSTITUTE(TRIM($K1712),"-","")," ",""),마스터시트!$A$2:$H$1946,7,FALSE),""))</f>
        <v/>
      </c>
    </row>
    <row r="1713" spans="13:18" x14ac:dyDescent="0.3">
      <c r="M1713" s="18" t="str">
        <f>IF($K1713="","",IFERROR(VLOOKUP(--SUBSTITUTE(SUBSTITUTE(TRIM($K1713),"-","")," ",""),마스터시트!$A$2:$H$1946,2,FALSE),"미등록"))</f>
        <v/>
      </c>
      <c r="N1713" s="53" t="str">
        <f>IF($K1713="","",IFERROR(VLOOKUP(--SUBSTITUTE(SUBSTITUTE(TRIM($K1713),"-","")," ",""),마스터시트!$A$2:$H$1946,3,FALSE),"미등록"))</f>
        <v/>
      </c>
      <c r="O1713" s="18" t="str">
        <f>IF($K1713="","",IFERROR(VLOOKUP(--SUBSTITUTE(SUBSTITUTE(TRIM($K1713),"-","")," ",""),마스터시트!$A$2:$H$1946,4,FALSE),""))</f>
        <v/>
      </c>
      <c r="P1713" s="18" t="str">
        <f>IF($K1713="","",IFERROR(VLOOKUP(--SUBSTITUTE(SUBSTITUTE(TRIM($K1713),"-","")," ",""),마스터시트!$A$2:$H$1946,5,FALSE),""))</f>
        <v/>
      </c>
      <c r="Q1713" s="18" t="str">
        <f>IF($K1713="","",IFERROR(VLOOKUP(--SUBSTITUTE(SUBSTITUTE(TRIM($K1713),"-","")," ",""),마스터시트!$A$2:$H$1946,6,FALSE),""))</f>
        <v/>
      </c>
      <c r="R1713" s="18" t="str">
        <f>IF($K1713="","",IFERROR(VLOOKUP(--SUBSTITUTE(SUBSTITUTE(TRIM($K1713),"-","")," ",""),마스터시트!$A$2:$H$1946,7,FALSE),""))</f>
        <v/>
      </c>
    </row>
    <row r="1714" spans="13:18" x14ac:dyDescent="0.3">
      <c r="M1714" s="18" t="str">
        <f>IF($K1714="","",IFERROR(VLOOKUP(--SUBSTITUTE(SUBSTITUTE(TRIM($K1714),"-","")," ",""),마스터시트!$A$2:$H$1946,2,FALSE),"미등록"))</f>
        <v/>
      </c>
      <c r="N1714" s="53" t="str">
        <f>IF($K1714="","",IFERROR(VLOOKUP(--SUBSTITUTE(SUBSTITUTE(TRIM($K1714),"-","")," ",""),마스터시트!$A$2:$H$1946,3,FALSE),"미등록"))</f>
        <v/>
      </c>
      <c r="O1714" s="18" t="str">
        <f>IF($K1714="","",IFERROR(VLOOKUP(--SUBSTITUTE(SUBSTITUTE(TRIM($K1714),"-","")," ",""),마스터시트!$A$2:$H$1946,4,FALSE),""))</f>
        <v/>
      </c>
      <c r="P1714" s="18" t="str">
        <f>IF($K1714="","",IFERROR(VLOOKUP(--SUBSTITUTE(SUBSTITUTE(TRIM($K1714),"-","")," ",""),마스터시트!$A$2:$H$1946,5,FALSE),""))</f>
        <v/>
      </c>
      <c r="Q1714" s="18" t="str">
        <f>IF($K1714="","",IFERROR(VLOOKUP(--SUBSTITUTE(SUBSTITUTE(TRIM($K1714),"-","")," ",""),마스터시트!$A$2:$H$1946,6,FALSE),""))</f>
        <v/>
      </c>
      <c r="R1714" s="18" t="str">
        <f>IF($K1714="","",IFERROR(VLOOKUP(--SUBSTITUTE(SUBSTITUTE(TRIM($K1714),"-","")," ",""),마스터시트!$A$2:$H$1946,7,FALSE),""))</f>
        <v/>
      </c>
    </row>
    <row r="1715" spans="13:18" x14ac:dyDescent="0.3">
      <c r="M1715" s="18" t="str">
        <f>IF($K1715="","",IFERROR(VLOOKUP(--SUBSTITUTE(SUBSTITUTE(TRIM($K1715),"-","")," ",""),마스터시트!$A$2:$H$1946,2,FALSE),"미등록"))</f>
        <v/>
      </c>
      <c r="N1715" s="53" t="str">
        <f>IF($K1715="","",IFERROR(VLOOKUP(--SUBSTITUTE(SUBSTITUTE(TRIM($K1715),"-","")," ",""),마스터시트!$A$2:$H$1946,3,FALSE),"미등록"))</f>
        <v/>
      </c>
      <c r="O1715" s="18" t="str">
        <f>IF($K1715="","",IFERROR(VLOOKUP(--SUBSTITUTE(SUBSTITUTE(TRIM($K1715),"-","")," ",""),마스터시트!$A$2:$H$1946,4,FALSE),""))</f>
        <v/>
      </c>
      <c r="P1715" s="18" t="str">
        <f>IF($K1715="","",IFERROR(VLOOKUP(--SUBSTITUTE(SUBSTITUTE(TRIM($K1715),"-","")," ",""),마스터시트!$A$2:$H$1946,5,FALSE),""))</f>
        <v/>
      </c>
      <c r="Q1715" s="18" t="str">
        <f>IF($K1715="","",IFERROR(VLOOKUP(--SUBSTITUTE(SUBSTITUTE(TRIM($K1715),"-","")," ",""),마스터시트!$A$2:$H$1946,6,FALSE),""))</f>
        <v/>
      </c>
      <c r="R1715" s="18" t="str">
        <f>IF($K1715="","",IFERROR(VLOOKUP(--SUBSTITUTE(SUBSTITUTE(TRIM($K1715),"-","")," ",""),마스터시트!$A$2:$H$1946,7,FALSE),""))</f>
        <v/>
      </c>
    </row>
    <row r="1716" spans="13:18" x14ac:dyDescent="0.3">
      <c r="M1716" s="18" t="str">
        <f>IF($K1716="","",IFERROR(VLOOKUP(--SUBSTITUTE(SUBSTITUTE(TRIM($K1716),"-","")," ",""),마스터시트!$A$2:$H$1946,2,FALSE),"미등록"))</f>
        <v/>
      </c>
      <c r="N1716" s="53" t="str">
        <f>IF($K1716="","",IFERROR(VLOOKUP(--SUBSTITUTE(SUBSTITUTE(TRIM($K1716),"-","")," ",""),마스터시트!$A$2:$H$1946,3,FALSE),"미등록"))</f>
        <v/>
      </c>
      <c r="O1716" s="18" t="str">
        <f>IF($K1716="","",IFERROR(VLOOKUP(--SUBSTITUTE(SUBSTITUTE(TRIM($K1716),"-","")," ",""),마스터시트!$A$2:$H$1946,4,FALSE),""))</f>
        <v/>
      </c>
      <c r="P1716" s="18" t="str">
        <f>IF($K1716="","",IFERROR(VLOOKUP(--SUBSTITUTE(SUBSTITUTE(TRIM($K1716),"-","")," ",""),마스터시트!$A$2:$H$1946,5,FALSE),""))</f>
        <v/>
      </c>
      <c r="Q1716" s="18" t="str">
        <f>IF($K1716="","",IFERROR(VLOOKUP(--SUBSTITUTE(SUBSTITUTE(TRIM($K1716),"-","")," ",""),마스터시트!$A$2:$H$1946,6,FALSE),""))</f>
        <v/>
      </c>
      <c r="R1716" s="18" t="str">
        <f>IF($K1716="","",IFERROR(VLOOKUP(--SUBSTITUTE(SUBSTITUTE(TRIM($K1716),"-","")," ",""),마스터시트!$A$2:$H$1946,7,FALSE),""))</f>
        <v/>
      </c>
    </row>
    <row r="1717" spans="13:18" x14ac:dyDescent="0.3">
      <c r="M1717" s="18" t="str">
        <f>IF($K1717="","",IFERROR(VLOOKUP(--SUBSTITUTE(SUBSTITUTE(TRIM($K1717),"-","")," ",""),마스터시트!$A$2:$H$1946,2,FALSE),"미등록"))</f>
        <v/>
      </c>
      <c r="N1717" s="53" t="str">
        <f>IF($K1717="","",IFERROR(VLOOKUP(--SUBSTITUTE(SUBSTITUTE(TRIM($K1717),"-","")," ",""),마스터시트!$A$2:$H$1946,3,FALSE),"미등록"))</f>
        <v/>
      </c>
      <c r="O1717" s="18" t="str">
        <f>IF($K1717="","",IFERROR(VLOOKUP(--SUBSTITUTE(SUBSTITUTE(TRIM($K1717),"-","")," ",""),마스터시트!$A$2:$H$1946,4,FALSE),""))</f>
        <v/>
      </c>
      <c r="P1717" s="18" t="str">
        <f>IF($K1717="","",IFERROR(VLOOKUP(--SUBSTITUTE(SUBSTITUTE(TRIM($K1717),"-","")," ",""),마스터시트!$A$2:$H$1946,5,FALSE),""))</f>
        <v/>
      </c>
      <c r="Q1717" s="18" t="str">
        <f>IF($K1717="","",IFERROR(VLOOKUP(--SUBSTITUTE(SUBSTITUTE(TRIM($K1717),"-","")," ",""),마스터시트!$A$2:$H$1946,6,FALSE),""))</f>
        <v/>
      </c>
      <c r="R1717" s="18" t="str">
        <f>IF($K1717="","",IFERROR(VLOOKUP(--SUBSTITUTE(SUBSTITUTE(TRIM($K1717),"-","")," ",""),마스터시트!$A$2:$H$1946,7,FALSE),""))</f>
        <v/>
      </c>
    </row>
    <row r="1718" spans="13:18" x14ac:dyDescent="0.3">
      <c r="M1718" s="18" t="str">
        <f>IF($K1718="","",IFERROR(VLOOKUP(--SUBSTITUTE(SUBSTITUTE(TRIM($K1718),"-","")," ",""),마스터시트!$A$2:$H$1946,2,FALSE),"미등록"))</f>
        <v/>
      </c>
      <c r="N1718" s="53" t="str">
        <f>IF($K1718="","",IFERROR(VLOOKUP(--SUBSTITUTE(SUBSTITUTE(TRIM($K1718),"-","")," ",""),마스터시트!$A$2:$H$1946,3,FALSE),"미등록"))</f>
        <v/>
      </c>
      <c r="O1718" s="18" t="str">
        <f>IF($K1718="","",IFERROR(VLOOKUP(--SUBSTITUTE(SUBSTITUTE(TRIM($K1718),"-","")," ",""),마스터시트!$A$2:$H$1946,4,FALSE),""))</f>
        <v/>
      </c>
      <c r="P1718" s="18" t="str">
        <f>IF($K1718="","",IFERROR(VLOOKUP(--SUBSTITUTE(SUBSTITUTE(TRIM($K1718),"-","")," ",""),마스터시트!$A$2:$H$1946,5,FALSE),""))</f>
        <v/>
      </c>
      <c r="Q1718" s="18" t="str">
        <f>IF($K1718="","",IFERROR(VLOOKUP(--SUBSTITUTE(SUBSTITUTE(TRIM($K1718),"-","")," ",""),마스터시트!$A$2:$H$1946,6,FALSE),""))</f>
        <v/>
      </c>
      <c r="R1718" s="18" t="str">
        <f>IF($K1718="","",IFERROR(VLOOKUP(--SUBSTITUTE(SUBSTITUTE(TRIM($K1718),"-","")," ",""),마스터시트!$A$2:$H$1946,7,FALSE),""))</f>
        <v/>
      </c>
    </row>
    <row r="1719" spans="13:18" x14ac:dyDescent="0.3">
      <c r="M1719" s="18" t="str">
        <f>IF($K1719="","",IFERROR(VLOOKUP(--SUBSTITUTE(SUBSTITUTE(TRIM($K1719),"-","")," ",""),마스터시트!$A$2:$H$1946,2,FALSE),"미등록"))</f>
        <v/>
      </c>
      <c r="N1719" s="53" t="str">
        <f>IF($K1719="","",IFERROR(VLOOKUP(--SUBSTITUTE(SUBSTITUTE(TRIM($K1719),"-","")," ",""),마스터시트!$A$2:$H$1946,3,FALSE),"미등록"))</f>
        <v/>
      </c>
      <c r="O1719" s="18" t="str">
        <f>IF($K1719="","",IFERROR(VLOOKUP(--SUBSTITUTE(SUBSTITUTE(TRIM($K1719),"-","")," ",""),마스터시트!$A$2:$H$1946,4,FALSE),""))</f>
        <v/>
      </c>
      <c r="P1719" s="18" t="str">
        <f>IF($K1719="","",IFERROR(VLOOKUP(--SUBSTITUTE(SUBSTITUTE(TRIM($K1719),"-","")," ",""),마스터시트!$A$2:$H$1946,5,FALSE),""))</f>
        <v/>
      </c>
      <c r="Q1719" s="18" t="str">
        <f>IF($K1719="","",IFERROR(VLOOKUP(--SUBSTITUTE(SUBSTITUTE(TRIM($K1719),"-","")," ",""),마스터시트!$A$2:$H$1946,6,FALSE),""))</f>
        <v/>
      </c>
      <c r="R1719" s="18" t="str">
        <f>IF($K1719="","",IFERROR(VLOOKUP(--SUBSTITUTE(SUBSTITUTE(TRIM($K1719),"-","")," ",""),마스터시트!$A$2:$H$1946,7,FALSE),""))</f>
        <v/>
      </c>
    </row>
    <row r="1720" spans="13:18" x14ac:dyDescent="0.3">
      <c r="M1720" s="18" t="str">
        <f>IF($K1720="","",IFERROR(VLOOKUP(--SUBSTITUTE(SUBSTITUTE(TRIM($K1720),"-","")," ",""),마스터시트!$A$2:$H$1946,2,FALSE),"미등록"))</f>
        <v/>
      </c>
      <c r="N1720" s="53" t="str">
        <f>IF($K1720="","",IFERROR(VLOOKUP(--SUBSTITUTE(SUBSTITUTE(TRIM($K1720),"-","")," ",""),마스터시트!$A$2:$H$1946,3,FALSE),"미등록"))</f>
        <v/>
      </c>
      <c r="O1720" s="18" t="str">
        <f>IF($K1720="","",IFERROR(VLOOKUP(--SUBSTITUTE(SUBSTITUTE(TRIM($K1720),"-","")," ",""),마스터시트!$A$2:$H$1946,4,FALSE),""))</f>
        <v/>
      </c>
      <c r="P1720" s="18" t="str">
        <f>IF($K1720="","",IFERROR(VLOOKUP(--SUBSTITUTE(SUBSTITUTE(TRIM($K1720),"-","")," ",""),마스터시트!$A$2:$H$1946,5,FALSE),""))</f>
        <v/>
      </c>
      <c r="Q1720" s="18" t="str">
        <f>IF($K1720="","",IFERROR(VLOOKUP(--SUBSTITUTE(SUBSTITUTE(TRIM($K1720),"-","")," ",""),마스터시트!$A$2:$H$1946,6,FALSE),""))</f>
        <v/>
      </c>
      <c r="R1720" s="18" t="str">
        <f>IF($K1720="","",IFERROR(VLOOKUP(--SUBSTITUTE(SUBSTITUTE(TRIM($K1720),"-","")," ",""),마스터시트!$A$2:$H$1946,7,FALSE),""))</f>
        <v/>
      </c>
    </row>
    <row r="1721" spans="13:18" x14ac:dyDescent="0.3">
      <c r="M1721" s="18" t="str">
        <f>IF($K1721="","",IFERROR(VLOOKUP(--SUBSTITUTE(SUBSTITUTE(TRIM($K1721),"-","")," ",""),마스터시트!$A$2:$H$1946,2,FALSE),"미등록"))</f>
        <v/>
      </c>
      <c r="N1721" s="53" t="str">
        <f>IF($K1721="","",IFERROR(VLOOKUP(--SUBSTITUTE(SUBSTITUTE(TRIM($K1721),"-","")," ",""),마스터시트!$A$2:$H$1946,3,FALSE),"미등록"))</f>
        <v/>
      </c>
      <c r="O1721" s="18" t="str">
        <f>IF($K1721="","",IFERROR(VLOOKUP(--SUBSTITUTE(SUBSTITUTE(TRIM($K1721),"-","")," ",""),마스터시트!$A$2:$H$1946,4,FALSE),""))</f>
        <v/>
      </c>
      <c r="P1721" s="18" t="str">
        <f>IF($K1721="","",IFERROR(VLOOKUP(--SUBSTITUTE(SUBSTITUTE(TRIM($K1721),"-","")," ",""),마스터시트!$A$2:$H$1946,5,FALSE),""))</f>
        <v/>
      </c>
      <c r="Q1721" s="18" t="str">
        <f>IF($K1721="","",IFERROR(VLOOKUP(--SUBSTITUTE(SUBSTITUTE(TRIM($K1721),"-","")," ",""),마스터시트!$A$2:$H$1946,6,FALSE),""))</f>
        <v/>
      </c>
      <c r="R1721" s="18" t="str">
        <f>IF($K1721="","",IFERROR(VLOOKUP(--SUBSTITUTE(SUBSTITUTE(TRIM($K1721),"-","")," ",""),마스터시트!$A$2:$H$1946,7,FALSE),""))</f>
        <v/>
      </c>
    </row>
    <row r="1722" spans="13:18" x14ac:dyDescent="0.3">
      <c r="M1722" s="18" t="str">
        <f>IF($K1722="","",IFERROR(VLOOKUP(--SUBSTITUTE(SUBSTITUTE(TRIM($K1722),"-","")," ",""),마스터시트!$A$2:$H$1946,2,FALSE),"미등록"))</f>
        <v/>
      </c>
      <c r="N1722" s="53" t="str">
        <f>IF($K1722="","",IFERROR(VLOOKUP(--SUBSTITUTE(SUBSTITUTE(TRIM($K1722),"-","")," ",""),마스터시트!$A$2:$H$1946,3,FALSE),"미등록"))</f>
        <v/>
      </c>
      <c r="O1722" s="18" t="str">
        <f>IF($K1722="","",IFERROR(VLOOKUP(--SUBSTITUTE(SUBSTITUTE(TRIM($K1722),"-","")," ",""),마스터시트!$A$2:$H$1946,4,FALSE),""))</f>
        <v/>
      </c>
      <c r="P1722" s="18" t="str">
        <f>IF($K1722="","",IFERROR(VLOOKUP(--SUBSTITUTE(SUBSTITUTE(TRIM($K1722),"-","")," ",""),마스터시트!$A$2:$H$1946,5,FALSE),""))</f>
        <v/>
      </c>
      <c r="Q1722" s="18" t="str">
        <f>IF($K1722="","",IFERROR(VLOOKUP(--SUBSTITUTE(SUBSTITUTE(TRIM($K1722),"-","")," ",""),마스터시트!$A$2:$H$1946,6,FALSE),""))</f>
        <v/>
      </c>
      <c r="R1722" s="18" t="str">
        <f>IF($K1722="","",IFERROR(VLOOKUP(--SUBSTITUTE(SUBSTITUTE(TRIM($K1722),"-","")," ",""),마스터시트!$A$2:$H$1946,7,FALSE),""))</f>
        <v/>
      </c>
    </row>
    <row r="1723" spans="13:18" x14ac:dyDescent="0.3">
      <c r="M1723" s="18" t="str">
        <f>IF($K1723="","",IFERROR(VLOOKUP(--SUBSTITUTE(SUBSTITUTE(TRIM($K1723),"-","")," ",""),마스터시트!$A$2:$H$1946,2,FALSE),"미등록"))</f>
        <v/>
      </c>
      <c r="N1723" s="53" t="str">
        <f>IF($K1723="","",IFERROR(VLOOKUP(--SUBSTITUTE(SUBSTITUTE(TRIM($K1723),"-","")," ",""),마스터시트!$A$2:$H$1946,3,FALSE),"미등록"))</f>
        <v/>
      </c>
      <c r="O1723" s="18" t="str">
        <f>IF($K1723="","",IFERROR(VLOOKUP(--SUBSTITUTE(SUBSTITUTE(TRIM($K1723),"-","")," ",""),마스터시트!$A$2:$H$1946,4,FALSE),""))</f>
        <v/>
      </c>
      <c r="P1723" s="18" t="str">
        <f>IF($K1723="","",IFERROR(VLOOKUP(--SUBSTITUTE(SUBSTITUTE(TRIM($K1723),"-","")," ",""),마스터시트!$A$2:$H$1946,5,FALSE),""))</f>
        <v/>
      </c>
      <c r="Q1723" s="18" t="str">
        <f>IF($K1723="","",IFERROR(VLOOKUP(--SUBSTITUTE(SUBSTITUTE(TRIM($K1723),"-","")," ",""),마스터시트!$A$2:$H$1946,6,FALSE),""))</f>
        <v/>
      </c>
      <c r="R1723" s="18" t="str">
        <f>IF($K1723="","",IFERROR(VLOOKUP(--SUBSTITUTE(SUBSTITUTE(TRIM($K1723),"-","")," ",""),마스터시트!$A$2:$H$1946,7,FALSE),""))</f>
        <v/>
      </c>
    </row>
    <row r="1724" spans="13:18" x14ac:dyDescent="0.3">
      <c r="M1724" s="18" t="str">
        <f>IF($K1724="","",IFERROR(VLOOKUP(--SUBSTITUTE(SUBSTITUTE(TRIM($K1724),"-","")," ",""),마스터시트!$A$2:$H$1946,2,FALSE),"미등록"))</f>
        <v/>
      </c>
      <c r="N1724" s="53" t="str">
        <f>IF($K1724="","",IFERROR(VLOOKUP(--SUBSTITUTE(SUBSTITUTE(TRIM($K1724),"-","")," ",""),마스터시트!$A$2:$H$1946,3,FALSE),"미등록"))</f>
        <v/>
      </c>
      <c r="O1724" s="18" t="str">
        <f>IF($K1724="","",IFERROR(VLOOKUP(--SUBSTITUTE(SUBSTITUTE(TRIM($K1724),"-","")," ",""),마스터시트!$A$2:$H$1946,4,FALSE),""))</f>
        <v/>
      </c>
      <c r="P1724" s="18" t="str">
        <f>IF($K1724="","",IFERROR(VLOOKUP(--SUBSTITUTE(SUBSTITUTE(TRIM($K1724),"-","")," ",""),마스터시트!$A$2:$H$1946,5,FALSE),""))</f>
        <v/>
      </c>
      <c r="Q1724" s="18" t="str">
        <f>IF($K1724="","",IFERROR(VLOOKUP(--SUBSTITUTE(SUBSTITUTE(TRIM($K1724),"-","")," ",""),마스터시트!$A$2:$H$1946,6,FALSE),""))</f>
        <v/>
      </c>
      <c r="R1724" s="18" t="str">
        <f>IF($K1724="","",IFERROR(VLOOKUP(--SUBSTITUTE(SUBSTITUTE(TRIM($K1724),"-","")," ",""),마스터시트!$A$2:$H$1946,7,FALSE),""))</f>
        <v/>
      </c>
    </row>
    <row r="1725" spans="13:18" x14ac:dyDescent="0.3">
      <c r="M1725" s="18" t="str">
        <f>IF($K1725="","",IFERROR(VLOOKUP(--SUBSTITUTE(SUBSTITUTE(TRIM($K1725),"-","")," ",""),마스터시트!$A$2:$H$1946,2,FALSE),"미등록"))</f>
        <v/>
      </c>
      <c r="N1725" s="53" t="str">
        <f>IF($K1725="","",IFERROR(VLOOKUP(--SUBSTITUTE(SUBSTITUTE(TRIM($K1725),"-","")," ",""),마스터시트!$A$2:$H$1946,3,FALSE),"미등록"))</f>
        <v/>
      </c>
      <c r="O1725" s="18" t="str">
        <f>IF($K1725="","",IFERROR(VLOOKUP(--SUBSTITUTE(SUBSTITUTE(TRIM($K1725),"-","")," ",""),마스터시트!$A$2:$H$1946,4,FALSE),""))</f>
        <v/>
      </c>
      <c r="P1725" s="18" t="str">
        <f>IF($K1725="","",IFERROR(VLOOKUP(--SUBSTITUTE(SUBSTITUTE(TRIM($K1725),"-","")," ",""),마스터시트!$A$2:$H$1946,5,FALSE),""))</f>
        <v/>
      </c>
      <c r="Q1725" s="18" t="str">
        <f>IF($K1725="","",IFERROR(VLOOKUP(--SUBSTITUTE(SUBSTITUTE(TRIM($K1725),"-","")," ",""),마스터시트!$A$2:$H$1946,6,FALSE),""))</f>
        <v/>
      </c>
      <c r="R1725" s="18" t="str">
        <f>IF($K1725="","",IFERROR(VLOOKUP(--SUBSTITUTE(SUBSTITUTE(TRIM($K1725),"-","")," ",""),마스터시트!$A$2:$H$1946,7,FALSE),""))</f>
        <v/>
      </c>
    </row>
    <row r="1726" spans="13:18" x14ac:dyDescent="0.3">
      <c r="M1726" s="18" t="str">
        <f>IF($K1726="","",IFERROR(VLOOKUP(--SUBSTITUTE(SUBSTITUTE(TRIM($K1726),"-","")," ",""),마스터시트!$A$2:$H$1946,2,FALSE),"미등록"))</f>
        <v/>
      </c>
      <c r="N1726" s="53" t="str">
        <f>IF($K1726="","",IFERROR(VLOOKUP(--SUBSTITUTE(SUBSTITUTE(TRIM($K1726),"-","")," ",""),마스터시트!$A$2:$H$1946,3,FALSE),"미등록"))</f>
        <v/>
      </c>
      <c r="O1726" s="18" t="str">
        <f>IF($K1726="","",IFERROR(VLOOKUP(--SUBSTITUTE(SUBSTITUTE(TRIM($K1726),"-","")," ",""),마스터시트!$A$2:$H$1946,4,FALSE),""))</f>
        <v/>
      </c>
      <c r="P1726" s="18" t="str">
        <f>IF($K1726="","",IFERROR(VLOOKUP(--SUBSTITUTE(SUBSTITUTE(TRIM($K1726),"-","")," ",""),마스터시트!$A$2:$H$1946,5,FALSE),""))</f>
        <v/>
      </c>
      <c r="Q1726" s="18" t="str">
        <f>IF($K1726="","",IFERROR(VLOOKUP(--SUBSTITUTE(SUBSTITUTE(TRIM($K1726),"-","")," ",""),마스터시트!$A$2:$H$1946,6,FALSE),""))</f>
        <v/>
      </c>
      <c r="R1726" s="18" t="str">
        <f>IF($K1726="","",IFERROR(VLOOKUP(--SUBSTITUTE(SUBSTITUTE(TRIM($K1726),"-","")," ",""),마스터시트!$A$2:$H$1946,7,FALSE),""))</f>
        <v/>
      </c>
    </row>
    <row r="1727" spans="13:18" x14ac:dyDescent="0.3">
      <c r="M1727" s="18" t="str">
        <f>IF($K1727="","",IFERROR(VLOOKUP(--SUBSTITUTE(SUBSTITUTE(TRIM($K1727),"-","")," ",""),마스터시트!$A$2:$H$1946,2,FALSE),"미등록"))</f>
        <v/>
      </c>
      <c r="N1727" s="53" t="str">
        <f>IF($K1727="","",IFERROR(VLOOKUP(--SUBSTITUTE(SUBSTITUTE(TRIM($K1727),"-","")," ",""),마스터시트!$A$2:$H$1946,3,FALSE),"미등록"))</f>
        <v/>
      </c>
      <c r="O1727" s="18" t="str">
        <f>IF($K1727="","",IFERROR(VLOOKUP(--SUBSTITUTE(SUBSTITUTE(TRIM($K1727),"-","")," ",""),마스터시트!$A$2:$H$1946,4,FALSE),""))</f>
        <v/>
      </c>
      <c r="P1727" s="18" t="str">
        <f>IF($K1727="","",IFERROR(VLOOKUP(--SUBSTITUTE(SUBSTITUTE(TRIM($K1727),"-","")," ",""),마스터시트!$A$2:$H$1946,5,FALSE),""))</f>
        <v/>
      </c>
      <c r="Q1727" s="18" t="str">
        <f>IF($K1727="","",IFERROR(VLOOKUP(--SUBSTITUTE(SUBSTITUTE(TRIM($K1727),"-","")," ",""),마스터시트!$A$2:$H$1946,6,FALSE),""))</f>
        <v/>
      </c>
      <c r="R1727" s="18" t="str">
        <f>IF($K1727="","",IFERROR(VLOOKUP(--SUBSTITUTE(SUBSTITUTE(TRIM($K1727),"-","")," ",""),마스터시트!$A$2:$H$1946,7,FALSE),""))</f>
        <v/>
      </c>
    </row>
    <row r="1728" spans="13:18" x14ac:dyDescent="0.3">
      <c r="M1728" s="18" t="str">
        <f>IF($K1728="","",IFERROR(VLOOKUP(--SUBSTITUTE(SUBSTITUTE(TRIM($K1728),"-","")," ",""),마스터시트!$A$2:$H$1946,2,FALSE),"미등록"))</f>
        <v/>
      </c>
      <c r="N1728" s="53" t="str">
        <f>IF($K1728="","",IFERROR(VLOOKUP(--SUBSTITUTE(SUBSTITUTE(TRIM($K1728),"-","")," ",""),마스터시트!$A$2:$H$1946,3,FALSE),"미등록"))</f>
        <v/>
      </c>
      <c r="O1728" s="18" t="str">
        <f>IF($K1728="","",IFERROR(VLOOKUP(--SUBSTITUTE(SUBSTITUTE(TRIM($K1728),"-","")," ",""),마스터시트!$A$2:$H$1946,4,FALSE),""))</f>
        <v/>
      </c>
      <c r="P1728" s="18" t="str">
        <f>IF($K1728="","",IFERROR(VLOOKUP(--SUBSTITUTE(SUBSTITUTE(TRIM($K1728),"-","")," ",""),마스터시트!$A$2:$H$1946,5,FALSE),""))</f>
        <v/>
      </c>
      <c r="Q1728" s="18" t="str">
        <f>IF($K1728="","",IFERROR(VLOOKUP(--SUBSTITUTE(SUBSTITUTE(TRIM($K1728),"-","")," ",""),마스터시트!$A$2:$H$1946,6,FALSE),""))</f>
        <v/>
      </c>
      <c r="R1728" s="18" t="str">
        <f>IF($K1728="","",IFERROR(VLOOKUP(--SUBSTITUTE(SUBSTITUTE(TRIM($K1728),"-","")," ",""),마스터시트!$A$2:$H$1946,7,FALSE),""))</f>
        <v/>
      </c>
    </row>
    <row r="1729" spans="13:18" x14ac:dyDescent="0.3">
      <c r="M1729" s="18" t="str">
        <f>IF($K1729="","",IFERROR(VLOOKUP(--SUBSTITUTE(SUBSTITUTE(TRIM($K1729),"-","")," ",""),마스터시트!$A$2:$H$1946,2,FALSE),"미등록"))</f>
        <v/>
      </c>
      <c r="N1729" s="53" t="str">
        <f>IF($K1729="","",IFERROR(VLOOKUP(--SUBSTITUTE(SUBSTITUTE(TRIM($K1729),"-","")," ",""),마스터시트!$A$2:$H$1946,3,FALSE),"미등록"))</f>
        <v/>
      </c>
      <c r="O1729" s="18" t="str">
        <f>IF($K1729="","",IFERROR(VLOOKUP(--SUBSTITUTE(SUBSTITUTE(TRIM($K1729),"-","")," ",""),마스터시트!$A$2:$H$1946,4,FALSE),""))</f>
        <v/>
      </c>
      <c r="P1729" s="18" t="str">
        <f>IF($K1729="","",IFERROR(VLOOKUP(--SUBSTITUTE(SUBSTITUTE(TRIM($K1729),"-","")," ",""),마스터시트!$A$2:$H$1946,5,FALSE),""))</f>
        <v/>
      </c>
      <c r="Q1729" s="18" t="str">
        <f>IF($K1729="","",IFERROR(VLOOKUP(--SUBSTITUTE(SUBSTITUTE(TRIM($K1729),"-","")," ",""),마스터시트!$A$2:$H$1946,6,FALSE),""))</f>
        <v/>
      </c>
      <c r="R1729" s="18" t="str">
        <f>IF($K1729="","",IFERROR(VLOOKUP(--SUBSTITUTE(SUBSTITUTE(TRIM($K1729),"-","")," ",""),마스터시트!$A$2:$H$1946,7,FALSE),""))</f>
        <v/>
      </c>
    </row>
    <row r="1730" spans="13:18" x14ac:dyDescent="0.3">
      <c r="M1730" s="18" t="str">
        <f>IF($K1730="","",IFERROR(VLOOKUP(--SUBSTITUTE(SUBSTITUTE(TRIM($K1730),"-","")," ",""),마스터시트!$A$2:$H$1946,2,FALSE),"미등록"))</f>
        <v/>
      </c>
      <c r="N1730" s="53" t="str">
        <f>IF($K1730="","",IFERROR(VLOOKUP(--SUBSTITUTE(SUBSTITUTE(TRIM($K1730),"-","")," ",""),마스터시트!$A$2:$H$1946,3,FALSE),"미등록"))</f>
        <v/>
      </c>
      <c r="O1730" s="18" t="str">
        <f>IF($K1730="","",IFERROR(VLOOKUP(--SUBSTITUTE(SUBSTITUTE(TRIM($K1730),"-","")," ",""),마스터시트!$A$2:$H$1946,4,FALSE),""))</f>
        <v/>
      </c>
      <c r="P1730" s="18" t="str">
        <f>IF($K1730="","",IFERROR(VLOOKUP(--SUBSTITUTE(SUBSTITUTE(TRIM($K1730),"-","")," ",""),마스터시트!$A$2:$H$1946,5,FALSE),""))</f>
        <v/>
      </c>
      <c r="Q1730" s="18" t="str">
        <f>IF($K1730="","",IFERROR(VLOOKUP(--SUBSTITUTE(SUBSTITUTE(TRIM($K1730),"-","")," ",""),마스터시트!$A$2:$H$1946,6,FALSE),""))</f>
        <v/>
      </c>
      <c r="R1730" s="18" t="str">
        <f>IF($K1730="","",IFERROR(VLOOKUP(--SUBSTITUTE(SUBSTITUTE(TRIM($K1730),"-","")," ",""),마스터시트!$A$2:$H$1946,7,FALSE),""))</f>
        <v/>
      </c>
    </row>
    <row r="1731" spans="13:18" x14ac:dyDescent="0.3">
      <c r="M1731" s="18" t="str">
        <f>IF($K1731="","",IFERROR(VLOOKUP(--SUBSTITUTE(SUBSTITUTE(TRIM($K1731),"-","")," ",""),마스터시트!$A$2:$H$1946,2,FALSE),"미등록"))</f>
        <v/>
      </c>
      <c r="N1731" s="53" t="str">
        <f>IF($K1731="","",IFERROR(VLOOKUP(--SUBSTITUTE(SUBSTITUTE(TRIM($K1731),"-","")," ",""),마스터시트!$A$2:$H$1946,3,FALSE),"미등록"))</f>
        <v/>
      </c>
      <c r="O1731" s="18" t="str">
        <f>IF($K1731="","",IFERROR(VLOOKUP(--SUBSTITUTE(SUBSTITUTE(TRIM($K1731),"-","")," ",""),마스터시트!$A$2:$H$1946,4,FALSE),""))</f>
        <v/>
      </c>
      <c r="P1731" s="18" t="str">
        <f>IF($K1731="","",IFERROR(VLOOKUP(--SUBSTITUTE(SUBSTITUTE(TRIM($K1731),"-","")," ",""),마스터시트!$A$2:$H$1946,5,FALSE),""))</f>
        <v/>
      </c>
      <c r="Q1731" s="18" t="str">
        <f>IF($K1731="","",IFERROR(VLOOKUP(--SUBSTITUTE(SUBSTITUTE(TRIM($K1731),"-","")," ",""),마스터시트!$A$2:$H$1946,6,FALSE),""))</f>
        <v/>
      </c>
      <c r="R1731" s="18" t="str">
        <f>IF($K1731="","",IFERROR(VLOOKUP(--SUBSTITUTE(SUBSTITUTE(TRIM($K1731),"-","")," ",""),마스터시트!$A$2:$H$1946,7,FALSE),""))</f>
        <v/>
      </c>
    </row>
    <row r="1732" spans="13:18" x14ac:dyDescent="0.3">
      <c r="M1732" s="18" t="str">
        <f>IF($K1732="","",IFERROR(VLOOKUP(--SUBSTITUTE(SUBSTITUTE(TRIM($K1732),"-","")," ",""),마스터시트!$A$2:$H$1946,2,FALSE),"미등록"))</f>
        <v/>
      </c>
      <c r="N1732" s="53" t="str">
        <f>IF($K1732="","",IFERROR(VLOOKUP(--SUBSTITUTE(SUBSTITUTE(TRIM($K1732),"-","")," ",""),마스터시트!$A$2:$H$1946,3,FALSE),"미등록"))</f>
        <v/>
      </c>
      <c r="O1732" s="18" t="str">
        <f>IF($K1732="","",IFERROR(VLOOKUP(--SUBSTITUTE(SUBSTITUTE(TRIM($K1732),"-","")," ",""),마스터시트!$A$2:$H$1946,4,FALSE),""))</f>
        <v/>
      </c>
      <c r="P1732" s="18" t="str">
        <f>IF($K1732="","",IFERROR(VLOOKUP(--SUBSTITUTE(SUBSTITUTE(TRIM($K1732),"-","")," ",""),마스터시트!$A$2:$H$1946,5,FALSE),""))</f>
        <v/>
      </c>
      <c r="Q1732" s="18" t="str">
        <f>IF($K1732="","",IFERROR(VLOOKUP(--SUBSTITUTE(SUBSTITUTE(TRIM($K1732),"-","")," ",""),마스터시트!$A$2:$H$1946,6,FALSE),""))</f>
        <v/>
      </c>
      <c r="R1732" s="18" t="str">
        <f>IF($K1732="","",IFERROR(VLOOKUP(--SUBSTITUTE(SUBSTITUTE(TRIM($K1732),"-","")," ",""),마스터시트!$A$2:$H$1946,7,FALSE),""))</f>
        <v/>
      </c>
    </row>
    <row r="1733" spans="13:18" x14ac:dyDescent="0.3">
      <c r="M1733" s="18" t="str">
        <f>IF($K1733="","",IFERROR(VLOOKUP(--SUBSTITUTE(SUBSTITUTE(TRIM($K1733),"-","")," ",""),마스터시트!$A$2:$H$1946,2,FALSE),"미등록"))</f>
        <v/>
      </c>
      <c r="N1733" s="53" t="str">
        <f>IF($K1733="","",IFERROR(VLOOKUP(--SUBSTITUTE(SUBSTITUTE(TRIM($K1733),"-","")," ",""),마스터시트!$A$2:$H$1946,3,FALSE),"미등록"))</f>
        <v/>
      </c>
      <c r="O1733" s="18" t="str">
        <f>IF($K1733="","",IFERROR(VLOOKUP(--SUBSTITUTE(SUBSTITUTE(TRIM($K1733),"-","")," ",""),마스터시트!$A$2:$H$1946,4,FALSE),""))</f>
        <v/>
      </c>
      <c r="P1733" s="18" t="str">
        <f>IF($K1733="","",IFERROR(VLOOKUP(--SUBSTITUTE(SUBSTITUTE(TRIM($K1733),"-","")," ",""),마스터시트!$A$2:$H$1946,5,FALSE),""))</f>
        <v/>
      </c>
      <c r="Q1733" s="18" t="str">
        <f>IF($K1733="","",IFERROR(VLOOKUP(--SUBSTITUTE(SUBSTITUTE(TRIM($K1733),"-","")," ",""),마스터시트!$A$2:$H$1946,6,FALSE),""))</f>
        <v/>
      </c>
      <c r="R1733" s="18" t="str">
        <f>IF($K1733="","",IFERROR(VLOOKUP(--SUBSTITUTE(SUBSTITUTE(TRIM($K1733),"-","")," ",""),마스터시트!$A$2:$H$1946,7,FALSE),""))</f>
        <v/>
      </c>
    </row>
    <row r="1734" spans="13:18" x14ac:dyDescent="0.3">
      <c r="M1734" s="18" t="str">
        <f>IF($K1734="","",IFERROR(VLOOKUP(--SUBSTITUTE(SUBSTITUTE(TRIM($K1734),"-","")," ",""),마스터시트!$A$2:$H$1946,2,FALSE),"미등록"))</f>
        <v/>
      </c>
      <c r="N1734" s="53" t="str">
        <f>IF($K1734="","",IFERROR(VLOOKUP(--SUBSTITUTE(SUBSTITUTE(TRIM($K1734),"-","")," ",""),마스터시트!$A$2:$H$1946,3,FALSE),"미등록"))</f>
        <v/>
      </c>
      <c r="O1734" s="18" t="str">
        <f>IF($K1734="","",IFERROR(VLOOKUP(--SUBSTITUTE(SUBSTITUTE(TRIM($K1734),"-","")," ",""),마스터시트!$A$2:$H$1946,4,FALSE),""))</f>
        <v/>
      </c>
      <c r="P1734" s="18" t="str">
        <f>IF($K1734="","",IFERROR(VLOOKUP(--SUBSTITUTE(SUBSTITUTE(TRIM($K1734),"-","")," ",""),마스터시트!$A$2:$H$1946,5,FALSE),""))</f>
        <v/>
      </c>
      <c r="Q1734" s="18" t="str">
        <f>IF($K1734="","",IFERROR(VLOOKUP(--SUBSTITUTE(SUBSTITUTE(TRIM($K1734),"-","")," ",""),마스터시트!$A$2:$H$1946,6,FALSE),""))</f>
        <v/>
      </c>
      <c r="R1734" s="18" t="str">
        <f>IF($K1734="","",IFERROR(VLOOKUP(--SUBSTITUTE(SUBSTITUTE(TRIM($K1734),"-","")," ",""),마스터시트!$A$2:$H$1946,7,FALSE),""))</f>
        <v/>
      </c>
    </row>
    <row r="1735" spans="13:18" x14ac:dyDescent="0.3">
      <c r="M1735" s="18" t="str">
        <f>IF($K1735="","",IFERROR(VLOOKUP(--SUBSTITUTE(SUBSTITUTE(TRIM($K1735),"-","")," ",""),마스터시트!$A$2:$H$1946,2,FALSE),"미등록"))</f>
        <v/>
      </c>
      <c r="N1735" s="53" t="str">
        <f>IF($K1735="","",IFERROR(VLOOKUP(--SUBSTITUTE(SUBSTITUTE(TRIM($K1735),"-","")," ",""),마스터시트!$A$2:$H$1946,3,FALSE),"미등록"))</f>
        <v/>
      </c>
      <c r="O1735" s="18" t="str">
        <f>IF($K1735="","",IFERROR(VLOOKUP(--SUBSTITUTE(SUBSTITUTE(TRIM($K1735),"-","")," ",""),마스터시트!$A$2:$H$1946,4,FALSE),""))</f>
        <v/>
      </c>
      <c r="P1735" s="18" t="str">
        <f>IF($K1735="","",IFERROR(VLOOKUP(--SUBSTITUTE(SUBSTITUTE(TRIM($K1735),"-","")," ",""),마스터시트!$A$2:$H$1946,5,FALSE),""))</f>
        <v/>
      </c>
      <c r="Q1735" s="18" t="str">
        <f>IF($K1735="","",IFERROR(VLOOKUP(--SUBSTITUTE(SUBSTITUTE(TRIM($K1735),"-","")," ",""),마스터시트!$A$2:$H$1946,6,FALSE),""))</f>
        <v/>
      </c>
      <c r="R1735" s="18" t="str">
        <f>IF($K1735="","",IFERROR(VLOOKUP(--SUBSTITUTE(SUBSTITUTE(TRIM($K1735),"-","")," ",""),마스터시트!$A$2:$H$1946,7,FALSE),""))</f>
        <v/>
      </c>
    </row>
    <row r="1736" spans="13:18" x14ac:dyDescent="0.3">
      <c r="M1736" s="18" t="str">
        <f>IF($K1736="","",IFERROR(VLOOKUP(--SUBSTITUTE(SUBSTITUTE(TRIM($K1736),"-","")," ",""),마스터시트!$A$2:$H$1946,2,FALSE),"미등록"))</f>
        <v/>
      </c>
      <c r="N1736" s="53" t="str">
        <f>IF($K1736="","",IFERROR(VLOOKUP(--SUBSTITUTE(SUBSTITUTE(TRIM($K1736),"-","")," ",""),마스터시트!$A$2:$H$1946,3,FALSE),"미등록"))</f>
        <v/>
      </c>
      <c r="O1736" s="18" t="str">
        <f>IF($K1736="","",IFERROR(VLOOKUP(--SUBSTITUTE(SUBSTITUTE(TRIM($K1736),"-","")," ",""),마스터시트!$A$2:$H$1946,4,FALSE),""))</f>
        <v/>
      </c>
      <c r="P1736" s="18" t="str">
        <f>IF($K1736="","",IFERROR(VLOOKUP(--SUBSTITUTE(SUBSTITUTE(TRIM($K1736),"-","")," ",""),마스터시트!$A$2:$H$1946,5,FALSE),""))</f>
        <v/>
      </c>
      <c r="Q1736" s="18" t="str">
        <f>IF($K1736="","",IFERROR(VLOOKUP(--SUBSTITUTE(SUBSTITUTE(TRIM($K1736),"-","")," ",""),마스터시트!$A$2:$H$1946,6,FALSE),""))</f>
        <v/>
      </c>
      <c r="R1736" s="18" t="str">
        <f>IF($K1736="","",IFERROR(VLOOKUP(--SUBSTITUTE(SUBSTITUTE(TRIM($K1736),"-","")," ",""),마스터시트!$A$2:$H$1946,7,FALSE),""))</f>
        <v/>
      </c>
    </row>
    <row r="1737" spans="13:18" x14ac:dyDescent="0.3">
      <c r="M1737" s="18" t="str">
        <f>IF($K1737="","",IFERROR(VLOOKUP(--SUBSTITUTE(SUBSTITUTE(TRIM($K1737),"-","")," ",""),마스터시트!$A$2:$H$1946,2,FALSE),"미등록"))</f>
        <v/>
      </c>
      <c r="N1737" s="53" t="str">
        <f>IF($K1737="","",IFERROR(VLOOKUP(--SUBSTITUTE(SUBSTITUTE(TRIM($K1737),"-","")," ",""),마스터시트!$A$2:$H$1946,3,FALSE),"미등록"))</f>
        <v/>
      </c>
      <c r="O1737" s="18" t="str">
        <f>IF($K1737="","",IFERROR(VLOOKUP(--SUBSTITUTE(SUBSTITUTE(TRIM($K1737),"-","")," ",""),마스터시트!$A$2:$H$1946,4,FALSE),""))</f>
        <v/>
      </c>
      <c r="P1737" s="18" t="str">
        <f>IF($K1737="","",IFERROR(VLOOKUP(--SUBSTITUTE(SUBSTITUTE(TRIM($K1737),"-","")," ",""),마스터시트!$A$2:$H$1946,5,FALSE),""))</f>
        <v/>
      </c>
      <c r="Q1737" s="18" t="str">
        <f>IF($K1737="","",IFERROR(VLOOKUP(--SUBSTITUTE(SUBSTITUTE(TRIM($K1737),"-","")," ",""),마스터시트!$A$2:$H$1946,6,FALSE),""))</f>
        <v/>
      </c>
      <c r="R1737" s="18" t="str">
        <f>IF($K1737="","",IFERROR(VLOOKUP(--SUBSTITUTE(SUBSTITUTE(TRIM($K1737),"-","")," ",""),마스터시트!$A$2:$H$1946,7,FALSE),""))</f>
        <v/>
      </c>
    </row>
    <row r="1738" spans="13:18" x14ac:dyDescent="0.3">
      <c r="M1738" s="18" t="str">
        <f>IF($K1738="","",IFERROR(VLOOKUP(--SUBSTITUTE(SUBSTITUTE(TRIM($K1738),"-","")," ",""),마스터시트!$A$2:$H$1946,2,FALSE),"미등록"))</f>
        <v/>
      </c>
      <c r="N1738" s="53" t="str">
        <f>IF($K1738="","",IFERROR(VLOOKUP(--SUBSTITUTE(SUBSTITUTE(TRIM($K1738),"-","")," ",""),마스터시트!$A$2:$H$1946,3,FALSE),"미등록"))</f>
        <v/>
      </c>
      <c r="O1738" s="18" t="str">
        <f>IF($K1738="","",IFERROR(VLOOKUP(--SUBSTITUTE(SUBSTITUTE(TRIM($K1738),"-","")," ",""),마스터시트!$A$2:$H$1946,4,FALSE),""))</f>
        <v/>
      </c>
      <c r="P1738" s="18" t="str">
        <f>IF($K1738="","",IFERROR(VLOOKUP(--SUBSTITUTE(SUBSTITUTE(TRIM($K1738),"-","")," ",""),마스터시트!$A$2:$H$1946,5,FALSE),""))</f>
        <v/>
      </c>
      <c r="Q1738" s="18" t="str">
        <f>IF($K1738="","",IFERROR(VLOOKUP(--SUBSTITUTE(SUBSTITUTE(TRIM($K1738),"-","")," ",""),마스터시트!$A$2:$H$1946,6,FALSE),""))</f>
        <v/>
      </c>
      <c r="R1738" s="18" t="str">
        <f>IF($K1738="","",IFERROR(VLOOKUP(--SUBSTITUTE(SUBSTITUTE(TRIM($K1738),"-","")," ",""),마스터시트!$A$2:$H$1946,7,FALSE),""))</f>
        <v/>
      </c>
    </row>
    <row r="1739" spans="13:18" x14ac:dyDescent="0.3">
      <c r="M1739" s="18" t="str">
        <f>IF($K1739="","",IFERROR(VLOOKUP(--SUBSTITUTE(SUBSTITUTE(TRIM($K1739),"-","")," ",""),마스터시트!$A$2:$H$1946,2,FALSE),"미등록"))</f>
        <v/>
      </c>
      <c r="N1739" s="53" t="str">
        <f>IF($K1739="","",IFERROR(VLOOKUP(--SUBSTITUTE(SUBSTITUTE(TRIM($K1739),"-","")," ",""),마스터시트!$A$2:$H$1946,3,FALSE),"미등록"))</f>
        <v/>
      </c>
      <c r="O1739" s="18" t="str">
        <f>IF($K1739="","",IFERROR(VLOOKUP(--SUBSTITUTE(SUBSTITUTE(TRIM($K1739),"-","")," ",""),마스터시트!$A$2:$H$1946,4,FALSE),""))</f>
        <v/>
      </c>
      <c r="P1739" s="18" t="str">
        <f>IF($K1739="","",IFERROR(VLOOKUP(--SUBSTITUTE(SUBSTITUTE(TRIM($K1739),"-","")," ",""),마스터시트!$A$2:$H$1946,5,FALSE),""))</f>
        <v/>
      </c>
      <c r="Q1739" s="18" t="str">
        <f>IF($K1739="","",IFERROR(VLOOKUP(--SUBSTITUTE(SUBSTITUTE(TRIM($K1739),"-","")," ",""),마스터시트!$A$2:$H$1946,6,FALSE),""))</f>
        <v/>
      </c>
      <c r="R1739" s="18" t="str">
        <f>IF($K1739="","",IFERROR(VLOOKUP(--SUBSTITUTE(SUBSTITUTE(TRIM($K1739),"-","")," ",""),마스터시트!$A$2:$H$1946,7,FALSE),""))</f>
        <v/>
      </c>
    </row>
    <row r="1740" spans="13:18" x14ac:dyDescent="0.3">
      <c r="M1740" s="18" t="str">
        <f>IF($K1740="","",IFERROR(VLOOKUP(--SUBSTITUTE(SUBSTITUTE(TRIM($K1740),"-","")," ",""),마스터시트!$A$2:$H$1946,2,FALSE),"미등록"))</f>
        <v/>
      </c>
      <c r="N1740" s="53" t="str">
        <f>IF($K1740="","",IFERROR(VLOOKUP(--SUBSTITUTE(SUBSTITUTE(TRIM($K1740),"-","")," ",""),마스터시트!$A$2:$H$1946,3,FALSE),"미등록"))</f>
        <v/>
      </c>
      <c r="O1740" s="18" t="str">
        <f>IF($K1740="","",IFERROR(VLOOKUP(--SUBSTITUTE(SUBSTITUTE(TRIM($K1740),"-","")," ",""),마스터시트!$A$2:$H$1946,4,FALSE),""))</f>
        <v/>
      </c>
      <c r="P1740" s="18" t="str">
        <f>IF($K1740="","",IFERROR(VLOOKUP(--SUBSTITUTE(SUBSTITUTE(TRIM($K1740),"-","")," ",""),마스터시트!$A$2:$H$1946,5,FALSE),""))</f>
        <v/>
      </c>
      <c r="Q1740" s="18" t="str">
        <f>IF($K1740="","",IFERROR(VLOOKUP(--SUBSTITUTE(SUBSTITUTE(TRIM($K1740),"-","")," ",""),마스터시트!$A$2:$H$1946,6,FALSE),""))</f>
        <v/>
      </c>
      <c r="R1740" s="18" t="str">
        <f>IF($K1740="","",IFERROR(VLOOKUP(--SUBSTITUTE(SUBSTITUTE(TRIM($K1740),"-","")," ",""),마스터시트!$A$2:$H$1946,7,FALSE),""))</f>
        <v/>
      </c>
    </row>
    <row r="1741" spans="13:18" x14ac:dyDescent="0.3">
      <c r="M1741" s="18" t="str">
        <f>IF($K1741="","",IFERROR(VLOOKUP(--SUBSTITUTE(SUBSTITUTE(TRIM($K1741),"-","")," ",""),마스터시트!$A$2:$H$1946,2,FALSE),"미등록"))</f>
        <v/>
      </c>
      <c r="N1741" s="53" t="str">
        <f>IF($K1741="","",IFERROR(VLOOKUP(--SUBSTITUTE(SUBSTITUTE(TRIM($K1741),"-","")," ",""),마스터시트!$A$2:$H$1946,3,FALSE),"미등록"))</f>
        <v/>
      </c>
      <c r="O1741" s="18" t="str">
        <f>IF($K1741="","",IFERROR(VLOOKUP(--SUBSTITUTE(SUBSTITUTE(TRIM($K1741),"-","")," ",""),마스터시트!$A$2:$H$1946,4,FALSE),""))</f>
        <v/>
      </c>
      <c r="P1741" s="18" t="str">
        <f>IF($K1741="","",IFERROR(VLOOKUP(--SUBSTITUTE(SUBSTITUTE(TRIM($K1741),"-","")," ",""),마스터시트!$A$2:$H$1946,5,FALSE),""))</f>
        <v/>
      </c>
      <c r="Q1741" s="18" t="str">
        <f>IF($K1741="","",IFERROR(VLOOKUP(--SUBSTITUTE(SUBSTITUTE(TRIM($K1741),"-","")," ",""),마스터시트!$A$2:$H$1946,6,FALSE),""))</f>
        <v/>
      </c>
      <c r="R1741" s="18" t="str">
        <f>IF($K1741="","",IFERROR(VLOOKUP(--SUBSTITUTE(SUBSTITUTE(TRIM($K1741),"-","")," ",""),마스터시트!$A$2:$H$1946,7,FALSE),""))</f>
        <v/>
      </c>
    </row>
    <row r="1742" spans="13:18" x14ac:dyDescent="0.3">
      <c r="M1742" s="18" t="str">
        <f>IF($K1742="","",IFERROR(VLOOKUP(--SUBSTITUTE(SUBSTITUTE(TRIM($K1742),"-","")," ",""),마스터시트!$A$2:$H$1946,2,FALSE),"미등록"))</f>
        <v/>
      </c>
      <c r="N1742" s="53" t="str">
        <f>IF($K1742="","",IFERROR(VLOOKUP(--SUBSTITUTE(SUBSTITUTE(TRIM($K1742),"-","")," ",""),마스터시트!$A$2:$H$1946,3,FALSE),"미등록"))</f>
        <v/>
      </c>
      <c r="O1742" s="18" t="str">
        <f>IF($K1742="","",IFERROR(VLOOKUP(--SUBSTITUTE(SUBSTITUTE(TRIM($K1742),"-","")," ",""),마스터시트!$A$2:$H$1946,4,FALSE),""))</f>
        <v/>
      </c>
      <c r="P1742" s="18" t="str">
        <f>IF($K1742="","",IFERROR(VLOOKUP(--SUBSTITUTE(SUBSTITUTE(TRIM($K1742),"-","")," ",""),마스터시트!$A$2:$H$1946,5,FALSE),""))</f>
        <v/>
      </c>
      <c r="Q1742" s="18" t="str">
        <f>IF($K1742="","",IFERROR(VLOOKUP(--SUBSTITUTE(SUBSTITUTE(TRIM($K1742),"-","")," ",""),마스터시트!$A$2:$H$1946,6,FALSE),""))</f>
        <v/>
      </c>
      <c r="R1742" s="18" t="str">
        <f>IF($K1742="","",IFERROR(VLOOKUP(--SUBSTITUTE(SUBSTITUTE(TRIM($K1742),"-","")," ",""),마스터시트!$A$2:$H$1946,7,FALSE),""))</f>
        <v/>
      </c>
    </row>
    <row r="1743" spans="13:18" x14ac:dyDescent="0.3">
      <c r="M1743" s="18" t="str">
        <f>IF($K1743="","",IFERROR(VLOOKUP(--SUBSTITUTE(SUBSTITUTE(TRIM($K1743),"-","")," ",""),마스터시트!$A$2:$H$1946,2,FALSE),"미등록"))</f>
        <v/>
      </c>
      <c r="N1743" s="53" t="str">
        <f>IF($K1743="","",IFERROR(VLOOKUP(--SUBSTITUTE(SUBSTITUTE(TRIM($K1743),"-","")," ",""),마스터시트!$A$2:$H$1946,3,FALSE),"미등록"))</f>
        <v/>
      </c>
      <c r="O1743" s="18" t="str">
        <f>IF($K1743="","",IFERROR(VLOOKUP(--SUBSTITUTE(SUBSTITUTE(TRIM($K1743),"-","")," ",""),마스터시트!$A$2:$H$1946,4,FALSE),""))</f>
        <v/>
      </c>
      <c r="P1743" s="18" t="str">
        <f>IF($K1743="","",IFERROR(VLOOKUP(--SUBSTITUTE(SUBSTITUTE(TRIM($K1743),"-","")," ",""),마스터시트!$A$2:$H$1946,5,FALSE),""))</f>
        <v/>
      </c>
      <c r="Q1743" s="18" t="str">
        <f>IF($K1743="","",IFERROR(VLOOKUP(--SUBSTITUTE(SUBSTITUTE(TRIM($K1743),"-","")," ",""),마스터시트!$A$2:$H$1946,6,FALSE),""))</f>
        <v/>
      </c>
      <c r="R1743" s="18" t="str">
        <f>IF($K1743="","",IFERROR(VLOOKUP(--SUBSTITUTE(SUBSTITUTE(TRIM($K1743),"-","")," ",""),마스터시트!$A$2:$H$1946,7,FALSE),""))</f>
        <v/>
      </c>
    </row>
    <row r="1744" spans="13:18" x14ac:dyDescent="0.3">
      <c r="M1744" s="18" t="str">
        <f>IF($K1744="","",IFERROR(VLOOKUP(--SUBSTITUTE(SUBSTITUTE(TRIM($K1744),"-","")," ",""),마스터시트!$A$2:$H$1946,2,FALSE),"미등록"))</f>
        <v/>
      </c>
      <c r="N1744" s="53" t="str">
        <f>IF($K1744="","",IFERROR(VLOOKUP(--SUBSTITUTE(SUBSTITUTE(TRIM($K1744),"-","")," ",""),마스터시트!$A$2:$H$1946,3,FALSE),"미등록"))</f>
        <v/>
      </c>
      <c r="O1744" s="18" t="str">
        <f>IF($K1744="","",IFERROR(VLOOKUP(--SUBSTITUTE(SUBSTITUTE(TRIM($K1744),"-","")," ",""),마스터시트!$A$2:$H$1946,4,FALSE),""))</f>
        <v/>
      </c>
      <c r="P1744" s="18" t="str">
        <f>IF($K1744="","",IFERROR(VLOOKUP(--SUBSTITUTE(SUBSTITUTE(TRIM($K1744),"-","")," ",""),마스터시트!$A$2:$H$1946,5,FALSE),""))</f>
        <v/>
      </c>
      <c r="Q1744" s="18" t="str">
        <f>IF($K1744="","",IFERROR(VLOOKUP(--SUBSTITUTE(SUBSTITUTE(TRIM($K1744),"-","")," ",""),마스터시트!$A$2:$H$1946,6,FALSE),""))</f>
        <v/>
      </c>
      <c r="R1744" s="18" t="str">
        <f>IF($K1744="","",IFERROR(VLOOKUP(--SUBSTITUTE(SUBSTITUTE(TRIM($K1744),"-","")," ",""),마스터시트!$A$2:$H$1946,7,FALSE),""))</f>
        <v/>
      </c>
    </row>
    <row r="1745" spans="13:18" x14ac:dyDescent="0.3">
      <c r="M1745" s="18" t="str">
        <f>IF($K1745="","",IFERROR(VLOOKUP(--SUBSTITUTE(SUBSTITUTE(TRIM($K1745),"-","")," ",""),마스터시트!$A$2:$H$1946,2,FALSE),"미등록"))</f>
        <v/>
      </c>
      <c r="N1745" s="53" t="str">
        <f>IF($K1745="","",IFERROR(VLOOKUP(--SUBSTITUTE(SUBSTITUTE(TRIM($K1745),"-","")," ",""),마스터시트!$A$2:$H$1946,3,FALSE),"미등록"))</f>
        <v/>
      </c>
      <c r="O1745" s="18" t="str">
        <f>IF($K1745="","",IFERROR(VLOOKUP(--SUBSTITUTE(SUBSTITUTE(TRIM($K1745),"-","")," ",""),마스터시트!$A$2:$H$1946,4,FALSE),""))</f>
        <v/>
      </c>
      <c r="P1745" s="18" t="str">
        <f>IF($K1745="","",IFERROR(VLOOKUP(--SUBSTITUTE(SUBSTITUTE(TRIM($K1745),"-","")," ",""),마스터시트!$A$2:$H$1946,5,FALSE),""))</f>
        <v/>
      </c>
      <c r="Q1745" s="18" t="str">
        <f>IF($K1745="","",IFERROR(VLOOKUP(--SUBSTITUTE(SUBSTITUTE(TRIM($K1745),"-","")," ",""),마스터시트!$A$2:$H$1946,6,FALSE),""))</f>
        <v/>
      </c>
      <c r="R1745" s="18" t="str">
        <f>IF($K1745="","",IFERROR(VLOOKUP(--SUBSTITUTE(SUBSTITUTE(TRIM($K1745),"-","")," ",""),마스터시트!$A$2:$H$1946,7,FALSE),""))</f>
        <v/>
      </c>
    </row>
    <row r="1746" spans="13:18" x14ac:dyDescent="0.3">
      <c r="M1746" s="18" t="str">
        <f>IF($K1746="","",IFERROR(VLOOKUP(--SUBSTITUTE(SUBSTITUTE(TRIM($K1746),"-","")," ",""),마스터시트!$A$2:$H$1946,2,FALSE),"미등록"))</f>
        <v/>
      </c>
      <c r="N1746" s="53" t="str">
        <f>IF($K1746="","",IFERROR(VLOOKUP(--SUBSTITUTE(SUBSTITUTE(TRIM($K1746),"-","")," ",""),마스터시트!$A$2:$H$1946,3,FALSE),"미등록"))</f>
        <v/>
      </c>
      <c r="O1746" s="18" t="str">
        <f>IF($K1746="","",IFERROR(VLOOKUP(--SUBSTITUTE(SUBSTITUTE(TRIM($K1746),"-","")," ",""),마스터시트!$A$2:$H$1946,4,FALSE),""))</f>
        <v/>
      </c>
      <c r="P1746" s="18" t="str">
        <f>IF($K1746="","",IFERROR(VLOOKUP(--SUBSTITUTE(SUBSTITUTE(TRIM($K1746),"-","")," ",""),마스터시트!$A$2:$H$1946,5,FALSE),""))</f>
        <v/>
      </c>
      <c r="Q1746" s="18" t="str">
        <f>IF($K1746="","",IFERROR(VLOOKUP(--SUBSTITUTE(SUBSTITUTE(TRIM($K1746),"-","")," ",""),마스터시트!$A$2:$H$1946,6,FALSE),""))</f>
        <v/>
      </c>
      <c r="R1746" s="18" t="str">
        <f>IF($K1746="","",IFERROR(VLOOKUP(--SUBSTITUTE(SUBSTITUTE(TRIM($K1746),"-","")," ",""),마스터시트!$A$2:$H$1946,7,FALSE),""))</f>
        <v/>
      </c>
    </row>
    <row r="1747" spans="13:18" x14ac:dyDescent="0.3">
      <c r="M1747" s="18" t="str">
        <f>IF($K1747="","",IFERROR(VLOOKUP(--SUBSTITUTE(SUBSTITUTE(TRIM($K1747),"-","")," ",""),마스터시트!$A$2:$H$1946,2,FALSE),"미등록"))</f>
        <v/>
      </c>
      <c r="N1747" s="53" t="str">
        <f>IF($K1747="","",IFERROR(VLOOKUP(--SUBSTITUTE(SUBSTITUTE(TRIM($K1747),"-","")," ",""),마스터시트!$A$2:$H$1946,3,FALSE),"미등록"))</f>
        <v/>
      </c>
      <c r="O1747" s="18" t="str">
        <f>IF($K1747="","",IFERROR(VLOOKUP(--SUBSTITUTE(SUBSTITUTE(TRIM($K1747),"-","")," ",""),마스터시트!$A$2:$H$1946,4,FALSE),""))</f>
        <v/>
      </c>
      <c r="P1747" s="18" t="str">
        <f>IF($K1747="","",IFERROR(VLOOKUP(--SUBSTITUTE(SUBSTITUTE(TRIM($K1747),"-","")," ",""),마스터시트!$A$2:$H$1946,5,FALSE),""))</f>
        <v/>
      </c>
      <c r="Q1747" s="18" t="str">
        <f>IF($K1747="","",IFERROR(VLOOKUP(--SUBSTITUTE(SUBSTITUTE(TRIM($K1747),"-","")," ",""),마스터시트!$A$2:$H$1946,6,FALSE),""))</f>
        <v/>
      </c>
      <c r="R1747" s="18" t="str">
        <f>IF($K1747="","",IFERROR(VLOOKUP(--SUBSTITUTE(SUBSTITUTE(TRIM($K1747),"-","")," ",""),마스터시트!$A$2:$H$1946,7,FALSE),""))</f>
        <v/>
      </c>
    </row>
    <row r="1748" spans="13:18" x14ac:dyDescent="0.3">
      <c r="M1748" s="18" t="str">
        <f>IF($K1748="","",IFERROR(VLOOKUP(--SUBSTITUTE(SUBSTITUTE(TRIM($K1748),"-","")," ",""),마스터시트!$A$2:$H$1946,2,FALSE),"미등록"))</f>
        <v/>
      </c>
      <c r="N1748" s="53" t="str">
        <f>IF($K1748="","",IFERROR(VLOOKUP(--SUBSTITUTE(SUBSTITUTE(TRIM($K1748),"-","")," ",""),마스터시트!$A$2:$H$1946,3,FALSE),"미등록"))</f>
        <v/>
      </c>
      <c r="O1748" s="18" t="str">
        <f>IF($K1748="","",IFERROR(VLOOKUP(--SUBSTITUTE(SUBSTITUTE(TRIM($K1748),"-","")," ",""),마스터시트!$A$2:$H$1946,4,FALSE),""))</f>
        <v/>
      </c>
      <c r="P1748" s="18" t="str">
        <f>IF($K1748="","",IFERROR(VLOOKUP(--SUBSTITUTE(SUBSTITUTE(TRIM($K1748),"-","")," ",""),마스터시트!$A$2:$H$1946,5,FALSE),""))</f>
        <v/>
      </c>
      <c r="Q1748" s="18" t="str">
        <f>IF($K1748="","",IFERROR(VLOOKUP(--SUBSTITUTE(SUBSTITUTE(TRIM($K1748),"-","")," ",""),마스터시트!$A$2:$H$1946,6,FALSE),""))</f>
        <v/>
      </c>
      <c r="R1748" s="18" t="str">
        <f>IF($K1748="","",IFERROR(VLOOKUP(--SUBSTITUTE(SUBSTITUTE(TRIM($K1748),"-","")," ",""),마스터시트!$A$2:$H$1946,7,FALSE),""))</f>
        <v/>
      </c>
    </row>
    <row r="1749" spans="13:18" x14ac:dyDescent="0.3">
      <c r="M1749" s="18" t="str">
        <f>IF($K1749="","",IFERROR(VLOOKUP(--SUBSTITUTE(SUBSTITUTE(TRIM($K1749),"-","")," ",""),마스터시트!$A$2:$H$1946,2,FALSE),"미등록"))</f>
        <v/>
      </c>
      <c r="N1749" s="53" t="str">
        <f>IF($K1749="","",IFERROR(VLOOKUP(--SUBSTITUTE(SUBSTITUTE(TRIM($K1749),"-","")," ",""),마스터시트!$A$2:$H$1946,3,FALSE),"미등록"))</f>
        <v/>
      </c>
      <c r="O1749" s="18" t="str">
        <f>IF($K1749="","",IFERROR(VLOOKUP(--SUBSTITUTE(SUBSTITUTE(TRIM($K1749),"-","")," ",""),마스터시트!$A$2:$H$1946,4,FALSE),""))</f>
        <v/>
      </c>
      <c r="P1749" s="18" t="str">
        <f>IF($K1749="","",IFERROR(VLOOKUP(--SUBSTITUTE(SUBSTITUTE(TRIM($K1749),"-","")," ",""),마스터시트!$A$2:$H$1946,5,FALSE),""))</f>
        <v/>
      </c>
      <c r="Q1749" s="18" t="str">
        <f>IF($K1749="","",IFERROR(VLOOKUP(--SUBSTITUTE(SUBSTITUTE(TRIM($K1749),"-","")," ",""),마스터시트!$A$2:$H$1946,6,FALSE),""))</f>
        <v/>
      </c>
      <c r="R1749" s="18" t="str">
        <f>IF($K1749="","",IFERROR(VLOOKUP(--SUBSTITUTE(SUBSTITUTE(TRIM($K1749),"-","")," ",""),마스터시트!$A$2:$H$1946,7,FALSE),""))</f>
        <v/>
      </c>
    </row>
    <row r="1750" spans="13:18" x14ac:dyDescent="0.3">
      <c r="M1750" s="18" t="str">
        <f>IF($K1750="","",IFERROR(VLOOKUP(--SUBSTITUTE(SUBSTITUTE(TRIM($K1750),"-","")," ",""),마스터시트!$A$2:$H$1946,2,FALSE),"미등록"))</f>
        <v/>
      </c>
      <c r="N1750" s="53" t="str">
        <f>IF($K1750="","",IFERROR(VLOOKUP(--SUBSTITUTE(SUBSTITUTE(TRIM($K1750),"-","")," ",""),마스터시트!$A$2:$H$1946,3,FALSE),"미등록"))</f>
        <v/>
      </c>
      <c r="O1750" s="18" t="str">
        <f>IF($K1750="","",IFERROR(VLOOKUP(--SUBSTITUTE(SUBSTITUTE(TRIM($K1750),"-","")," ",""),마스터시트!$A$2:$H$1946,4,FALSE),""))</f>
        <v/>
      </c>
      <c r="P1750" s="18" t="str">
        <f>IF($K1750="","",IFERROR(VLOOKUP(--SUBSTITUTE(SUBSTITUTE(TRIM($K1750),"-","")," ",""),마스터시트!$A$2:$H$1946,5,FALSE),""))</f>
        <v/>
      </c>
      <c r="Q1750" s="18" t="str">
        <f>IF($K1750="","",IFERROR(VLOOKUP(--SUBSTITUTE(SUBSTITUTE(TRIM($K1750),"-","")," ",""),마스터시트!$A$2:$H$1946,6,FALSE),""))</f>
        <v/>
      </c>
      <c r="R1750" s="18" t="str">
        <f>IF($K1750="","",IFERROR(VLOOKUP(--SUBSTITUTE(SUBSTITUTE(TRIM($K1750),"-","")," ",""),마스터시트!$A$2:$H$1946,7,FALSE),""))</f>
        <v/>
      </c>
    </row>
    <row r="1751" spans="13:18" x14ac:dyDescent="0.3">
      <c r="M1751" s="18" t="str">
        <f>IF($K1751="","",IFERROR(VLOOKUP(--SUBSTITUTE(SUBSTITUTE(TRIM($K1751),"-","")," ",""),마스터시트!$A$2:$H$1946,2,FALSE),"미등록"))</f>
        <v/>
      </c>
      <c r="N1751" s="53" t="str">
        <f>IF($K1751="","",IFERROR(VLOOKUP(--SUBSTITUTE(SUBSTITUTE(TRIM($K1751),"-","")," ",""),마스터시트!$A$2:$H$1946,3,FALSE),"미등록"))</f>
        <v/>
      </c>
      <c r="O1751" s="18" t="str">
        <f>IF($K1751="","",IFERROR(VLOOKUP(--SUBSTITUTE(SUBSTITUTE(TRIM($K1751),"-","")," ",""),마스터시트!$A$2:$H$1946,4,FALSE),""))</f>
        <v/>
      </c>
      <c r="P1751" s="18" t="str">
        <f>IF($K1751="","",IFERROR(VLOOKUP(--SUBSTITUTE(SUBSTITUTE(TRIM($K1751),"-","")," ",""),마스터시트!$A$2:$H$1946,5,FALSE),""))</f>
        <v/>
      </c>
      <c r="Q1751" s="18" t="str">
        <f>IF($K1751="","",IFERROR(VLOOKUP(--SUBSTITUTE(SUBSTITUTE(TRIM($K1751),"-","")," ",""),마스터시트!$A$2:$H$1946,6,FALSE),""))</f>
        <v/>
      </c>
      <c r="R1751" s="18" t="str">
        <f>IF($K1751="","",IFERROR(VLOOKUP(--SUBSTITUTE(SUBSTITUTE(TRIM($K1751),"-","")," ",""),마스터시트!$A$2:$H$1946,7,FALSE),""))</f>
        <v/>
      </c>
    </row>
    <row r="1752" spans="13:18" x14ac:dyDescent="0.3">
      <c r="M1752" s="18" t="str">
        <f>IF($K1752="","",IFERROR(VLOOKUP(--SUBSTITUTE(SUBSTITUTE(TRIM($K1752),"-","")," ",""),마스터시트!$A$2:$H$1946,2,FALSE),"미등록"))</f>
        <v/>
      </c>
      <c r="N1752" s="53" t="str">
        <f>IF($K1752="","",IFERROR(VLOOKUP(--SUBSTITUTE(SUBSTITUTE(TRIM($K1752),"-","")," ",""),마스터시트!$A$2:$H$1946,3,FALSE),"미등록"))</f>
        <v/>
      </c>
      <c r="O1752" s="18" t="str">
        <f>IF($K1752="","",IFERROR(VLOOKUP(--SUBSTITUTE(SUBSTITUTE(TRIM($K1752),"-","")," ",""),마스터시트!$A$2:$H$1946,4,FALSE),""))</f>
        <v/>
      </c>
      <c r="P1752" s="18" t="str">
        <f>IF($K1752="","",IFERROR(VLOOKUP(--SUBSTITUTE(SUBSTITUTE(TRIM($K1752),"-","")," ",""),마스터시트!$A$2:$H$1946,5,FALSE),""))</f>
        <v/>
      </c>
      <c r="Q1752" s="18" t="str">
        <f>IF($K1752="","",IFERROR(VLOOKUP(--SUBSTITUTE(SUBSTITUTE(TRIM($K1752),"-","")," ",""),마스터시트!$A$2:$H$1946,6,FALSE),""))</f>
        <v/>
      </c>
      <c r="R1752" s="18" t="str">
        <f>IF($K1752="","",IFERROR(VLOOKUP(--SUBSTITUTE(SUBSTITUTE(TRIM($K1752),"-","")," ",""),마스터시트!$A$2:$H$1946,7,FALSE),""))</f>
        <v/>
      </c>
    </row>
    <row r="1753" spans="13:18" x14ac:dyDescent="0.3">
      <c r="M1753" s="18" t="str">
        <f>IF($K1753="","",IFERROR(VLOOKUP(--SUBSTITUTE(SUBSTITUTE(TRIM($K1753),"-","")," ",""),마스터시트!$A$2:$H$1946,2,FALSE),"미등록"))</f>
        <v/>
      </c>
      <c r="N1753" s="53" t="str">
        <f>IF($K1753="","",IFERROR(VLOOKUP(--SUBSTITUTE(SUBSTITUTE(TRIM($K1753),"-","")," ",""),마스터시트!$A$2:$H$1946,3,FALSE),"미등록"))</f>
        <v/>
      </c>
      <c r="O1753" s="18" t="str">
        <f>IF($K1753="","",IFERROR(VLOOKUP(--SUBSTITUTE(SUBSTITUTE(TRIM($K1753),"-","")," ",""),마스터시트!$A$2:$H$1946,4,FALSE),""))</f>
        <v/>
      </c>
      <c r="P1753" s="18" t="str">
        <f>IF($K1753="","",IFERROR(VLOOKUP(--SUBSTITUTE(SUBSTITUTE(TRIM($K1753),"-","")," ",""),마스터시트!$A$2:$H$1946,5,FALSE),""))</f>
        <v/>
      </c>
      <c r="Q1753" s="18" t="str">
        <f>IF($K1753="","",IFERROR(VLOOKUP(--SUBSTITUTE(SUBSTITUTE(TRIM($K1753),"-","")," ",""),마스터시트!$A$2:$H$1946,6,FALSE),""))</f>
        <v/>
      </c>
      <c r="R1753" s="18" t="str">
        <f>IF($K1753="","",IFERROR(VLOOKUP(--SUBSTITUTE(SUBSTITUTE(TRIM($K1753),"-","")," ",""),마스터시트!$A$2:$H$1946,7,FALSE),""))</f>
        <v/>
      </c>
    </row>
    <row r="1754" spans="13:18" x14ac:dyDescent="0.3">
      <c r="M1754" s="18" t="str">
        <f>IF($K1754="","",IFERROR(VLOOKUP(--SUBSTITUTE(SUBSTITUTE(TRIM($K1754),"-","")," ",""),마스터시트!$A$2:$H$1946,2,FALSE),"미등록"))</f>
        <v/>
      </c>
      <c r="N1754" s="53" t="str">
        <f>IF($K1754="","",IFERROR(VLOOKUP(--SUBSTITUTE(SUBSTITUTE(TRIM($K1754),"-","")," ",""),마스터시트!$A$2:$H$1946,3,FALSE),"미등록"))</f>
        <v/>
      </c>
      <c r="O1754" s="18" t="str">
        <f>IF($K1754="","",IFERROR(VLOOKUP(--SUBSTITUTE(SUBSTITUTE(TRIM($K1754),"-","")," ",""),마스터시트!$A$2:$H$1946,4,FALSE),""))</f>
        <v/>
      </c>
      <c r="P1754" s="18" t="str">
        <f>IF($K1754="","",IFERROR(VLOOKUP(--SUBSTITUTE(SUBSTITUTE(TRIM($K1754),"-","")," ",""),마스터시트!$A$2:$H$1946,5,FALSE),""))</f>
        <v/>
      </c>
      <c r="Q1754" s="18" t="str">
        <f>IF($K1754="","",IFERROR(VLOOKUP(--SUBSTITUTE(SUBSTITUTE(TRIM($K1754),"-","")," ",""),마스터시트!$A$2:$H$1946,6,FALSE),""))</f>
        <v/>
      </c>
      <c r="R1754" s="18" t="str">
        <f>IF($K1754="","",IFERROR(VLOOKUP(--SUBSTITUTE(SUBSTITUTE(TRIM($K1754),"-","")," ",""),마스터시트!$A$2:$H$1946,7,FALSE),""))</f>
        <v/>
      </c>
    </row>
    <row r="1755" spans="13:18" x14ac:dyDescent="0.3">
      <c r="M1755" s="18" t="str">
        <f>IF($K1755="","",IFERROR(VLOOKUP(--SUBSTITUTE(SUBSTITUTE(TRIM($K1755),"-","")," ",""),마스터시트!$A$2:$H$1946,2,FALSE),"미등록"))</f>
        <v/>
      </c>
      <c r="N1755" s="53" t="str">
        <f>IF($K1755="","",IFERROR(VLOOKUP(--SUBSTITUTE(SUBSTITUTE(TRIM($K1755),"-","")," ",""),마스터시트!$A$2:$H$1946,3,FALSE),"미등록"))</f>
        <v/>
      </c>
      <c r="O1755" s="18" t="str">
        <f>IF($K1755="","",IFERROR(VLOOKUP(--SUBSTITUTE(SUBSTITUTE(TRIM($K1755),"-","")," ",""),마스터시트!$A$2:$H$1946,4,FALSE),""))</f>
        <v/>
      </c>
      <c r="P1755" s="18" t="str">
        <f>IF($K1755="","",IFERROR(VLOOKUP(--SUBSTITUTE(SUBSTITUTE(TRIM($K1755),"-","")," ",""),마스터시트!$A$2:$H$1946,5,FALSE),""))</f>
        <v/>
      </c>
      <c r="Q1755" s="18" t="str">
        <f>IF($K1755="","",IFERROR(VLOOKUP(--SUBSTITUTE(SUBSTITUTE(TRIM($K1755),"-","")," ",""),마스터시트!$A$2:$H$1946,6,FALSE),""))</f>
        <v/>
      </c>
      <c r="R1755" s="18" t="str">
        <f>IF($K1755="","",IFERROR(VLOOKUP(--SUBSTITUTE(SUBSTITUTE(TRIM($K1755),"-","")," ",""),마스터시트!$A$2:$H$1946,7,FALSE),""))</f>
        <v/>
      </c>
    </row>
    <row r="1756" spans="13:18" x14ac:dyDescent="0.3">
      <c r="M1756" s="18" t="str">
        <f>IF($K1756="","",IFERROR(VLOOKUP(--SUBSTITUTE(SUBSTITUTE(TRIM($K1756),"-","")," ",""),마스터시트!$A$2:$H$1946,2,FALSE),"미등록"))</f>
        <v/>
      </c>
      <c r="N1756" s="53" t="str">
        <f>IF($K1756="","",IFERROR(VLOOKUP(--SUBSTITUTE(SUBSTITUTE(TRIM($K1756),"-","")," ",""),마스터시트!$A$2:$H$1946,3,FALSE),"미등록"))</f>
        <v/>
      </c>
      <c r="O1756" s="18" t="str">
        <f>IF($K1756="","",IFERROR(VLOOKUP(--SUBSTITUTE(SUBSTITUTE(TRIM($K1756),"-","")," ",""),마스터시트!$A$2:$H$1946,4,FALSE),""))</f>
        <v/>
      </c>
      <c r="P1756" s="18" t="str">
        <f>IF($K1756="","",IFERROR(VLOOKUP(--SUBSTITUTE(SUBSTITUTE(TRIM($K1756),"-","")," ",""),마스터시트!$A$2:$H$1946,5,FALSE),""))</f>
        <v/>
      </c>
      <c r="Q1756" s="18" t="str">
        <f>IF($K1756="","",IFERROR(VLOOKUP(--SUBSTITUTE(SUBSTITUTE(TRIM($K1756),"-","")," ",""),마스터시트!$A$2:$H$1946,6,FALSE),""))</f>
        <v/>
      </c>
      <c r="R1756" s="18" t="str">
        <f>IF($K1756="","",IFERROR(VLOOKUP(--SUBSTITUTE(SUBSTITUTE(TRIM($K1756),"-","")," ",""),마스터시트!$A$2:$H$1946,7,FALSE),""))</f>
        <v/>
      </c>
    </row>
    <row r="1757" spans="13:18" x14ac:dyDescent="0.3">
      <c r="M1757" s="18" t="str">
        <f>IF($K1757="","",IFERROR(VLOOKUP(--SUBSTITUTE(SUBSTITUTE(TRIM($K1757),"-","")," ",""),마스터시트!$A$2:$H$1946,2,FALSE),"미등록"))</f>
        <v/>
      </c>
      <c r="N1757" s="53" t="str">
        <f>IF($K1757="","",IFERROR(VLOOKUP(--SUBSTITUTE(SUBSTITUTE(TRIM($K1757),"-","")," ",""),마스터시트!$A$2:$H$1946,3,FALSE),"미등록"))</f>
        <v/>
      </c>
      <c r="O1757" s="18" t="str">
        <f>IF($K1757="","",IFERROR(VLOOKUP(--SUBSTITUTE(SUBSTITUTE(TRIM($K1757),"-","")," ",""),마스터시트!$A$2:$H$1946,4,FALSE),""))</f>
        <v/>
      </c>
      <c r="P1757" s="18" t="str">
        <f>IF($K1757="","",IFERROR(VLOOKUP(--SUBSTITUTE(SUBSTITUTE(TRIM($K1757),"-","")," ",""),마스터시트!$A$2:$H$1946,5,FALSE),""))</f>
        <v/>
      </c>
      <c r="Q1757" s="18" t="str">
        <f>IF($K1757="","",IFERROR(VLOOKUP(--SUBSTITUTE(SUBSTITUTE(TRIM($K1757),"-","")," ",""),마스터시트!$A$2:$H$1946,6,FALSE),""))</f>
        <v/>
      </c>
      <c r="R1757" s="18" t="str">
        <f>IF($K1757="","",IFERROR(VLOOKUP(--SUBSTITUTE(SUBSTITUTE(TRIM($K1757),"-","")," ",""),마스터시트!$A$2:$H$1946,7,FALSE),""))</f>
        <v/>
      </c>
    </row>
    <row r="1758" spans="13:18" x14ac:dyDescent="0.3">
      <c r="M1758" s="18" t="str">
        <f>IF($K1758="","",IFERROR(VLOOKUP(--SUBSTITUTE(SUBSTITUTE(TRIM($K1758),"-","")," ",""),마스터시트!$A$2:$H$1946,2,FALSE),"미등록"))</f>
        <v/>
      </c>
      <c r="N1758" s="53" t="str">
        <f>IF($K1758="","",IFERROR(VLOOKUP(--SUBSTITUTE(SUBSTITUTE(TRIM($K1758),"-","")," ",""),마스터시트!$A$2:$H$1946,3,FALSE),"미등록"))</f>
        <v/>
      </c>
      <c r="O1758" s="18" t="str">
        <f>IF($K1758="","",IFERROR(VLOOKUP(--SUBSTITUTE(SUBSTITUTE(TRIM($K1758),"-","")," ",""),마스터시트!$A$2:$H$1946,4,FALSE),""))</f>
        <v/>
      </c>
      <c r="P1758" s="18" t="str">
        <f>IF($K1758="","",IFERROR(VLOOKUP(--SUBSTITUTE(SUBSTITUTE(TRIM($K1758),"-","")," ",""),마스터시트!$A$2:$H$1946,5,FALSE),""))</f>
        <v/>
      </c>
      <c r="Q1758" s="18" t="str">
        <f>IF($K1758="","",IFERROR(VLOOKUP(--SUBSTITUTE(SUBSTITUTE(TRIM($K1758),"-","")," ",""),마스터시트!$A$2:$H$1946,6,FALSE),""))</f>
        <v/>
      </c>
      <c r="R1758" s="18" t="str">
        <f>IF($K1758="","",IFERROR(VLOOKUP(--SUBSTITUTE(SUBSTITUTE(TRIM($K1758),"-","")," ",""),마스터시트!$A$2:$H$1946,7,FALSE),""))</f>
        <v/>
      </c>
    </row>
    <row r="1759" spans="13:18" x14ac:dyDescent="0.3">
      <c r="M1759" s="18" t="str">
        <f>IF($K1759="","",IFERROR(VLOOKUP(--SUBSTITUTE(SUBSTITUTE(TRIM($K1759),"-","")," ",""),마스터시트!$A$2:$H$1946,2,FALSE),"미등록"))</f>
        <v/>
      </c>
      <c r="N1759" s="53" t="str">
        <f>IF($K1759="","",IFERROR(VLOOKUP(--SUBSTITUTE(SUBSTITUTE(TRIM($K1759),"-","")," ",""),마스터시트!$A$2:$H$1946,3,FALSE),"미등록"))</f>
        <v/>
      </c>
      <c r="O1759" s="18" t="str">
        <f>IF($K1759="","",IFERROR(VLOOKUP(--SUBSTITUTE(SUBSTITUTE(TRIM($K1759),"-","")," ",""),마스터시트!$A$2:$H$1946,4,FALSE),""))</f>
        <v/>
      </c>
      <c r="P1759" s="18" t="str">
        <f>IF($K1759="","",IFERROR(VLOOKUP(--SUBSTITUTE(SUBSTITUTE(TRIM($K1759),"-","")," ",""),마스터시트!$A$2:$H$1946,5,FALSE),""))</f>
        <v/>
      </c>
      <c r="Q1759" s="18" t="str">
        <f>IF($K1759="","",IFERROR(VLOOKUP(--SUBSTITUTE(SUBSTITUTE(TRIM($K1759),"-","")," ",""),마스터시트!$A$2:$H$1946,6,FALSE),""))</f>
        <v/>
      </c>
      <c r="R1759" s="18" t="str">
        <f>IF($K1759="","",IFERROR(VLOOKUP(--SUBSTITUTE(SUBSTITUTE(TRIM($K1759),"-","")," ",""),마스터시트!$A$2:$H$1946,7,FALSE),""))</f>
        <v/>
      </c>
    </row>
    <row r="1760" spans="13:18" x14ac:dyDescent="0.3">
      <c r="M1760" s="18" t="str">
        <f>IF($K1760="","",IFERROR(VLOOKUP(--SUBSTITUTE(SUBSTITUTE(TRIM($K1760),"-","")," ",""),마스터시트!$A$2:$H$1946,2,FALSE),"미등록"))</f>
        <v/>
      </c>
      <c r="N1760" s="53" t="str">
        <f>IF($K1760="","",IFERROR(VLOOKUP(--SUBSTITUTE(SUBSTITUTE(TRIM($K1760),"-","")," ",""),마스터시트!$A$2:$H$1946,3,FALSE),"미등록"))</f>
        <v/>
      </c>
      <c r="O1760" s="18" t="str">
        <f>IF($K1760="","",IFERROR(VLOOKUP(--SUBSTITUTE(SUBSTITUTE(TRIM($K1760),"-","")," ",""),마스터시트!$A$2:$H$1946,4,FALSE),""))</f>
        <v/>
      </c>
      <c r="P1760" s="18" t="str">
        <f>IF($K1760="","",IFERROR(VLOOKUP(--SUBSTITUTE(SUBSTITUTE(TRIM($K1760),"-","")," ",""),마스터시트!$A$2:$H$1946,5,FALSE),""))</f>
        <v/>
      </c>
      <c r="Q1760" s="18" t="str">
        <f>IF($K1760="","",IFERROR(VLOOKUP(--SUBSTITUTE(SUBSTITUTE(TRIM($K1760),"-","")," ",""),마스터시트!$A$2:$H$1946,6,FALSE),""))</f>
        <v/>
      </c>
      <c r="R1760" s="18" t="str">
        <f>IF($K1760="","",IFERROR(VLOOKUP(--SUBSTITUTE(SUBSTITUTE(TRIM($K1760),"-","")," ",""),마스터시트!$A$2:$H$1946,7,FALSE),""))</f>
        <v/>
      </c>
    </row>
    <row r="1761" spans="13:18" x14ac:dyDescent="0.3">
      <c r="M1761" s="18" t="str">
        <f>IF($K1761="","",IFERROR(VLOOKUP(--SUBSTITUTE(SUBSTITUTE(TRIM($K1761),"-","")," ",""),마스터시트!$A$2:$H$1946,2,FALSE),"미등록"))</f>
        <v/>
      </c>
      <c r="N1761" s="53" t="str">
        <f>IF($K1761="","",IFERROR(VLOOKUP(--SUBSTITUTE(SUBSTITUTE(TRIM($K1761),"-","")," ",""),마스터시트!$A$2:$H$1946,3,FALSE),"미등록"))</f>
        <v/>
      </c>
      <c r="O1761" s="18" t="str">
        <f>IF($K1761="","",IFERROR(VLOOKUP(--SUBSTITUTE(SUBSTITUTE(TRIM($K1761),"-","")," ",""),마스터시트!$A$2:$H$1946,4,FALSE),""))</f>
        <v/>
      </c>
      <c r="P1761" s="18" t="str">
        <f>IF($K1761="","",IFERROR(VLOOKUP(--SUBSTITUTE(SUBSTITUTE(TRIM($K1761),"-","")," ",""),마스터시트!$A$2:$H$1946,5,FALSE),""))</f>
        <v/>
      </c>
      <c r="Q1761" s="18" t="str">
        <f>IF($K1761="","",IFERROR(VLOOKUP(--SUBSTITUTE(SUBSTITUTE(TRIM($K1761),"-","")," ",""),마스터시트!$A$2:$H$1946,6,FALSE),""))</f>
        <v/>
      </c>
      <c r="R1761" s="18" t="str">
        <f>IF($K1761="","",IFERROR(VLOOKUP(--SUBSTITUTE(SUBSTITUTE(TRIM($K1761),"-","")," ",""),마스터시트!$A$2:$H$1946,7,FALSE),""))</f>
        <v/>
      </c>
    </row>
    <row r="1762" spans="13:18" x14ac:dyDescent="0.3">
      <c r="M1762" s="18" t="str">
        <f>IF($K1762="","",IFERROR(VLOOKUP(--SUBSTITUTE(SUBSTITUTE(TRIM($K1762),"-","")," ",""),마스터시트!$A$2:$H$1946,2,FALSE),"미등록"))</f>
        <v/>
      </c>
      <c r="N1762" s="53" t="str">
        <f>IF($K1762="","",IFERROR(VLOOKUP(--SUBSTITUTE(SUBSTITUTE(TRIM($K1762),"-","")," ",""),마스터시트!$A$2:$H$1946,3,FALSE),"미등록"))</f>
        <v/>
      </c>
      <c r="O1762" s="18" t="str">
        <f>IF($K1762="","",IFERROR(VLOOKUP(--SUBSTITUTE(SUBSTITUTE(TRIM($K1762),"-","")," ",""),마스터시트!$A$2:$H$1946,4,FALSE),""))</f>
        <v/>
      </c>
      <c r="P1762" s="18" t="str">
        <f>IF($K1762="","",IFERROR(VLOOKUP(--SUBSTITUTE(SUBSTITUTE(TRIM($K1762),"-","")," ",""),마스터시트!$A$2:$H$1946,5,FALSE),""))</f>
        <v/>
      </c>
      <c r="Q1762" s="18" t="str">
        <f>IF($K1762="","",IFERROR(VLOOKUP(--SUBSTITUTE(SUBSTITUTE(TRIM($K1762),"-","")," ",""),마스터시트!$A$2:$H$1946,6,FALSE),""))</f>
        <v/>
      </c>
      <c r="R1762" s="18" t="str">
        <f>IF($K1762="","",IFERROR(VLOOKUP(--SUBSTITUTE(SUBSTITUTE(TRIM($K1762),"-","")," ",""),마스터시트!$A$2:$H$1946,7,FALSE),""))</f>
        <v/>
      </c>
    </row>
    <row r="1763" spans="13:18" x14ac:dyDescent="0.3">
      <c r="M1763" s="18" t="str">
        <f>IF($K1763="","",IFERROR(VLOOKUP(--SUBSTITUTE(SUBSTITUTE(TRIM($K1763),"-","")," ",""),마스터시트!$A$2:$H$1946,2,FALSE),"미등록"))</f>
        <v/>
      </c>
      <c r="N1763" s="53" t="str">
        <f>IF($K1763="","",IFERROR(VLOOKUP(--SUBSTITUTE(SUBSTITUTE(TRIM($K1763),"-","")," ",""),마스터시트!$A$2:$H$1946,3,FALSE),"미등록"))</f>
        <v/>
      </c>
      <c r="O1763" s="18" t="str">
        <f>IF($K1763="","",IFERROR(VLOOKUP(--SUBSTITUTE(SUBSTITUTE(TRIM($K1763),"-","")," ",""),마스터시트!$A$2:$H$1946,4,FALSE),""))</f>
        <v/>
      </c>
      <c r="P1763" s="18" t="str">
        <f>IF($K1763="","",IFERROR(VLOOKUP(--SUBSTITUTE(SUBSTITUTE(TRIM($K1763),"-","")," ",""),마스터시트!$A$2:$H$1946,5,FALSE),""))</f>
        <v/>
      </c>
      <c r="Q1763" s="18" t="str">
        <f>IF($K1763="","",IFERROR(VLOOKUP(--SUBSTITUTE(SUBSTITUTE(TRIM($K1763),"-","")," ",""),마스터시트!$A$2:$H$1946,6,FALSE),""))</f>
        <v/>
      </c>
      <c r="R1763" s="18" t="str">
        <f>IF($K1763="","",IFERROR(VLOOKUP(--SUBSTITUTE(SUBSTITUTE(TRIM($K1763),"-","")," ",""),마스터시트!$A$2:$H$1946,7,FALSE),""))</f>
        <v/>
      </c>
    </row>
    <row r="1764" spans="13:18" x14ac:dyDescent="0.3">
      <c r="M1764" s="18" t="str">
        <f>IF($K1764="","",IFERROR(VLOOKUP(--SUBSTITUTE(SUBSTITUTE(TRIM($K1764),"-","")," ",""),마스터시트!$A$2:$H$1946,2,FALSE),"미등록"))</f>
        <v/>
      </c>
      <c r="N1764" s="53" t="str">
        <f>IF($K1764="","",IFERROR(VLOOKUP(--SUBSTITUTE(SUBSTITUTE(TRIM($K1764),"-","")," ",""),마스터시트!$A$2:$H$1946,3,FALSE),"미등록"))</f>
        <v/>
      </c>
      <c r="O1764" s="18" t="str">
        <f>IF($K1764="","",IFERROR(VLOOKUP(--SUBSTITUTE(SUBSTITUTE(TRIM($K1764),"-","")," ",""),마스터시트!$A$2:$H$1946,4,FALSE),""))</f>
        <v/>
      </c>
      <c r="P1764" s="18" t="str">
        <f>IF($K1764="","",IFERROR(VLOOKUP(--SUBSTITUTE(SUBSTITUTE(TRIM($K1764),"-","")," ",""),마스터시트!$A$2:$H$1946,5,FALSE),""))</f>
        <v/>
      </c>
      <c r="Q1764" s="18" t="str">
        <f>IF($K1764="","",IFERROR(VLOOKUP(--SUBSTITUTE(SUBSTITUTE(TRIM($K1764),"-","")," ",""),마스터시트!$A$2:$H$1946,6,FALSE),""))</f>
        <v/>
      </c>
      <c r="R1764" s="18" t="str">
        <f>IF($K1764="","",IFERROR(VLOOKUP(--SUBSTITUTE(SUBSTITUTE(TRIM($K1764),"-","")," ",""),마스터시트!$A$2:$H$1946,7,FALSE),""))</f>
        <v/>
      </c>
    </row>
    <row r="1765" spans="13:18" x14ac:dyDescent="0.3">
      <c r="M1765" s="18" t="str">
        <f>IF($K1765="","",IFERROR(VLOOKUP(--SUBSTITUTE(SUBSTITUTE(TRIM($K1765),"-","")," ",""),마스터시트!$A$2:$H$1946,2,FALSE),"미등록"))</f>
        <v/>
      </c>
      <c r="N1765" s="53" t="str">
        <f>IF($K1765="","",IFERROR(VLOOKUP(--SUBSTITUTE(SUBSTITUTE(TRIM($K1765),"-","")," ",""),마스터시트!$A$2:$H$1946,3,FALSE),"미등록"))</f>
        <v/>
      </c>
      <c r="O1765" s="18" t="str">
        <f>IF($K1765="","",IFERROR(VLOOKUP(--SUBSTITUTE(SUBSTITUTE(TRIM($K1765),"-","")," ",""),마스터시트!$A$2:$H$1946,4,FALSE),""))</f>
        <v/>
      </c>
      <c r="P1765" s="18" t="str">
        <f>IF($K1765="","",IFERROR(VLOOKUP(--SUBSTITUTE(SUBSTITUTE(TRIM($K1765),"-","")," ",""),마스터시트!$A$2:$H$1946,5,FALSE),""))</f>
        <v/>
      </c>
      <c r="Q1765" s="18" t="str">
        <f>IF($K1765="","",IFERROR(VLOOKUP(--SUBSTITUTE(SUBSTITUTE(TRIM($K1765),"-","")," ",""),마스터시트!$A$2:$H$1946,6,FALSE),""))</f>
        <v/>
      </c>
      <c r="R1765" s="18" t="str">
        <f>IF($K1765="","",IFERROR(VLOOKUP(--SUBSTITUTE(SUBSTITUTE(TRIM($K1765),"-","")," ",""),마스터시트!$A$2:$H$1946,7,FALSE),""))</f>
        <v/>
      </c>
    </row>
    <row r="1766" spans="13:18" x14ac:dyDescent="0.3">
      <c r="M1766" s="18" t="str">
        <f>IF($K1766="","",IFERROR(VLOOKUP(--SUBSTITUTE(SUBSTITUTE(TRIM($K1766),"-","")," ",""),마스터시트!$A$2:$H$1946,2,FALSE),"미등록"))</f>
        <v/>
      </c>
      <c r="N1766" s="53" t="str">
        <f>IF($K1766="","",IFERROR(VLOOKUP(--SUBSTITUTE(SUBSTITUTE(TRIM($K1766),"-","")," ",""),마스터시트!$A$2:$H$1946,3,FALSE),"미등록"))</f>
        <v/>
      </c>
      <c r="O1766" s="18" t="str">
        <f>IF($K1766="","",IFERROR(VLOOKUP(--SUBSTITUTE(SUBSTITUTE(TRIM($K1766),"-","")," ",""),마스터시트!$A$2:$H$1946,4,FALSE),""))</f>
        <v/>
      </c>
      <c r="P1766" s="18" t="str">
        <f>IF($K1766="","",IFERROR(VLOOKUP(--SUBSTITUTE(SUBSTITUTE(TRIM($K1766),"-","")," ",""),마스터시트!$A$2:$H$1946,5,FALSE),""))</f>
        <v/>
      </c>
      <c r="Q1766" s="18" t="str">
        <f>IF($K1766="","",IFERROR(VLOOKUP(--SUBSTITUTE(SUBSTITUTE(TRIM($K1766),"-","")," ",""),마스터시트!$A$2:$H$1946,6,FALSE),""))</f>
        <v/>
      </c>
      <c r="R1766" s="18" t="str">
        <f>IF($K1766="","",IFERROR(VLOOKUP(--SUBSTITUTE(SUBSTITUTE(TRIM($K1766),"-","")," ",""),마스터시트!$A$2:$H$1946,7,FALSE),""))</f>
        <v/>
      </c>
    </row>
    <row r="1767" spans="13:18" x14ac:dyDescent="0.3">
      <c r="M1767" s="18" t="str">
        <f>IF($K1767="","",IFERROR(VLOOKUP(--SUBSTITUTE(SUBSTITUTE(TRIM($K1767),"-","")," ",""),마스터시트!$A$2:$H$1946,2,FALSE),"미등록"))</f>
        <v/>
      </c>
      <c r="N1767" s="53" t="str">
        <f>IF($K1767="","",IFERROR(VLOOKUP(--SUBSTITUTE(SUBSTITUTE(TRIM($K1767),"-","")," ",""),마스터시트!$A$2:$H$1946,3,FALSE),"미등록"))</f>
        <v/>
      </c>
      <c r="O1767" s="18" t="str">
        <f>IF($K1767="","",IFERROR(VLOOKUP(--SUBSTITUTE(SUBSTITUTE(TRIM($K1767),"-","")," ",""),마스터시트!$A$2:$H$1946,4,FALSE),""))</f>
        <v/>
      </c>
      <c r="P1767" s="18" t="str">
        <f>IF($K1767="","",IFERROR(VLOOKUP(--SUBSTITUTE(SUBSTITUTE(TRIM($K1767),"-","")," ",""),마스터시트!$A$2:$H$1946,5,FALSE),""))</f>
        <v/>
      </c>
      <c r="Q1767" s="18" t="str">
        <f>IF($K1767="","",IFERROR(VLOOKUP(--SUBSTITUTE(SUBSTITUTE(TRIM($K1767),"-","")," ",""),마스터시트!$A$2:$H$1946,6,FALSE),""))</f>
        <v/>
      </c>
      <c r="R1767" s="18" t="str">
        <f>IF($K1767="","",IFERROR(VLOOKUP(--SUBSTITUTE(SUBSTITUTE(TRIM($K1767),"-","")," ",""),마스터시트!$A$2:$H$1946,7,FALSE),""))</f>
        <v/>
      </c>
    </row>
    <row r="1768" spans="13:18" x14ac:dyDescent="0.3">
      <c r="M1768" s="18" t="str">
        <f>IF($K1768="","",IFERROR(VLOOKUP(--SUBSTITUTE(SUBSTITUTE(TRIM($K1768),"-","")," ",""),마스터시트!$A$2:$H$1946,2,FALSE),"미등록"))</f>
        <v/>
      </c>
      <c r="N1768" s="53" t="str">
        <f>IF($K1768="","",IFERROR(VLOOKUP(--SUBSTITUTE(SUBSTITUTE(TRIM($K1768),"-","")," ",""),마스터시트!$A$2:$H$1946,3,FALSE),"미등록"))</f>
        <v/>
      </c>
      <c r="O1768" s="18" t="str">
        <f>IF($K1768="","",IFERROR(VLOOKUP(--SUBSTITUTE(SUBSTITUTE(TRIM($K1768),"-","")," ",""),마스터시트!$A$2:$H$1946,4,FALSE),""))</f>
        <v/>
      </c>
      <c r="P1768" s="18" t="str">
        <f>IF($K1768="","",IFERROR(VLOOKUP(--SUBSTITUTE(SUBSTITUTE(TRIM($K1768),"-","")," ",""),마스터시트!$A$2:$H$1946,5,FALSE),""))</f>
        <v/>
      </c>
      <c r="Q1768" s="18" t="str">
        <f>IF($K1768="","",IFERROR(VLOOKUP(--SUBSTITUTE(SUBSTITUTE(TRIM($K1768),"-","")," ",""),마스터시트!$A$2:$H$1946,6,FALSE),""))</f>
        <v/>
      </c>
      <c r="R1768" s="18" t="str">
        <f>IF($K1768="","",IFERROR(VLOOKUP(--SUBSTITUTE(SUBSTITUTE(TRIM($K1768),"-","")," ",""),마스터시트!$A$2:$H$1946,7,FALSE),""))</f>
        <v/>
      </c>
    </row>
    <row r="1769" spans="13:18" x14ac:dyDescent="0.3">
      <c r="M1769" s="18" t="str">
        <f>IF($K1769="","",IFERROR(VLOOKUP(--SUBSTITUTE(SUBSTITUTE(TRIM($K1769),"-","")," ",""),마스터시트!$A$2:$H$1946,2,FALSE),"미등록"))</f>
        <v/>
      </c>
      <c r="N1769" s="53" t="str">
        <f>IF($K1769="","",IFERROR(VLOOKUP(--SUBSTITUTE(SUBSTITUTE(TRIM($K1769),"-","")," ",""),마스터시트!$A$2:$H$1946,3,FALSE),"미등록"))</f>
        <v/>
      </c>
      <c r="O1769" s="18" t="str">
        <f>IF($K1769="","",IFERROR(VLOOKUP(--SUBSTITUTE(SUBSTITUTE(TRIM($K1769),"-","")," ",""),마스터시트!$A$2:$H$1946,4,FALSE),""))</f>
        <v/>
      </c>
      <c r="P1769" s="18" t="str">
        <f>IF($K1769="","",IFERROR(VLOOKUP(--SUBSTITUTE(SUBSTITUTE(TRIM($K1769),"-","")," ",""),마스터시트!$A$2:$H$1946,5,FALSE),""))</f>
        <v/>
      </c>
      <c r="Q1769" s="18" t="str">
        <f>IF($K1769="","",IFERROR(VLOOKUP(--SUBSTITUTE(SUBSTITUTE(TRIM($K1769),"-","")," ",""),마스터시트!$A$2:$H$1946,6,FALSE),""))</f>
        <v/>
      </c>
      <c r="R1769" s="18" t="str">
        <f>IF($K1769="","",IFERROR(VLOOKUP(--SUBSTITUTE(SUBSTITUTE(TRIM($K1769),"-","")," ",""),마스터시트!$A$2:$H$1946,7,FALSE),""))</f>
        <v/>
      </c>
    </row>
    <row r="1770" spans="13:18" x14ac:dyDescent="0.3">
      <c r="M1770" s="18" t="str">
        <f>IF($K1770="","",IFERROR(VLOOKUP(--SUBSTITUTE(SUBSTITUTE(TRIM($K1770),"-","")," ",""),마스터시트!$A$2:$H$1946,2,FALSE),"미등록"))</f>
        <v/>
      </c>
      <c r="N1770" s="53" t="str">
        <f>IF($K1770="","",IFERROR(VLOOKUP(--SUBSTITUTE(SUBSTITUTE(TRIM($K1770),"-","")," ",""),마스터시트!$A$2:$H$1946,3,FALSE),"미등록"))</f>
        <v/>
      </c>
      <c r="O1770" s="18" t="str">
        <f>IF($K1770="","",IFERROR(VLOOKUP(--SUBSTITUTE(SUBSTITUTE(TRIM($K1770),"-","")," ",""),마스터시트!$A$2:$H$1946,4,FALSE),""))</f>
        <v/>
      </c>
      <c r="P1770" s="18" t="str">
        <f>IF($K1770="","",IFERROR(VLOOKUP(--SUBSTITUTE(SUBSTITUTE(TRIM($K1770),"-","")," ",""),마스터시트!$A$2:$H$1946,5,FALSE),""))</f>
        <v/>
      </c>
      <c r="Q1770" s="18" t="str">
        <f>IF($K1770="","",IFERROR(VLOOKUP(--SUBSTITUTE(SUBSTITUTE(TRIM($K1770),"-","")," ",""),마스터시트!$A$2:$H$1946,6,FALSE),""))</f>
        <v/>
      </c>
      <c r="R1770" s="18" t="str">
        <f>IF($K1770="","",IFERROR(VLOOKUP(--SUBSTITUTE(SUBSTITUTE(TRIM($K1770),"-","")," ",""),마스터시트!$A$2:$H$1946,7,FALSE),""))</f>
        <v/>
      </c>
    </row>
    <row r="1771" spans="13:18" x14ac:dyDescent="0.3">
      <c r="M1771" s="18" t="str">
        <f>IF($K1771="","",IFERROR(VLOOKUP(--SUBSTITUTE(SUBSTITUTE(TRIM($K1771),"-","")," ",""),마스터시트!$A$2:$H$1946,2,FALSE),"미등록"))</f>
        <v/>
      </c>
      <c r="N1771" s="53" t="str">
        <f>IF($K1771="","",IFERROR(VLOOKUP(--SUBSTITUTE(SUBSTITUTE(TRIM($K1771),"-","")," ",""),마스터시트!$A$2:$H$1946,3,FALSE),"미등록"))</f>
        <v/>
      </c>
      <c r="O1771" s="18" t="str">
        <f>IF($K1771="","",IFERROR(VLOOKUP(--SUBSTITUTE(SUBSTITUTE(TRIM($K1771),"-","")," ",""),마스터시트!$A$2:$H$1946,4,FALSE),""))</f>
        <v/>
      </c>
      <c r="P1771" s="18" t="str">
        <f>IF($K1771="","",IFERROR(VLOOKUP(--SUBSTITUTE(SUBSTITUTE(TRIM($K1771),"-","")," ",""),마스터시트!$A$2:$H$1946,5,FALSE),""))</f>
        <v/>
      </c>
      <c r="Q1771" s="18" t="str">
        <f>IF($K1771="","",IFERROR(VLOOKUP(--SUBSTITUTE(SUBSTITUTE(TRIM($K1771),"-","")," ",""),마스터시트!$A$2:$H$1946,6,FALSE),""))</f>
        <v/>
      </c>
      <c r="R1771" s="18" t="str">
        <f>IF($K1771="","",IFERROR(VLOOKUP(--SUBSTITUTE(SUBSTITUTE(TRIM($K1771),"-","")," ",""),마스터시트!$A$2:$H$1946,7,FALSE),""))</f>
        <v/>
      </c>
    </row>
    <row r="1772" spans="13:18" x14ac:dyDescent="0.3">
      <c r="M1772" s="18" t="str">
        <f>IF($K1772="","",IFERROR(VLOOKUP(--SUBSTITUTE(SUBSTITUTE(TRIM($K1772),"-","")," ",""),마스터시트!$A$2:$H$1946,2,FALSE),"미등록"))</f>
        <v/>
      </c>
      <c r="N1772" s="53" t="str">
        <f>IF($K1772="","",IFERROR(VLOOKUP(--SUBSTITUTE(SUBSTITUTE(TRIM($K1772),"-","")," ",""),마스터시트!$A$2:$H$1946,3,FALSE),"미등록"))</f>
        <v/>
      </c>
      <c r="O1772" s="18" t="str">
        <f>IF($K1772="","",IFERROR(VLOOKUP(--SUBSTITUTE(SUBSTITUTE(TRIM($K1772),"-","")," ",""),마스터시트!$A$2:$H$1946,4,FALSE),""))</f>
        <v/>
      </c>
      <c r="P1772" s="18" t="str">
        <f>IF($K1772="","",IFERROR(VLOOKUP(--SUBSTITUTE(SUBSTITUTE(TRIM($K1772),"-","")," ",""),마스터시트!$A$2:$H$1946,5,FALSE),""))</f>
        <v/>
      </c>
      <c r="Q1772" s="18" t="str">
        <f>IF($K1772="","",IFERROR(VLOOKUP(--SUBSTITUTE(SUBSTITUTE(TRIM($K1772),"-","")," ",""),마스터시트!$A$2:$H$1946,6,FALSE),""))</f>
        <v/>
      </c>
      <c r="R1772" s="18" t="str">
        <f>IF($K1772="","",IFERROR(VLOOKUP(--SUBSTITUTE(SUBSTITUTE(TRIM($K1772),"-","")," ",""),마스터시트!$A$2:$H$1946,7,FALSE),""))</f>
        <v/>
      </c>
    </row>
    <row r="1773" spans="13:18" x14ac:dyDescent="0.3">
      <c r="M1773" s="18" t="str">
        <f>IF($K1773="","",IFERROR(VLOOKUP(--SUBSTITUTE(SUBSTITUTE(TRIM($K1773),"-","")," ",""),마스터시트!$A$2:$H$1946,2,FALSE),"미등록"))</f>
        <v/>
      </c>
      <c r="N1773" s="53" t="str">
        <f>IF($K1773="","",IFERROR(VLOOKUP(--SUBSTITUTE(SUBSTITUTE(TRIM($K1773),"-","")," ",""),마스터시트!$A$2:$H$1946,3,FALSE),"미등록"))</f>
        <v/>
      </c>
      <c r="O1773" s="18" t="str">
        <f>IF($K1773="","",IFERROR(VLOOKUP(--SUBSTITUTE(SUBSTITUTE(TRIM($K1773),"-","")," ",""),마스터시트!$A$2:$H$1946,4,FALSE),""))</f>
        <v/>
      </c>
      <c r="P1773" s="18" t="str">
        <f>IF($K1773="","",IFERROR(VLOOKUP(--SUBSTITUTE(SUBSTITUTE(TRIM($K1773),"-","")," ",""),마스터시트!$A$2:$H$1946,5,FALSE),""))</f>
        <v/>
      </c>
      <c r="Q1773" s="18" t="str">
        <f>IF($K1773="","",IFERROR(VLOOKUP(--SUBSTITUTE(SUBSTITUTE(TRIM($K1773),"-","")," ",""),마스터시트!$A$2:$H$1946,6,FALSE),""))</f>
        <v/>
      </c>
      <c r="R1773" s="18" t="str">
        <f>IF($K1773="","",IFERROR(VLOOKUP(--SUBSTITUTE(SUBSTITUTE(TRIM($K1773),"-","")," ",""),마스터시트!$A$2:$H$1946,7,FALSE),""))</f>
        <v/>
      </c>
    </row>
    <row r="1774" spans="13:18" x14ac:dyDescent="0.3">
      <c r="M1774" s="18" t="str">
        <f>IF($K1774="","",IFERROR(VLOOKUP(--SUBSTITUTE(SUBSTITUTE(TRIM($K1774),"-","")," ",""),마스터시트!$A$2:$H$1946,2,FALSE),"미등록"))</f>
        <v/>
      </c>
      <c r="N1774" s="53" t="str">
        <f>IF($K1774="","",IFERROR(VLOOKUP(--SUBSTITUTE(SUBSTITUTE(TRIM($K1774),"-","")," ",""),마스터시트!$A$2:$H$1946,3,FALSE),"미등록"))</f>
        <v/>
      </c>
      <c r="O1774" s="18" t="str">
        <f>IF($K1774="","",IFERROR(VLOOKUP(--SUBSTITUTE(SUBSTITUTE(TRIM($K1774),"-","")," ",""),마스터시트!$A$2:$H$1946,4,FALSE),""))</f>
        <v/>
      </c>
      <c r="P1774" s="18" t="str">
        <f>IF($K1774="","",IFERROR(VLOOKUP(--SUBSTITUTE(SUBSTITUTE(TRIM($K1774),"-","")," ",""),마스터시트!$A$2:$H$1946,5,FALSE),""))</f>
        <v/>
      </c>
      <c r="Q1774" s="18" t="str">
        <f>IF($K1774="","",IFERROR(VLOOKUP(--SUBSTITUTE(SUBSTITUTE(TRIM($K1774),"-","")," ",""),마스터시트!$A$2:$H$1946,6,FALSE),""))</f>
        <v/>
      </c>
      <c r="R1774" s="18" t="str">
        <f>IF($K1774="","",IFERROR(VLOOKUP(--SUBSTITUTE(SUBSTITUTE(TRIM($K1774),"-","")," ",""),마스터시트!$A$2:$H$1946,7,FALSE),""))</f>
        <v/>
      </c>
    </row>
    <row r="1775" spans="13:18" x14ac:dyDescent="0.3">
      <c r="M1775" s="18" t="str">
        <f>IF($K1775="","",IFERROR(VLOOKUP(--SUBSTITUTE(SUBSTITUTE(TRIM($K1775),"-","")," ",""),마스터시트!$A$2:$H$1946,2,FALSE),"미등록"))</f>
        <v/>
      </c>
      <c r="N1775" s="53" t="str">
        <f>IF($K1775="","",IFERROR(VLOOKUP(--SUBSTITUTE(SUBSTITUTE(TRIM($K1775),"-","")," ",""),마스터시트!$A$2:$H$1946,3,FALSE),"미등록"))</f>
        <v/>
      </c>
      <c r="O1775" s="18" t="str">
        <f>IF($K1775="","",IFERROR(VLOOKUP(--SUBSTITUTE(SUBSTITUTE(TRIM($K1775),"-","")," ",""),마스터시트!$A$2:$H$1946,4,FALSE),""))</f>
        <v/>
      </c>
      <c r="P1775" s="18" t="str">
        <f>IF($K1775="","",IFERROR(VLOOKUP(--SUBSTITUTE(SUBSTITUTE(TRIM($K1775),"-","")," ",""),마스터시트!$A$2:$H$1946,5,FALSE),""))</f>
        <v/>
      </c>
      <c r="Q1775" s="18" t="str">
        <f>IF($K1775="","",IFERROR(VLOOKUP(--SUBSTITUTE(SUBSTITUTE(TRIM($K1775),"-","")," ",""),마스터시트!$A$2:$H$1946,6,FALSE),""))</f>
        <v/>
      </c>
      <c r="R1775" s="18" t="str">
        <f>IF($K1775="","",IFERROR(VLOOKUP(--SUBSTITUTE(SUBSTITUTE(TRIM($K1775),"-","")," ",""),마스터시트!$A$2:$H$1946,7,FALSE),""))</f>
        <v/>
      </c>
    </row>
    <row r="1776" spans="13:18" x14ac:dyDescent="0.3">
      <c r="M1776" s="18" t="str">
        <f>IF($K1776="","",IFERROR(VLOOKUP(--SUBSTITUTE(SUBSTITUTE(TRIM($K1776),"-","")," ",""),마스터시트!$A$2:$H$1946,2,FALSE),"미등록"))</f>
        <v/>
      </c>
      <c r="N1776" s="53" t="str">
        <f>IF($K1776="","",IFERROR(VLOOKUP(--SUBSTITUTE(SUBSTITUTE(TRIM($K1776),"-","")," ",""),마스터시트!$A$2:$H$1946,3,FALSE),"미등록"))</f>
        <v/>
      </c>
      <c r="O1776" s="18" t="str">
        <f>IF($K1776="","",IFERROR(VLOOKUP(--SUBSTITUTE(SUBSTITUTE(TRIM($K1776),"-","")," ",""),마스터시트!$A$2:$H$1946,4,FALSE),""))</f>
        <v/>
      </c>
      <c r="P1776" s="18" t="str">
        <f>IF($K1776="","",IFERROR(VLOOKUP(--SUBSTITUTE(SUBSTITUTE(TRIM($K1776),"-","")," ",""),마스터시트!$A$2:$H$1946,5,FALSE),""))</f>
        <v/>
      </c>
      <c r="Q1776" s="18" t="str">
        <f>IF($K1776="","",IFERROR(VLOOKUP(--SUBSTITUTE(SUBSTITUTE(TRIM($K1776),"-","")," ",""),마스터시트!$A$2:$H$1946,6,FALSE),""))</f>
        <v/>
      </c>
      <c r="R1776" s="18" t="str">
        <f>IF($K1776="","",IFERROR(VLOOKUP(--SUBSTITUTE(SUBSTITUTE(TRIM($K1776),"-","")," ",""),마스터시트!$A$2:$H$1946,7,FALSE),""))</f>
        <v/>
      </c>
    </row>
    <row r="1777" spans="13:18" x14ac:dyDescent="0.3">
      <c r="M1777" s="18" t="str">
        <f>IF($K1777="","",IFERROR(VLOOKUP(--SUBSTITUTE(SUBSTITUTE(TRIM($K1777),"-","")," ",""),마스터시트!$A$2:$H$1946,2,FALSE),"미등록"))</f>
        <v/>
      </c>
      <c r="N1777" s="53" t="str">
        <f>IF($K1777="","",IFERROR(VLOOKUP(--SUBSTITUTE(SUBSTITUTE(TRIM($K1777),"-","")," ",""),마스터시트!$A$2:$H$1946,3,FALSE),"미등록"))</f>
        <v/>
      </c>
      <c r="O1777" s="18" t="str">
        <f>IF($K1777="","",IFERROR(VLOOKUP(--SUBSTITUTE(SUBSTITUTE(TRIM($K1777),"-","")," ",""),마스터시트!$A$2:$H$1946,4,FALSE),""))</f>
        <v/>
      </c>
      <c r="P1777" s="18" t="str">
        <f>IF($K1777="","",IFERROR(VLOOKUP(--SUBSTITUTE(SUBSTITUTE(TRIM($K1777),"-","")," ",""),마스터시트!$A$2:$H$1946,5,FALSE),""))</f>
        <v/>
      </c>
      <c r="Q1777" s="18" t="str">
        <f>IF($K1777="","",IFERROR(VLOOKUP(--SUBSTITUTE(SUBSTITUTE(TRIM($K1777),"-","")," ",""),마스터시트!$A$2:$H$1946,6,FALSE),""))</f>
        <v/>
      </c>
      <c r="R1777" s="18" t="str">
        <f>IF($K1777="","",IFERROR(VLOOKUP(--SUBSTITUTE(SUBSTITUTE(TRIM($K1777),"-","")," ",""),마스터시트!$A$2:$H$1946,7,FALSE),""))</f>
        <v/>
      </c>
    </row>
    <row r="1778" spans="13:18" x14ac:dyDescent="0.3">
      <c r="M1778" s="18" t="str">
        <f>IF($K1778="","",IFERROR(VLOOKUP(--SUBSTITUTE(SUBSTITUTE(TRIM($K1778),"-","")," ",""),마스터시트!$A$2:$H$1946,2,FALSE),"미등록"))</f>
        <v/>
      </c>
      <c r="N1778" s="53" t="str">
        <f>IF($K1778="","",IFERROR(VLOOKUP(--SUBSTITUTE(SUBSTITUTE(TRIM($K1778),"-","")," ",""),마스터시트!$A$2:$H$1946,3,FALSE),"미등록"))</f>
        <v/>
      </c>
      <c r="O1778" s="18" t="str">
        <f>IF($K1778="","",IFERROR(VLOOKUP(--SUBSTITUTE(SUBSTITUTE(TRIM($K1778),"-","")," ",""),마스터시트!$A$2:$H$1946,4,FALSE),""))</f>
        <v/>
      </c>
      <c r="P1778" s="18" t="str">
        <f>IF($K1778="","",IFERROR(VLOOKUP(--SUBSTITUTE(SUBSTITUTE(TRIM($K1778),"-","")," ",""),마스터시트!$A$2:$H$1946,5,FALSE),""))</f>
        <v/>
      </c>
      <c r="Q1778" s="18" t="str">
        <f>IF($K1778="","",IFERROR(VLOOKUP(--SUBSTITUTE(SUBSTITUTE(TRIM($K1778),"-","")," ",""),마스터시트!$A$2:$H$1946,6,FALSE),""))</f>
        <v/>
      </c>
      <c r="R1778" s="18" t="str">
        <f>IF($K1778="","",IFERROR(VLOOKUP(--SUBSTITUTE(SUBSTITUTE(TRIM($K1778),"-","")," ",""),마스터시트!$A$2:$H$1946,7,FALSE),""))</f>
        <v/>
      </c>
    </row>
    <row r="1779" spans="13:18" x14ac:dyDescent="0.3">
      <c r="M1779" s="18" t="str">
        <f>IF($K1779="","",IFERROR(VLOOKUP(--SUBSTITUTE(SUBSTITUTE(TRIM($K1779),"-","")," ",""),마스터시트!$A$2:$H$1946,2,FALSE),"미등록"))</f>
        <v/>
      </c>
      <c r="N1779" s="53" t="str">
        <f>IF($K1779="","",IFERROR(VLOOKUP(--SUBSTITUTE(SUBSTITUTE(TRIM($K1779),"-","")," ",""),마스터시트!$A$2:$H$1946,3,FALSE),"미등록"))</f>
        <v/>
      </c>
      <c r="O1779" s="18" t="str">
        <f>IF($K1779="","",IFERROR(VLOOKUP(--SUBSTITUTE(SUBSTITUTE(TRIM($K1779),"-","")," ",""),마스터시트!$A$2:$H$1946,4,FALSE),""))</f>
        <v/>
      </c>
      <c r="P1779" s="18" t="str">
        <f>IF($K1779="","",IFERROR(VLOOKUP(--SUBSTITUTE(SUBSTITUTE(TRIM($K1779),"-","")," ",""),마스터시트!$A$2:$H$1946,5,FALSE),""))</f>
        <v/>
      </c>
      <c r="Q1779" s="18" t="str">
        <f>IF($K1779="","",IFERROR(VLOOKUP(--SUBSTITUTE(SUBSTITUTE(TRIM($K1779),"-","")," ",""),마스터시트!$A$2:$H$1946,6,FALSE),""))</f>
        <v/>
      </c>
      <c r="R1779" s="18" t="str">
        <f>IF($K1779="","",IFERROR(VLOOKUP(--SUBSTITUTE(SUBSTITUTE(TRIM($K1779),"-","")," ",""),마스터시트!$A$2:$H$1946,7,FALSE),""))</f>
        <v/>
      </c>
    </row>
    <row r="1780" spans="13:18" x14ac:dyDescent="0.3">
      <c r="M1780" s="18" t="str">
        <f>IF($K1780="","",IFERROR(VLOOKUP(--SUBSTITUTE(SUBSTITUTE(TRIM($K1780),"-","")," ",""),마스터시트!$A$2:$H$1946,2,FALSE),"미등록"))</f>
        <v/>
      </c>
      <c r="N1780" s="53" t="str">
        <f>IF($K1780="","",IFERROR(VLOOKUP(--SUBSTITUTE(SUBSTITUTE(TRIM($K1780),"-","")," ",""),마스터시트!$A$2:$H$1946,3,FALSE),"미등록"))</f>
        <v/>
      </c>
      <c r="O1780" s="18" t="str">
        <f>IF($K1780="","",IFERROR(VLOOKUP(--SUBSTITUTE(SUBSTITUTE(TRIM($K1780),"-","")," ",""),마스터시트!$A$2:$H$1946,4,FALSE),""))</f>
        <v/>
      </c>
      <c r="P1780" s="18" t="str">
        <f>IF($K1780="","",IFERROR(VLOOKUP(--SUBSTITUTE(SUBSTITUTE(TRIM($K1780),"-","")," ",""),마스터시트!$A$2:$H$1946,5,FALSE),""))</f>
        <v/>
      </c>
      <c r="Q1780" s="18" t="str">
        <f>IF($K1780="","",IFERROR(VLOOKUP(--SUBSTITUTE(SUBSTITUTE(TRIM($K1780),"-","")," ",""),마스터시트!$A$2:$H$1946,6,FALSE),""))</f>
        <v/>
      </c>
      <c r="R1780" s="18" t="str">
        <f>IF($K1780="","",IFERROR(VLOOKUP(--SUBSTITUTE(SUBSTITUTE(TRIM($K1780),"-","")," ",""),마스터시트!$A$2:$H$1946,7,FALSE),""))</f>
        <v/>
      </c>
    </row>
    <row r="1781" spans="13:18" x14ac:dyDescent="0.3">
      <c r="M1781" s="18" t="str">
        <f>IF($K1781="","",IFERROR(VLOOKUP(--SUBSTITUTE(SUBSTITUTE(TRIM($K1781),"-","")," ",""),마스터시트!$A$2:$H$1946,2,FALSE),"미등록"))</f>
        <v/>
      </c>
      <c r="N1781" s="53" t="str">
        <f>IF($K1781="","",IFERROR(VLOOKUP(--SUBSTITUTE(SUBSTITUTE(TRIM($K1781),"-","")," ",""),마스터시트!$A$2:$H$1946,3,FALSE),"미등록"))</f>
        <v/>
      </c>
      <c r="O1781" s="18" t="str">
        <f>IF($K1781="","",IFERROR(VLOOKUP(--SUBSTITUTE(SUBSTITUTE(TRIM($K1781),"-","")," ",""),마스터시트!$A$2:$H$1946,4,FALSE),""))</f>
        <v/>
      </c>
      <c r="P1781" s="18" t="str">
        <f>IF($K1781="","",IFERROR(VLOOKUP(--SUBSTITUTE(SUBSTITUTE(TRIM($K1781),"-","")," ",""),마스터시트!$A$2:$H$1946,5,FALSE),""))</f>
        <v/>
      </c>
      <c r="Q1781" s="18" t="str">
        <f>IF($K1781="","",IFERROR(VLOOKUP(--SUBSTITUTE(SUBSTITUTE(TRIM($K1781),"-","")," ",""),마스터시트!$A$2:$H$1946,6,FALSE),""))</f>
        <v/>
      </c>
      <c r="R1781" s="18" t="str">
        <f>IF($K1781="","",IFERROR(VLOOKUP(--SUBSTITUTE(SUBSTITUTE(TRIM($K1781),"-","")," ",""),마스터시트!$A$2:$H$1946,7,FALSE),""))</f>
        <v/>
      </c>
    </row>
    <row r="1782" spans="13:18" x14ac:dyDescent="0.3">
      <c r="M1782" s="18" t="str">
        <f>IF($K1782="","",IFERROR(VLOOKUP(--SUBSTITUTE(SUBSTITUTE(TRIM($K1782),"-","")," ",""),마스터시트!$A$2:$H$1946,2,FALSE),"미등록"))</f>
        <v/>
      </c>
      <c r="N1782" s="53" t="str">
        <f>IF($K1782="","",IFERROR(VLOOKUP(--SUBSTITUTE(SUBSTITUTE(TRIM($K1782),"-","")," ",""),마스터시트!$A$2:$H$1946,3,FALSE),"미등록"))</f>
        <v/>
      </c>
      <c r="O1782" s="18" t="str">
        <f>IF($K1782="","",IFERROR(VLOOKUP(--SUBSTITUTE(SUBSTITUTE(TRIM($K1782),"-","")," ",""),마스터시트!$A$2:$H$1946,4,FALSE),""))</f>
        <v/>
      </c>
      <c r="P1782" s="18" t="str">
        <f>IF($K1782="","",IFERROR(VLOOKUP(--SUBSTITUTE(SUBSTITUTE(TRIM($K1782),"-","")," ",""),마스터시트!$A$2:$H$1946,5,FALSE),""))</f>
        <v/>
      </c>
      <c r="Q1782" s="18" t="str">
        <f>IF($K1782="","",IFERROR(VLOOKUP(--SUBSTITUTE(SUBSTITUTE(TRIM($K1782),"-","")," ",""),마스터시트!$A$2:$H$1946,6,FALSE),""))</f>
        <v/>
      </c>
      <c r="R1782" s="18" t="str">
        <f>IF($K1782="","",IFERROR(VLOOKUP(--SUBSTITUTE(SUBSTITUTE(TRIM($K1782),"-","")," ",""),마스터시트!$A$2:$H$1946,7,FALSE),""))</f>
        <v/>
      </c>
    </row>
    <row r="1783" spans="13:18" x14ac:dyDescent="0.3">
      <c r="M1783" s="18" t="str">
        <f>IF($K1783="","",IFERROR(VLOOKUP(--SUBSTITUTE(SUBSTITUTE(TRIM($K1783),"-","")," ",""),마스터시트!$A$2:$H$1946,2,FALSE),"미등록"))</f>
        <v/>
      </c>
      <c r="N1783" s="53" t="str">
        <f>IF($K1783="","",IFERROR(VLOOKUP(--SUBSTITUTE(SUBSTITUTE(TRIM($K1783),"-","")," ",""),마스터시트!$A$2:$H$1946,3,FALSE),"미등록"))</f>
        <v/>
      </c>
      <c r="O1783" s="18" t="str">
        <f>IF($K1783="","",IFERROR(VLOOKUP(--SUBSTITUTE(SUBSTITUTE(TRIM($K1783),"-","")," ",""),마스터시트!$A$2:$H$1946,4,FALSE),""))</f>
        <v/>
      </c>
      <c r="P1783" s="18" t="str">
        <f>IF($K1783="","",IFERROR(VLOOKUP(--SUBSTITUTE(SUBSTITUTE(TRIM($K1783),"-","")," ",""),마스터시트!$A$2:$H$1946,5,FALSE),""))</f>
        <v/>
      </c>
      <c r="Q1783" s="18" t="str">
        <f>IF($K1783="","",IFERROR(VLOOKUP(--SUBSTITUTE(SUBSTITUTE(TRIM($K1783),"-","")," ",""),마스터시트!$A$2:$H$1946,6,FALSE),""))</f>
        <v/>
      </c>
      <c r="R1783" s="18" t="str">
        <f>IF($K1783="","",IFERROR(VLOOKUP(--SUBSTITUTE(SUBSTITUTE(TRIM($K1783),"-","")," ",""),마스터시트!$A$2:$H$1946,7,FALSE),""))</f>
        <v/>
      </c>
    </row>
    <row r="1784" spans="13:18" x14ac:dyDescent="0.3">
      <c r="M1784" s="18" t="str">
        <f>IF($K1784="","",IFERROR(VLOOKUP(--SUBSTITUTE(SUBSTITUTE(TRIM($K1784),"-","")," ",""),마스터시트!$A$2:$H$1946,2,FALSE),"미등록"))</f>
        <v/>
      </c>
      <c r="N1784" s="53" t="str">
        <f>IF($K1784="","",IFERROR(VLOOKUP(--SUBSTITUTE(SUBSTITUTE(TRIM($K1784),"-","")," ",""),마스터시트!$A$2:$H$1946,3,FALSE),"미등록"))</f>
        <v/>
      </c>
      <c r="O1784" s="18" t="str">
        <f>IF($K1784="","",IFERROR(VLOOKUP(--SUBSTITUTE(SUBSTITUTE(TRIM($K1784),"-","")," ",""),마스터시트!$A$2:$H$1946,4,FALSE),""))</f>
        <v/>
      </c>
      <c r="P1784" s="18" t="str">
        <f>IF($K1784="","",IFERROR(VLOOKUP(--SUBSTITUTE(SUBSTITUTE(TRIM($K1784),"-","")," ",""),마스터시트!$A$2:$H$1946,5,FALSE),""))</f>
        <v/>
      </c>
      <c r="Q1784" s="18" t="str">
        <f>IF($K1784="","",IFERROR(VLOOKUP(--SUBSTITUTE(SUBSTITUTE(TRIM($K1784),"-","")," ",""),마스터시트!$A$2:$H$1946,6,FALSE),""))</f>
        <v/>
      </c>
      <c r="R1784" s="18" t="str">
        <f>IF($K1784="","",IFERROR(VLOOKUP(--SUBSTITUTE(SUBSTITUTE(TRIM($K1784),"-","")," ",""),마스터시트!$A$2:$H$1946,7,FALSE),""))</f>
        <v/>
      </c>
    </row>
    <row r="1785" spans="13:18" x14ac:dyDescent="0.3">
      <c r="M1785" s="18" t="str">
        <f>IF($K1785="","",IFERROR(VLOOKUP(--SUBSTITUTE(SUBSTITUTE(TRIM($K1785),"-","")," ",""),마스터시트!$A$2:$H$1946,2,FALSE),"미등록"))</f>
        <v/>
      </c>
      <c r="N1785" s="53" t="str">
        <f>IF($K1785="","",IFERROR(VLOOKUP(--SUBSTITUTE(SUBSTITUTE(TRIM($K1785),"-","")," ",""),마스터시트!$A$2:$H$1946,3,FALSE),"미등록"))</f>
        <v/>
      </c>
      <c r="O1785" s="18" t="str">
        <f>IF($K1785="","",IFERROR(VLOOKUP(--SUBSTITUTE(SUBSTITUTE(TRIM($K1785),"-","")," ",""),마스터시트!$A$2:$H$1946,4,FALSE),""))</f>
        <v/>
      </c>
      <c r="P1785" s="18" t="str">
        <f>IF($K1785="","",IFERROR(VLOOKUP(--SUBSTITUTE(SUBSTITUTE(TRIM($K1785),"-","")," ",""),마스터시트!$A$2:$H$1946,5,FALSE),""))</f>
        <v/>
      </c>
      <c r="Q1785" s="18" t="str">
        <f>IF($K1785="","",IFERROR(VLOOKUP(--SUBSTITUTE(SUBSTITUTE(TRIM($K1785),"-","")," ",""),마스터시트!$A$2:$H$1946,6,FALSE),""))</f>
        <v/>
      </c>
      <c r="R1785" s="18" t="str">
        <f>IF($K1785="","",IFERROR(VLOOKUP(--SUBSTITUTE(SUBSTITUTE(TRIM($K1785),"-","")," ",""),마스터시트!$A$2:$H$1946,7,FALSE),""))</f>
        <v/>
      </c>
    </row>
    <row r="1786" spans="13:18" x14ac:dyDescent="0.3">
      <c r="M1786" s="18" t="str">
        <f>IF($K1786="","",IFERROR(VLOOKUP(--SUBSTITUTE(SUBSTITUTE(TRIM($K1786),"-","")," ",""),마스터시트!$A$2:$H$1946,2,FALSE),"미등록"))</f>
        <v/>
      </c>
      <c r="N1786" s="53" t="str">
        <f>IF($K1786="","",IFERROR(VLOOKUP(--SUBSTITUTE(SUBSTITUTE(TRIM($K1786),"-","")," ",""),마스터시트!$A$2:$H$1946,3,FALSE),"미등록"))</f>
        <v/>
      </c>
      <c r="O1786" s="18" t="str">
        <f>IF($K1786="","",IFERROR(VLOOKUP(--SUBSTITUTE(SUBSTITUTE(TRIM($K1786),"-","")," ",""),마스터시트!$A$2:$H$1946,4,FALSE),""))</f>
        <v/>
      </c>
      <c r="P1786" s="18" t="str">
        <f>IF($K1786="","",IFERROR(VLOOKUP(--SUBSTITUTE(SUBSTITUTE(TRIM($K1786),"-","")," ",""),마스터시트!$A$2:$H$1946,5,FALSE),""))</f>
        <v/>
      </c>
      <c r="Q1786" s="18" t="str">
        <f>IF($K1786="","",IFERROR(VLOOKUP(--SUBSTITUTE(SUBSTITUTE(TRIM($K1786),"-","")," ",""),마스터시트!$A$2:$H$1946,6,FALSE),""))</f>
        <v/>
      </c>
      <c r="R1786" s="18" t="str">
        <f>IF($K1786="","",IFERROR(VLOOKUP(--SUBSTITUTE(SUBSTITUTE(TRIM($K1786),"-","")," ",""),마스터시트!$A$2:$H$1946,7,FALSE),""))</f>
        <v/>
      </c>
    </row>
    <row r="1787" spans="13:18" x14ac:dyDescent="0.3">
      <c r="M1787" s="18" t="str">
        <f>IF($K1787="","",IFERROR(VLOOKUP(--SUBSTITUTE(SUBSTITUTE(TRIM($K1787),"-","")," ",""),마스터시트!$A$2:$H$1946,2,FALSE),"미등록"))</f>
        <v/>
      </c>
      <c r="N1787" s="53" t="str">
        <f>IF($K1787="","",IFERROR(VLOOKUP(--SUBSTITUTE(SUBSTITUTE(TRIM($K1787),"-","")," ",""),마스터시트!$A$2:$H$1946,3,FALSE),"미등록"))</f>
        <v/>
      </c>
      <c r="O1787" s="18" t="str">
        <f>IF($K1787="","",IFERROR(VLOOKUP(--SUBSTITUTE(SUBSTITUTE(TRIM($K1787),"-","")," ",""),마스터시트!$A$2:$H$1946,4,FALSE),""))</f>
        <v/>
      </c>
      <c r="P1787" s="18" t="str">
        <f>IF($K1787="","",IFERROR(VLOOKUP(--SUBSTITUTE(SUBSTITUTE(TRIM($K1787),"-","")," ",""),마스터시트!$A$2:$H$1946,5,FALSE),""))</f>
        <v/>
      </c>
      <c r="Q1787" s="18" t="str">
        <f>IF($K1787="","",IFERROR(VLOOKUP(--SUBSTITUTE(SUBSTITUTE(TRIM($K1787),"-","")," ",""),마스터시트!$A$2:$H$1946,6,FALSE),""))</f>
        <v/>
      </c>
      <c r="R1787" s="18" t="str">
        <f>IF($K1787="","",IFERROR(VLOOKUP(--SUBSTITUTE(SUBSTITUTE(TRIM($K1787),"-","")," ",""),마스터시트!$A$2:$H$1946,7,FALSE),""))</f>
        <v/>
      </c>
    </row>
    <row r="1788" spans="13:18" x14ac:dyDescent="0.3">
      <c r="M1788" s="18" t="str">
        <f>IF($K1788="","",IFERROR(VLOOKUP(--SUBSTITUTE(SUBSTITUTE(TRIM($K1788),"-","")," ",""),마스터시트!$A$2:$H$1946,2,FALSE),"미등록"))</f>
        <v/>
      </c>
      <c r="N1788" s="53" t="str">
        <f>IF($K1788="","",IFERROR(VLOOKUP(--SUBSTITUTE(SUBSTITUTE(TRIM($K1788),"-","")," ",""),마스터시트!$A$2:$H$1946,3,FALSE),"미등록"))</f>
        <v/>
      </c>
      <c r="O1788" s="18" t="str">
        <f>IF($K1788="","",IFERROR(VLOOKUP(--SUBSTITUTE(SUBSTITUTE(TRIM($K1788),"-","")," ",""),마스터시트!$A$2:$H$1946,4,FALSE),""))</f>
        <v/>
      </c>
      <c r="P1788" s="18" t="str">
        <f>IF($K1788="","",IFERROR(VLOOKUP(--SUBSTITUTE(SUBSTITUTE(TRIM($K1788),"-","")," ",""),마스터시트!$A$2:$H$1946,5,FALSE),""))</f>
        <v/>
      </c>
      <c r="Q1788" s="18" t="str">
        <f>IF($K1788="","",IFERROR(VLOOKUP(--SUBSTITUTE(SUBSTITUTE(TRIM($K1788),"-","")," ",""),마스터시트!$A$2:$H$1946,6,FALSE),""))</f>
        <v/>
      </c>
      <c r="R1788" s="18" t="str">
        <f>IF($K1788="","",IFERROR(VLOOKUP(--SUBSTITUTE(SUBSTITUTE(TRIM($K1788),"-","")," ",""),마스터시트!$A$2:$H$1946,7,FALSE),""))</f>
        <v/>
      </c>
    </row>
    <row r="1789" spans="13:18" x14ac:dyDescent="0.3">
      <c r="M1789" s="18" t="str">
        <f>IF($K1789="","",IFERROR(VLOOKUP(--SUBSTITUTE(SUBSTITUTE(TRIM($K1789),"-","")," ",""),마스터시트!$A$2:$H$1946,2,FALSE),"미등록"))</f>
        <v/>
      </c>
      <c r="N1789" s="53" t="str">
        <f>IF($K1789="","",IFERROR(VLOOKUP(--SUBSTITUTE(SUBSTITUTE(TRIM($K1789),"-","")," ",""),마스터시트!$A$2:$H$1946,3,FALSE),"미등록"))</f>
        <v/>
      </c>
      <c r="O1789" s="18" t="str">
        <f>IF($K1789="","",IFERROR(VLOOKUP(--SUBSTITUTE(SUBSTITUTE(TRIM($K1789),"-","")," ",""),마스터시트!$A$2:$H$1946,4,FALSE),""))</f>
        <v/>
      </c>
      <c r="P1789" s="18" t="str">
        <f>IF($K1789="","",IFERROR(VLOOKUP(--SUBSTITUTE(SUBSTITUTE(TRIM($K1789),"-","")," ",""),마스터시트!$A$2:$H$1946,5,FALSE),""))</f>
        <v/>
      </c>
      <c r="Q1789" s="18" t="str">
        <f>IF($K1789="","",IFERROR(VLOOKUP(--SUBSTITUTE(SUBSTITUTE(TRIM($K1789),"-","")," ",""),마스터시트!$A$2:$H$1946,6,FALSE),""))</f>
        <v/>
      </c>
      <c r="R1789" s="18" t="str">
        <f>IF($K1789="","",IFERROR(VLOOKUP(--SUBSTITUTE(SUBSTITUTE(TRIM($K1789),"-","")," ",""),마스터시트!$A$2:$H$1946,7,FALSE),""))</f>
        <v/>
      </c>
    </row>
    <row r="1790" spans="13:18" x14ac:dyDescent="0.3">
      <c r="M1790" s="18" t="str">
        <f>IF($K1790="","",IFERROR(VLOOKUP(--SUBSTITUTE(SUBSTITUTE(TRIM($K1790),"-","")," ",""),마스터시트!$A$2:$H$1946,2,FALSE),"미등록"))</f>
        <v/>
      </c>
      <c r="N1790" s="53" t="str">
        <f>IF($K1790="","",IFERROR(VLOOKUP(--SUBSTITUTE(SUBSTITUTE(TRIM($K1790),"-","")," ",""),마스터시트!$A$2:$H$1946,3,FALSE),"미등록"))</f>
        <v/>
      </c>
      <c r="O1790" s="18" t="str">
        <f>IF($K1790="","",IFERROR(VLOOKUP(--SUBSTITUTE(SUBSTITUTE(TRIM($K1790),"-","")," ",""),마스터시트!$A$2:$H$1946,4,FALSE),""))</f>
        <v/>
      </c>
      <c r="P1790" s="18" t="str">
        <f>IF($K1790="","",IFERROR(VLOOKUP(--SUBSTITUTE(SUBSTITUTE(TRIM($K1790),"-","")," ",""),마스터시트!$A$2:$H$1946,5,FALSE),""))</f>
        <v/>
      </c>
      <c r="Q1790" s="18" t="str">
        <f>IF($K1790="","",IFERROR(VLOOKUP(--SUBSTITUTE(SUBSTITUTE(TRIM($K1790),"-","")," ",""),마스터시트!$A$2:$H$1946,6,FALSE),""))</f>
        <v/>
      </c>
      <c r="R1790" s="18" t="str">
        <f>IF($K1790="","",IFERROR(VLOOKUP(--SUBSTITUTE(SUBSTITUTE(TRIM($K1790),"-","")," ",""),마스터시트!$A$2:$H$1946,7,FALSE),""))</f>
        <v/>
      </c>
    </row>
    <row r="1791" spans="13:18" x14ac:dyDescent="0.3">
      <c r="M1791" s="18" t="str">
        <f>IF($K1791="","",IFERROR(VLOOKUP(--SUBSTITUTE(SUBSTITUTE(TRIM($K1791),"-","")," ",""),마스터시트!$A$2:$H$1946,2,FALSE),"미등록"))</f>
        <v/>
      </c>
      <c r="N1791" s="53" t="str">
        <f>IF($K1791="","",IFERROR(VLOOKUP(--SUBSTITUTE(SUBSTITUTE(TRIM($K1791),"-","")," ",""),마스터시트!$A$2:$H$1946,3,FALSE),"미등록"))</f>
        <v/>
      </c>
      <c r="O1791" s="18" t="str">
        <f>IF($K1791="","",IFERROR(VLOOKUP(--SUBSTITUTE(SUBSTITUTE(TRIM($K1791),"-","")," ",""),마스터시트!$A$2:$H$1946,4,FALSE),""))</f>
        <v/>
      </c>
      <c r="P1791" s="18" t="str">
        <f>IF($K1791="","",IFERROR(VLOOKUP(--SUBSTITUTE(SUBSTITUTE(TRIM($K1791),"-","")," ",""),마스터시트!$A$2:$H$1946,5,FALSE),""))</f>
        <v/>
      </c>
      <c r="Q1791" s="18" t="str">
        <f>IF($K1791="","",IFERROR(VLOOKUP(--SUBSTITUTE(SUBSTITUTE(TRIM($K1791),"-","")," ",""),마스터시트!$A$2:$H$1946,6,FALSE),""))</f>
        <v/>
      </c>
      <c r="R1791" s="18" t="str">
        <f>IF($K1791="","",IFERROR(VLOOKUP(--SUBSTITUTE(SUBSTITUTE(TRIM($K1791),"-","")," ",""),마스터시트!$A$2:$H$1946,7,FALSE),""))</f>
        <v/>
      </c>
    </row>
    <row r="1792" spans="13:18" x14ac:dyDescent="0.3">
      <c r="M1792" s="18" t="str">
        <f>IF($K1792="","",IFERROR(VLOOKUP(--SUBSTITUTE(SUBSTITUTE(TRIM($K1792),"-","")," ",""),마스터시트!$A$2:$H$1946,2,FALSE),"미등록"))</f>
        <v/>
      </c>
      <c r="N1792" s="53" t="str">
        <f>IF($K1792="","",IFERROR(VLOOKUP(--SUBSTITUTE(SUBSTITUTE(TRIM($K1792),"-","")," ",""),마스터시트!$A$2:$H$1946,3,FALSE),"미등록"))</f>
        <v/>
      </c>
      <c r="O1792" s="18" t="str">
        <f>IF($K1792="","",IFERROR(VLOOKUP(--SUBSTITUTE(SUBSTITUTE(TRIM($K1792),"-","")," ",""),마스터시트!$A$2:$H$1946,4,FALSE),""))</f>
        <v/>
      </c>
      <c r="P1792" s="18" t="str">
        <f>IF($K1792="","",IFERROR(VLOOKUP(--SUBSTITUTE(SUBSTITUTE(TRIM($K1792),"-","")," ",""),마스터시트!$A$2:$H$1946,5,FALSE),""))</f>
        <v/>
      </c>
      <c r="Q1792" s="18" t="str">
        <f>IF($K1792="","",IFERROR(VLOOKUP(--SUBSTITUTE(SUBSTITUTE(TRIM($K1792),"-","")," ",""),마스터시트!$A$2:$H$1946,6,FALSE),""))</f>
        <v/>
      </c>
      <c r="R1792" s="18" t="str">
        <f>IF($K1792="","",IFERROR(VLOOKUP(--SUBSTITUTE(SUBSTITUTE(TRIM($K1792),"-","")," ",""),마스터시트!$A$2:$H$1946,7,FALSE),""))</f>
        <v/>
      </c>
    </row>
    <row r="1793" spans="13:18" x14ac:dyDescent="0.3">
      <c r="M1793" s="18" t="str">
        <f>IF($K1793="","",IFERROR(VLOOKUP(--SUBSTITUTE(SUBSTITUTE(TRIM($K1793),"-","")," ",""),마스터시트!$A$2:$H$1946,2,FALSE),"미등록"))</f>
        <v/>
      </c>
      <c r="N1793" s="53" t="str">
        <f>IF($K1793="","",IFERROR(VLOOKUP(--SUBSTITUTE(SUBSTITUTE(TRIM($K1793),"-","")," ",""),마스터시트!$A$2:$H$1946,3,FALSE),"미등록"))</f>
        <v/>
      </c>
      <c r="O1793" s="18" t="str">
        <f>IF($K1793="","",IFERROR(VLOOKUP(--SUBSTITUTE(SUBSTITUTE(TRIM($K1793),"-","")," ",""),마스터시트!$A$2:$H$1946,4,FALSE),""))</f>
        <v/>
      </c>
      <c r="P1793" s="18" t="str">
        <f>IF($K1793="","",IFERROR(VLOOKUP(--SUBSTITUTE(SUBSTITUTE(TRIM($K1793),"-","")," ",""),마스터시트!$A$2:$H$1946,5,FALSE),""))</f>
        <v/>
      </c>
      <c r="Q1793" s="18" t="str">
        <f>IF($K1793="","",IFERROR(VLOOKUP(--SUBSTITUTE(SUBSTITUTE(TRIM($K1793),"-","")," ",""),마스터시트!$A$2:$H$1946,6,FALSE),""))</f>
        <v/>
      </c>
      <c r="R1793" s="18" t="str">
        <f>IF($K1793="","",IFERROR(VLOOKUP(--SUBSTITUTE(SUBSTITUTE(TRIM($K1793),"-","")," ",""),마스터시트!$A$2:$H$1946,7,FALSE),""))</f>
        <v/>
      </c>
    </row>
    <row r="1794" spans="13:18" x14ac:dyDescent="0.3">
      <c r="M1794" s="18" t="str">
        <f>IF($K1794="","",IFERROR(VLOOKUP(--SUBSTITUTE(SUBSTITUTE(TRIM($K1794),"-","")," ",""),마스터시트!$A$2:$H$1946,2,FALSE),"미등록"))</f>
        <v/>
      </c>
      <c r="N1794" s="53" t="str">
        <f>IF($K1794="","",IFERROR(VLOOKUP(--SUBSTITUTE(SUBSTITUTE(TRIM($K1794),"-","")," ",""),마스터시트!$A$2:$H$1946,3,FALSE),"미등록"))</f>
        <v/>
      </c>
      <c r="O1794" s="18" t="str">
        <f>IF($K1794="","",IFERROR(VLOOKUP(--SUBSTITUTE(SUBSTITUTE(TRIM($K1794),"-","")," ",""),마스터시트!$A$2:$H$1946,4,FALSE),""))</f>
        <v/>
      </c>
      <c r="P1794" s="18" t="str">
        <f>IF($K1794="","",IFERROR(VLOOKUP(--SUBSTITUTE(SUBSTITUTE(TRIM($K1794),"-","")," ",""),마스터시트!$A$2:$H$1946,5,FALSE),""))</f>
        <v/>
      </c>
      <c r="Q1794" s="18" t="str">
        <f>IF($K1794="","",IFERROR(VLOOKUP(--SUBSTITUTE(SUBSTITUTE(TRIM($K1794),"-","")," ",""),마스터시트!$A$2:$H$1946,6,FALSE),""))</f>
        <v/>
      </c>
      <c r="R1794" s="18" t="str">
        <f>IF($K1794="","",IFERROR(VLOOKUP(--SUBSTITUTE(SUBSTITUTE(TRIM($K1794),"-","")," ",""),마스터시트!$A$2:$H$1946,7,FALSE),""))</f>
        <v/>
      </c>
    </row>
    <row r="1795" spans="13:18" x14ac:dyDescent="0.3">
      <c r="M1795" s="18" t="str">
        <f>IF($K1795="","",IFERROR(VLOOKUP(--SUBSTITUTE(SUBSTITUTE(TRIM($K1795),"-","")," ",""),마스터시트!$A$2:$H$1946,2,FALSE),"미등록"))</f>
        <v/>
      </c>
      <c r="N1795" s="53" t="str">
        <f>IF($K1795="","",IFERROR(VLOOKUP(--SUBSTITUTE(SUBSTITUTE(TRIM($K1795),"-","")," ",""),마스터시트!$A$2:$H$1946,3,FALSE),"미등록"))</f>
        <v/>
      </c>
      <c r="O1795" s="18" t="str">
        <f>IF($K1795="","",IFERROR(VLOOKUP(--SUBSTITUTE(SUBSTITUTE(TRIM($K1795),"-","")," ",""),마스터시트!$A$2:$H$1946,4,FALSE),""))</f>
        <v/>
      </c>
      <c r="P1795" s="18" t="str">
        <f>IF($K1795="","",IFERROR(VLOOKUP(--SUBSTITUTE(SUBSTITUTE(TRIM($K1795),"-","")," ",""),마스터시트!$A$2:$H$1946,5,FALSE),""))</f>
        <v/>
      </c>
      <c r="Q1795" s="18" t="str">
        <f>IF($K1795="","",IFERROR(VLOOKUP(--SUBSTITUTE(SUBSTITUTE(TRIM($K1795),"-","")," ",""),마스터시트!$A$2:$H$1946,6,FALSE),""))</f>
        <v/>
      </c>
      <c r="R1795" s="18" t="str">
        <f>IF($K1795="","",IFERROR(VLOOKUP(--SUBSTITUTE(SUBSTITUTE(TRIM($K1795),"-","")," ",""),마스터시트!$A$2:$H$1946,7,FALSE),""))</f>
        <v/>
      </c>
    </row>
    <row r="1796" spans="13:18" x14ac:dyDescent="0.3">
      <c r="M1796" s="18" t="str">
        <f>IF($K1796="","",IFERROR(VLOOKUP(--SUBSTITUTE(SUBSTITUTE(TRIM($K1796),"-","")," ",""),마스터시트!$A$2:$H$1946,2,FALSE),"미등록"))</f>
        <v/>
      </c>
      <c r="N1796" s="53" t="str">
        <f>IF($K1796="","",IFERROR(VLOOKUP(--SUBSTITUTE(SUBSTITUTE(TRIM($K1796),"-","")," ",""),마스터시트!$A$2:$H$1946,3,FALSE),"미등록"))</f>
        <v/>
      </c>
      <c r="O1796" s="18" t="str">
        <f>IF($K1796="","",IFERROR(VLOOKUP(--SUBSTITUTE(SUBSTITUTE(TRIM($K1796),"-","")," ",""),마스터시트!$A$2:$H$1946,4,FALSE),""))</f>
        <v/>
      </c>
      <c r="P1796" s="18" t="str">
        <f>IF($K1796="","",IFERROR(VLOOKUP(--SUBSTITUTE(SUBSTITUTE(TRIM($K1796),"-","")," ",""),마스터시트!$A$2:$H$1946,5,FALSE),""))</f>
        <v/>
      </c>
      <c r="Q1796" s="18" t="str">
        <f>IF($K1796="","",IFERROR(VLOOKUP(--SUBSTITUTE(SUBSTITUTE(TRIM($K1796),"-","")," ",""),마스터시트!$A$2:$H$1946,6,FALSE),""))</f>
        <v/>
      </c>
      <c r="R1796" s="18" t="str">
        <f>IF($K1796="","",IFERROR(VLOOKUP(--SUBSTITUTE(SUBSTITUTE(TRIM($K1796),"-","")," ",""),마스터시트!$A$2:$H$1946,7,FALSE),""))</f>
        <v/>
      </c>
    </row>
    <row r="1797" spans="13:18" x14ac:dyDescent="0.3">
      <c r="M1797" s="18" t="str">
        <f>IF($K1797="","",IFERROR(VLOOKUP(--SUBSTITUTE(SUBSTITUTE(TRIM($K1797),"-","")," ",""),마스터시트!$A$2:$H$1946,2,FALSE),"미등록"))</f>
        <v/>
      </c>
      <c r="N1797" s="53" t="str">
        <f>IF($K1797="","",IFERROR(VLOOKUP(--SUBSTITUTE(SUBSTITUTE(TRIM($K1797),"-","")," ",""),마스터시트!$A$2:$H$1946,3,FALSE),"미등록"))</f>
        <v/>
      </c>
      <c r="O1797" s="18" t="str">
        <f>IF($K1797="","",IFERROR(VLOOKUP(--SUBSTITUTE(SUBSTITUTE(TRIM($K1797),"-","")," ",""),마스터시트!$A$2:$H$1946,4,FALSE),""))</f>
        <v/>
      </c>
      <c r="P1797" s="18" t="str">
        <f>IF($K1797="","",IFERROR(VLOOKUP(--SUBSTITUTE(SUBSTITUTE(TRIM($K1797),"-","")," ",""),마스터시트!$A$2:$H$1946,5,FALSE),""))</f>
        <v/>
      </c>
      <c r="Q1797" s="18" t="str">
        <f>IF($K1797="","",IFERROR(VLOOKUP(--SUBSTITUTE(SUBSTITUTE(TRIM($K1797),"-","")," ",""),마스터시트!$A$2:$H$1946,6,FALSE),""))</f>
        <v/>
      </c>
      <c r="R1797" s="18" t="str">
        <f>IF($K1797="","",IFERROR(VLOOKUP(--SUBSTITUTE(SUBSTITUTE(TRIM($K1797),"-","")," ",""),마스터시트!$A$2:$H$1946,7,FALSE),""))</f>
        <v/>
      </c>
    </row>
    <row r="1798" spans="13:18" x14ac:dyDescent="0.3">
      <c r="M1798" s="18" t="str">
        <f>IF($K1798="","",IFERROR(VLOOKUP(--SUBSTITUTE(SUBSTITUTE(TRIM($K1798),"-","")," ",""),마스터시트!$A$2:$H$1946,2,FALSE),"미등록"))</f>
        <v/>
      </c>
      <c r="N1798" s="53" t="str">
        <f>IF($K1798="","",IFERROR(VLOOKUP(--SUBSTITUTE(SUBSTITUTE(TRIM($K1798),"-","")," ",""),마스터시트!$A$2:$H$1946,3,FALSE),"미등록"))</f>
        <v/>
      </c>
      <c r="O1798" s="18" t="str">
        <f>IF($K1798="","",IFERROR(VLOOKUP(--SUBSTITUTE(SUBSTITUTE(TRIM($K1798),"-","")," ",""),마스터시트!$A$2:$H$1946,4,FALSE),""))</f>
        <v/>
      </c>
      <c r="P1798" s="18" t="str">
        <f>IF($K1798="","",IFERROR(VLOOKUP(--SUBSTITUTE(SUBSTITUTE(TRIM($K1798),"-","")," ",""),마스터시트!$A$2:$H$1946,5,FALSE),""))</f>
        <v/>
      </c>
      <c r="Q1798" s="18" t="str">
        <f>IF($K1798="","",IFERROR(VLOOKUP(--SUBSTITUTE(SUBSTITUTE(TRIM($K1798),"-","")," ",""),마스터시트!$A$2:$H$1946,6,FALSE),""))</f>
        <v/>
      </c>
      <c r="R1798" s="18" t="str">
        <f>IF($K1798="","",IFERROR(VLOOKUP(--SUBSTITUTE(SUBSTITUTE(TRIM($K1798),"-","")," ",""),마스터시트!$A$2:$H$1946,7,FALSE),""))</f>
        <v/>
      </c>
    </row>
    <row r="1799" spans="13:18" x14ac:dyDescent="0.3">
      <c r="M1799" s="18" t="str">
        <f>IF($K1799="","",IFERROR(VLOOKUP(--SUBSTITUTE(SUBSTITUTE(TRIM($K1799),"-","")," ",""),마스터시트!$A$2:$H$1946,2,FALSE),"미등록"))</f>
        <v/>
      </c>
      <c r="N1799" s="53" t="str">
        <f>IF($K1799="","",IFERROR(VLOOKUP(--SUBSTITUTE(SUBSTITUTE(TRIM($K1799),"-","")," ",""),마스터시트!$A$2:$H$1946,3,FALSE),"미등록"))</f>
        <v/>
      </c>
      <c r="O1799" s="18" t="str">
        <f>IF($K1799="","",IFERROR(VLOOKUP(--SUBSTITUTE(SUBSTITUTE(TRIM($K1799),"-","")," ",""),마스터시트!$A$2:$H$1946,4,FALSE),""))</f>
        <v/>
      </c>
      <c r="P1799" s="18" t="str">
        <f>IF($K1799="","",IFERROR(VLOOKUP(--SUBSTITUTE(SUBSTITUTE(TRIM($K1799),"-","")," ",""),마스터시트!$A$2:$H$1946,5,FALSE),""))</f>
        <v/>
      </c>
      <c r="Q1799" s="18" t="str">
        <f>IF($K1799="","",IFERROR(VLOOKUP(--SUBSTITUTE(SUBSTITUTE(TRIM($K1799),"-","")," ",""),마스터시트!$A$2:$H$1946,6,FALSE),""))</f>
        <v/>
      </c>
      <c r="R1799" s="18" t="str">
        <f>IF($K1799="","",IFERROR(VLOOKUP(--SUBSTITUTE(SUBSTITUTE(TRIM($K1799),"-","")," ",""),마스터시트!$A$2:$H$1946,7,FALSE),""))</f>
        <v/>
      </c>
    </row>
    <row r="1800" spans="13:18" x14ac:dyDescent="0.3">
      <c r="M1800" s="18" t="str">
        <f>IF($K1800="","",IFERROR(VLOOKUP(--SUBSTITUTE(SUBSTITUTE(TRIM($K1800),"-","")," ",""),마스터시트!$A$2:$H$1946,2,FALSE),"미등록"))</f>
        <v/>
      </c>
      <c r="N1800" s="53" t="str">
        <f>IF($K1800="","",IFERROR(VLOOKUP(--SUBSTITUTE(SUBSTITUTE(TRIM($K1800),"-","")," ",""),마스터시트!$A$2:$H$1946,3,FALSE),"미등록"))</f>
        <v/>
      </c>
      <c r="O1800" s="18" t="str">
        <f>IF($K1800="","",IFERROR(VLOOKUP(--SUBSTITUTE(SUBSTITUTE(TRIM($K1800),"-","")," ",""),마스터시트!$A$2:$H$1946,4,FALSE),""))</f>
        <v/>
      </c>
      <c r="P1800" s="18" t="str">
        <f>IF($K1800="","",IFERROR(VLOOKUP(--SUBSTITUTE(SUBSTITUTE(TRIM($K1800),"-","")," ",""),마스터시트!$A$2:$H$1946,5,FALSE),""))</f>
        <v/>
      </c>
      <c r="Q1800" s="18" t="str">
        <f>IF($K1800="","",IFERROR(VLOOKUP(--SUBSTITUTE(SUBSTITUTE(TRIM($K1800),"-","")," ",""),마스터시트!$A$2:$H$1946,6,FALSE),""))</f>
        <v/>
      </c>
      <c r="R1800" s="18" t="str">
        <f>IF($K1800="","",IFERROR(VLOOKUP(--SUBSTITUTE(SUBSTITUTE(TRIM($K1800),"-","")," ",""),마스터시트!$A$2:$H$1946,7,FALSE),""))</f>
        <v/>
      </c>
    </row>
    <row r="1801" spans="13:18" x14ac:dyDescent="0.3">
      <c r="M1801" s="18" t="str">
        <f>IF($K1801="","",IFERROR(VLOOKUP(--SUBSTITUTE(SUBSTITUTE(TRIM($K1801),"-","")," ",""),마스터시트!$A$2:$H$1946,2,FALSE),"미등록"))</f>
        <v/>
      </c>
      <c r="N1801" s="53" t="str">
        <f>IF($K1801="","",IFERROR(VLOOKUP(--SUBSTITUTE(SUBSTITUTE(TRIM($K1801),"-","")," ",""),마스터시트!$A$2:$H$1946,3,FALSE),"미등록"))</f>
        <v/>
      </c>
      <c r="O1801" s="18" t="str">
        <f>IF($K1801="","",IFERROR(VLOOKUP(--SUBSTITUTE(SUBSTITUTE(TRIM($K1801),"-","")," ",""),마스터시트!$A$2:$H$1946,4,FALSE),""))</f>
        <v/>
      </c>
      <c r="P1801" s="18" t="str">
        <f>IF($K1801="","",IFERROR(VLOOKUP(--SUBSTITUTE(SUBSTITUTE(TRIM($K1801),"-","")," ",""),마스터시트!$A$2:$H$1946,5,FALSE),""))</f>
        <v/>
      </c>
      <c r="Q1801" s="18" t="str">
        <f>IF($K1801="","",IFERROR(VLOOKUP(--SUBSTITUTE(SUBSTITUTE(TRIM($K1801),"-","")," ",""),마스터시트!$A$2:$H$1946,6,FALSE),""))</f>
        <v/>
      </c>
      <c r="R1801" s="18" t="str">
        <f>IF($K1801="","",IFERROR(VLOOKUP(--SUBSTITUTE(SUBSTITUTE(TRIM($K1801),"-","")," ",""),마스터시트!$A$2:$H$1946,7,FALSE),""))</f>
        <v/>
      </c>
    </row>
    <row r="1802" spans="13:18" x14ac:dyDescent="0.3">
      <c r="M1802" s="18" t="str">
        <f>IF($K1802="","",IFERROR(VLOOKUP(--SUBSTITUTE(SUBSTITUTE(TRIM($K1802),"-","")," ",""),마스터시트!$A$2:$H$1946,2,FALSE),"미등록"))</f>
        <v/>
      </c>
      <c r="N1802" s="53" t="str">
        <f>IF($K1802="","",IFERROR(VLOOKUP(--SUBSTITUTE(SUBSTITUTE(TRIM($K1802),"-","")," ",""),마스터시트!$A$2:$H$1946,3,FALSE),"미등록"))</f>
        <v/>
      </c>
      <c r="O1802" s="18" t="str">
        <f>IF($K1802="","",IFERROR(VLOOKUP(--SUBSTITUTE(SUBSTITUTE(TRIM($K1802),"-","")," ",""),마스터시트!$A$2:$H$1946,4,FALSE),""))</f>
        <v/>
      </c>
      <c r="P1802" s="18" t="str">
        <f>IF($K1802="","",IFERROR(VLOOKUP(--SUBSTITUTE(SUBSTITUTE(TRIM($K1802),"-","")," ",""),마스터시트!$A$2:$H$1946,5,FALSE),""))</f>
        <v/>
      </c>
      <c r="Q1802" s="18" t="str">
        <f>IF($K1802="","",IFERROR(VLOOKUP(--SUBSTITUTE(SUBSTITUTE(TRIM($K1802),"-","")," ",""),마스터시트!$A$2:$H$1946,6,FALSE),""))</f>
        <v/>
      </c>
      <c r="R1802" s="18" t="str">
        <f>IF($K1802="","",IFERROR(VLOOKUP(--SUBSTITUTE(SUBSTITUTE(TRIM($K1802),"-","")," ",""),마스터시트!$A$2:$H$1946,7,FALSE),""))</f>
        <v/>
      </c>
    </row>
    <row r="1803" spans="13:18" x14ac:dyDescent="0.3">
      <c r="M1803" s="18" t="str">
        <f>IF($K1803="","",IFERROR(VLOOKUP(--SUBSTITUTE(SUBSTITUTE(TRIM($K1803),"-","")," ",""),마스터시트!$A$2:$H$1946,2,FALSE),"미등록"))</f>
        <v/>
      </c>
      <c r="N1803" s="53" t="str">
        <f>IF($K1803="","",IFERROR(VLOOKUP(--SUBSTITUTE(SUBSTITUTE(TRIM($K1803),"-","")," ",""),마스터시트!$A$2:$H$1946,3,FALSE),"미등록"))</f>
        <v/>
      </c>
      <c r="O1803" s="18" t="str">
        <f>IF($K1803="","",IFERROR(VLOOKUP(--SUBSTITUTE(SUBSTITUTE(TRIM($K1803),"-","")," ",""),마스터시트!$A$2:$H$1946,4,FALSE),""))</f>
        <v/>
      </c>
      <c r="P1803" s="18" t="str">
        <f>IF($K1803="","",IFERROR(VLOOKUP(--SUBSTITUTE(SUBSTITUTE(TRIM($K1803),"-","")," ",""),마스터시트!$A$2:$H$1946,5,FALSE),""))</f>
        <v/>
      </c>
      <c r="Q1803" s="18" t="str">
        <f>IF($K1803="","",IFERROR(VLOOKUP(--SUBSTITUTE(SUBSTITUTE(TRIM($K1803),"-","")," ",""),마스터시트!$A$2:$H$1946,6,FALSE),""))</f>
        <v/>
      </c>
      <c r="R1803" s="18" t="str">
        <f>IF($K1803="","",IFERROR(VLOOKUP(--SUBSTITUTE(SUBSTITUTE(TRIM($K1803),"-","")," ",""),마스터시트!$A$2:$H$1946,7,FALSE),""))</f>
        <v/>
      </c>
    </row>
    <row r="1804" spans="13:18" x14ac:dyDescent="0.3">
      <c r="M1804" s="18" t="str">
        <f>IF($K1804="","",IFERROR(VLOOKUP(--SUBSTITUTE(SUBSTITUTE(TRIM($K1804),"-","")," ",""),마스터시트!$A$2:$H$1946,2,FALSE),"미등록"))</f>
        <v/>
      </c>
      <c r="N1804" s="53" t="str">
        <f>IF($K1804="","",IFERROR(VLOOKUP(--SUBSTITUTE(SUBSTITUTE(TRIM($K1804),"-","")," ",""),마스터시트!$A$2:$H$1946,3,FALSE),"미등록"))</f>
        <v/>
      </c>
      <c r="O1804" s="18" t="str">
        <f>IF($K1804="","",IFERROR(VLOOKUP(--SUBSTITUTE(SUBSTITUTE(TRIM($K1804),"-","")," ",""),마스터시트!$A$2:$H$1946,4,FALSE),""))</f>
        <v/>
      </c>
      <c r="P1804" s="18" t="str">
        <f>IF($K1804="","",IFERROR(VLOOKUP(--SUBSTITUTE(SUBSTITUTE(TRIM($K1804),"-","")," ",""),마스터시트!$A$2:$H$1946,5,FALSE),""))</f>
        <v/>
      </c>
      <c r="Q1804" s="18" t="str">
        <f>IF($K1804="","",IFERROR(VLOOKUP(--SUBSTITUTE(SUBSTITUTE(TRIM($K1804),"-","")," ",""),마스터시트!$A$2:$H$1946,6,FALSE),""))</f>
        <v/>
      </c>
      <c r="R1804" s="18" t="str">
        <f>IF($K1804="","",IFERROR(VLOOKUP(--SUBSTITUTE(SUBSTITUTE(TRIM($K1804),"-","")," ",""),마스터시트!$A$2:$H$1946,7,FALSE),""))</f>
        <v/>
      </c>
    </row>
    <row r="1805" spans="13:18" x14ac:dyDescent="0.3">
      <c r="M1805" s="18" t="str">
        <f>IF($K1805="","",IFERROR(VLOOKUP(--SUBSTITUTE(SUBSTITUTE(TRIM($K1805),"-","")," ",""),마스터시트!$A$2:$H$1946,2,FALSE),"미등록"))</f>
        <v/>
      </c>
      <c r="N1805" s="53" t="str">
        <f>IF($K1805="","",IFERROR(VLOOKUP(--SUBSTITUTE(SUBSTITUTE(TRIM($K1805),"-","")," ",""),마스터시트!$A$2:$H$1946,3,FALSE),"미등록"))</f>
        <v/>
      </c>
      <c r="O1805" s="18" t="str">
        <f>IF($K1805="","",IFERROR(VLOOKUP(--SUBSTITUTE(SUBSTITUTE(TRIM($K1805),"-","")," ",""),마스터시트!$A$2:$H$1946,4,FALSE),""))</f>
        <v/>
      </c>
      <c r="P1805" s="18" t="str">
        <f>IF($K1805="","",IFERROR(VLOOKUP(--SUBSTITUTE(SUBSTITUTE(TRIM($K1805),"-","")," ",""),마스터시트!$A$2:$H$1946,5,FALSE),""))</f>
        <v/>
      </c>
      <c r="Q1805" s="18" t="str">
        <f>IF($K1805="","",IFERROR(VLOOKUP(--SUBSTITUTE(SUBSTITUTE(TRIM($K1805),"-","")," ",""),마스터시트!$A$2:$H$1946,6,FALSE),""))</f>
        <v/>
      </c>
      <c r="R1805" s="18" t="str">
        <f>IF($K1805="","",IFERROR(VLOOKUP(--SUBSTITUTE(SUBSTITUTE(TRIM($K1805),"-","")," ",""),마스터시트!$A$2:$H$1946,7,FALSE),""))</f>
        <v/>
      </c>
    </row>
    <row r="1806" spans="13:18" x14ac:dyDescent="0.3">
      <c r="M1806" s="18" t="str">
        <f>IF($K1806="","",IFERROR(VLOOKUP(--SUBSTITUTE(SUBSTITUTE(TRIM($K1806),"-","")," ",""),마스터시트!$A$2:$H$1946,2,FALSE),"미등록"))</f>
        <v/>
      </c>
      <c r="N1806" s="53" t="str">
        <f>IF($K1806="","",IFERROR(VLOOKUP(--SUBSTITUTE(SUBSTITUTE(TRIM($K1806),"-","")," ",""),마스터시트!$A$2:$H$1946,3,FALSE),"미등록"))</f>
        <v/>
      </c>
      <c r="O1806" s="18" t="str">
        <f>IF($K1806="","",IFERROR(VLOOKUP(--SUBSTITUTE(SUBSTITUTE(TRIM($K1806),"-","")," ",""),마스터시트!$A$2:$H$1946,4,FALSE),""))</f>
        <v/>
      </c>
      <c r="P1806" s="18" t="str">
        <f>IF($K1806="","",IFERROR(VLOOKUP(--SUBSTITUTE(SUBSTITUTE(TRIM($K1806),"-","")," ",""),마스터시트!$A$2:$H$1946,5,FALSE),""))</f>
        <v/>
      </c>
      <c r="Q1806" s="18" t="str">
        <f>IF($K1806="","",IFERROR(VLOOKUP(--SUBSTITUTE(SUBSTITUTE(TRIM($K1806),"-","")," ",""),마스터시트!$A$2:$H$1946,6,FALSE),""))</f>
        <v/>
      </c>
      <c r="R1806" s="18" t="str">
        <f>IF($K1806="","",IFERROR(VLOOKUP(--SUBSTITUTE(SUBSTITUTE(TRIM($K1806),"-","")," ",""),마스터시트!$A$2:$H$1946,7,FALSE),""))</f>
        <v/>
      </c>
    </row>
    <row r="1807" spans="13:18" x14ac:dyDescent="0.3">
      <c r="M1807" s="18" t="str">
        <f>IF($K1807="","",IFERROR(VLOOKUP(--SUBSTITUTE(SUBSTITUTE(TRIM($K1807),"-","")," ",""),마스터시트!$A$2:$H$1946,2,FALSE),"미등록"))</f>
        <v/>
      </c>
      <c r="N1807" s="53" t="str">
        <f>IF($K1807="","",IFERROR(VLOOKUP(--SUBSTITUTE(SUBSTITUTE(TRIM($K1807),"-","")," ",""),마스터시트!$A$2:$H$1946,3,FALSE),"미등록"))</f>
        <v/>
      </c>
      <c r="O1807" s="18" t="str">
        <f>IF($K1807="","",IFERROR(VLOOKUP(--SUBSTITUTE(SUBSTITUTE(TRIM($K1807),"-","")," ",""),마스터시트!$A$2:$H$1946,4,FALSE),""))</f>
        <v/>
      </c>
      <c r="P1807" s="18" t="str">
        <f>IF($K1807="","",IFERROR(VLOOKUP(--SUBSTITUTE(SUBSTITUTE(TRIM($K1807),"-","")," ",""),마스터시트!$A$2:$H$1946,5,FALSE),""))</f>
        <v/>
      </c>
      <c r="Q1807" s="18" t="str">
        <f>IF($K1807="","",IFERROR(VLOOKUP(--SUBSTITUTE(SUBSTITUTE(TRIM($K1807),"-","")," ",""),마스터시트!$A$2:$H$1946,6,FALSE),""))</f>
        <v/>
      </c>
      <c r="R1807" s="18" t="str">
        <f>IF($K1807="","",IFERROR(VLOOKUP(--SUBSTITUTE(SUBSTITUTE(TRIM($K1807),"-","")," ",""),마스터시트!$A$2:$H$1946,7,FALSE),""))</f>
        <v/>
      </c>
    </row>
    <row r="1808" spans="13:18" x14ac:dyDescent="0.3">
      <c r="M1808" s="18" t="str">
        <f>IF($K1808="","",IFERROR(VLOOKUP(--SUBSTITUTE(SUBSTITUTE(TRIM($K1808),"-","")," ",""),마스터시트!$A$2:$H$1946,2,FALSE),"미등록"))</f>
        <v/>
      </c>
      <c r="N1808" s="53" t="str">
        <f>IF($K1808="","",IFERROR(VLOOKUP(--SUBSTITUTE(SUBSTITUTE(TRIM($K1808),"-","")," ",""),마스터시트!$A$2:$H$1946,3,FALSE),"미등록"))</f>
        <v/>
      </c>
      <c r="O1808" s="18" t="str">
        <f>IF($K1808="","",IFERROR(VLOOKUP(--SUBSTITUTE(SUBSTITUTE(TRIM($K1808),"-","")," ",""),마스터시트!$A$2:$H$1946,4,FALSE),""))</f>
        <v/>
      </c>
      <c r="P1808" s="18" t="str">
        <f>IF($K1808="","",IFERROR(VLOOKUP(--SUBSTITUTE(SUBSTITUTE(TRIM($K1808),"-","")," ",""),마스터시트!$A$2:$H$1946,5,FALSE),""))</f>
        <v/>
      </c>
      <c r="Q1808" s="18" t="str">
        <f>IF($K1808="","",IFERROR(VLOOKUP(--SUBSTITUTE(SUBSTITUTE(TRIM($K1808),"-","")," ",""),마스터시트!$A$2:$H$1946,6,FALSE),""))</f>
        <v/>
      </c>
      <c r="R1808" s="18" t="str">
        <f>IF($K1808="","",IFERROR(VLOOKUP(--SUBSTITUTE(SUBSTITUTE(TRIM($K1808),"-","")," ",""),마스터시트!$A$2:$H$1946,7,FALSE),""))</f>
        <v/>
      </c>
    </row>
    <row r="1809" spans="13:18" x14ac:dyDescent="0.3">
      <c r="M1809" s="18" t="str">
        <f>IF($K1809="","",IFERROR(VLOOKUP(--SUBSTITUTE(SUBSTITUTE(TRIM($K1809),"-","")," ",""),마스터시트!$A$2:$H$1946,2,FALSE),"미등록"))</f>
        <v/>
      </c>
      <c r="N1809" s="53" t="str">
        <f>IF($K1809="","",IFERROR(VLOOKUP(--SUBSTITUTE(SUBSTITUTE(TRIM($K1809),"-","")," ",""),마스터시트!$A$2:$H$1946,3,FALSE),"미등록"))</f>
        <v/>
      </c>
      <c r="O1809" s="18" t="str">
        <f>IF($K1809="","",IFERROR(VLOOKUP(--SUBSTITUTE(SUBSTITUTE(TRIM($K1809),"-","")," ",""),마스터시트!$A$2:$H$1946,4,FALSE),""))</f>
        <v/>
      </c>
      <c r="P1809" s="18" t="str">
        <f>IF($K1809="","",IFERROR(VLOOKUP(--SUBSTITUTE(SUBSTITUTE(TRIM($K1809),"-","")," ",""),마스터시트!$A$2:$H$1946,5,FALSE),""))</f>
        <v/>
      </c>
      <c r="Q1809" s="18" t="str">
        <f>IF($K1809="","",IFERROR(VLOOKUP(--SUBSTITUTE(SUBSTITUTE(TRIM($K1809),"-","")," ",""),마스터시트!$A$2:$H$1946,6,FALSE),""))</f>
        <v/>
      </c>
      <c r="R1809" s="18" t="str">
        <f>IF($K1809="","",IFERROR(VLOOKUP(--SUBSTITUTE(SUBSTITUTE(TRIM($K1809),"-","")," ",""),마스터시트!$A$2:$H$1946,7,FALSE),""))</f>
        <v/>
      </c>
    </row>
    <row r="1810" spans="13:18" x14ac:dyDescent="0.3">
      <c r="M1810" s="18" t="str">
        <f>IF($K1810="","",IFERROR(VLOOKUP(--SUBSTITUTE(SUBSTITUTE(TRIM($K1810),"-","")," ",""),마스터시트!$A$2:$H$1946,2,FALSE),"미등록"))</f>
        <v/>
      </c>
      <c r="N1810" s="53" t="str">
        <f>IF($K1810="","",IFERROR(VLOOKUP(--SUBSTITUTE(SUBSTITUTE(TRIM($K1810),"-","")," ",""),마스터시트!$A$2:$H$1946,3,FALSE),"미등록"))</f>
        <v/>
      </c>
      <c r="O1810" s="18" t="str">
        <f>IF($K1810="","",IFERROR(VLOOKUP(--SUBSTITUTE(SUBSTITUTE(TRIM($K1810),"-","")," ",""),마스터시트!$A$2:$H$1946,4,FALSE),""))</f>
        <v/>
      </c>
      <c r="P1810" s="18" t="str">
        <f>IF($K1810="","",IFERROR(VLOOKUP(--SUBSTITUTE(SUBSTITUTE(TRIM($K1810),"-","")," ",""),마스터시트!$A$2:$H$1946,5,FALSE),""))</f>
        <v/>
      </c>
      <c r="Q1810" s="18" t="str">
        <f>IF($K1810="","",IFERROR(VLOOKUP(--SUBSTITUTE(SUBSTITUTE(TRIM($K1810),"-","")," ",""),마스터시트!$A$2:$H$1946,6,FALSE),""))</f>
        <v/>
      </c>
      <c r="R1810" s="18" t="str">
        <f>IF($K1810="","",IFERROR(VLOOKUP(--SUBSTITUTE(SUBSTITUTE(TRIM($K1810),"-","")," ",""),마스터시트!$A$2:$H$1946,7,FALSE),""))</f>
        <v/>
      </c>
    </row>
    <row r="1811" spans="13:18" x14ac:dyDescent="0.3">
      <c r="M1811" s="18" t="str">
        <f>IF($K1811="","",IFERROR(VLOOKUP(--SUBSTITUTE(SUBSTITUTE(TRIM($K1811),"-","")," ",""),마스터시트!$A$2:$H$1946,2,FALSE),"미등록"))</f>
        <v/>
      </c>
      <c r="N1811" s="53" t="str">
        <f>IF($K1811="","",IFERROR(VLOOKUP(--SUBSTITUTE(SUBSTITUTE(TRIM($K1811),"-","")," ",""),마스터시트!$A$2:$H$1946,3,FALSE),"미등록"))</f>
        <v/>
      </c>
      <c r="O1811" s="18" t="str">
        <f>IF($K1811="","",IFERROR(VLOOKUP(--SUBSTITUTE(SUBSTITUTE(TRIM($K1811),"-","")," ",""),마스터시트!$A$2:$H$1946,4,FALSE),""))</f>
        <v/>
      </c>
      <c r="P1811" s="18" t="str">
        <f>IF($K1811="","",IFERROR(VLOOKUP(--SUBSTITUTE(SUBSTITUTE(TRIM($K1811),"-","")," ",""),마스터시트!$A$2:$H$1946,5,FALSE),""))</f>
        <v/>
      </c>
      <c r="Q1811" s="18" t="str">
        <f>IF($K1811="","",IFERROR(VLOOKUP(--SUBSTITUTE(SUBSTITUTE(TRIM($K1811),"-","")," ",""),마스터시트!$A$2:$H$1946,6,FALSE),""))</f>
        <v/>
      </c>
      <c r="R1811" s="18" t="str">
        <f>IF($K1811="","",IFERROR(VLOOKUP(--SUBSTITUTE(SUBSTITUTE(TRIM($K1811),"-","")," ",""),마스터시트!$A$2:$H$1946,7,FALSE),""))</f>
        <v/>
      </c>
    </row>
    <row r="1812" spans="13:18" x14ac:dyDescent="0.3">
      <c r="M1812" s="18" t="str">
        <f>IF($K1812="","",IFERROR(VLOOKUP(--SUBSTITUTE(SUBSTITUTE(TRIM($K1812),"-","")," ",""),마스터시트!$A$2:$H$1946,2,FALSE),"미등록"))</f>
        <v/>
      </c>
      <c r="N1812" s="53" t="str">
        <f>IF($K1812="","",IFERROR(VLOOKUP(--SUBSTITUTE(SUBSTITUTE(TRIM($K1812),"-","")," ",""),마스터시트!$A$2:$H$1946,3,FALSE),"미등록"))</f>
        <v/>
      </c>
      <c r="O1812" s="18" t="str">
        <f>IF($K1812="","",IFERROR(VLOOKUP(--SUBSTITUTE(SUBSTITUTE(TRIM($K1812),"-","")," ",""),마스터시트!$A$2:$H$1946,4,FALSE),""))</f>
        <v/>
      </c>
      <c r="P1812" s="18" t="str">
        <f>IF($K1812="","",IFERROR(VLOOKUP(--SUBSTITUTE(SUBSTITUTE(TRIM($K1812),"-","")," ",""),마스터시트!$A$2:$H$1946,5,FALSE),""))</f>
        <v/>
      </c>
      <c r="Q1812" s="18" t="str">
        <f>IF($K1812="","",IFERROR(VLOOKUP(--SUBSTITUTE(SUBSTITUTE(TRIM($K1812),"-","")," ",""),마스터시트!$A$2:$H$1946,6,FALSE),""))</f>
        <v/>
      </c>
      <c r="R1812" s="18" t="str">
        <f>IF($K1812="","",IFERROR(VLOOKUP(--SUBSTITUTE(SUBSTITUTE(TRIM($K1812),"-","")," ",""),마스터시트!$A$2:$H$1946,7,FALSE),""))</f>
        <v/>
      </c>
    </row>
    <row r="1813" spans="13:18" x14ac:dyDescent="0.3">
      <c r="M1813" s="18" t="str">
        <f>IF($K1813="","",IFERROR(VLOOKUP(--SUBSTITUTE(SUBSTITUTE(TRIM($K1813),"-","")," ",""),마스터시트!$A$2:$H$1946,2,FALSE),"미등록"))</f>
        <v/>
      </c>
      <c r="N1813" s="53" t="str">
        <f>IF($K1813="","",IFERROR(VLOOKUP(--SUBSTITUTE(SUBSTITUTE(TRIM($K1813),"-","")," ",""),마스터시트!$A$2:$H$1946,3,FALSE),"미등록"))</f>
        <v/>
      </c>
      <c r="O1813" s="18" t="str">
        <f>IF($K1813="","",IFERROR(VLOOKUP(--SUBSTITUTE(SUBSTITUTE(TRIM($K1813),"-","")," ",""),마스터시트!$A$2:$H$1946,4,FALSE),""))</f>
        <v/>
      </c>
      <c r="P1813" s="18" t="str">
        <f>IF($K1813="","",IFERROR(VLOOKUP(--SUBSTITUTE(SUBSTITUTE(TRIM($K1813),"-","")," ",""),마스터시트!$A$2:$H$1946,5,FALSE),""))</f>
        <v/>
      </c>
      <c r="Q1813" s="18" t="str">
        <f>IF($K1813="","",IFERROR(VLOOKUP(--SUBSTITUTE(SUBSTITUTE(TRIM($K1813),"-","")," ",""),마스터시트!$A$2:$H$1946,6,FALSE),""))</f>
        <v/>
      </c>
      <c r="R1813" s="18" t="str">
        <f>IF($K1813="","",IFERROR(VLOOKUP(--SUBSTITUTE(SUBSTITUTE(TRIM($K1813),"-","")," ",""),마스터시트!$A$2:$H$1946,7,FALSE),""))</f>
        <v/>
      </c>
    </row>
    <row r="1814" spans="13:18" x14ac:dyDescent="0.3">
      <c r="M1814" s="18" t="str">
        <f>IF($K1814="","",IFERROR(VLOOKUP(--SUBSTITUTE(SUBSTITUTE(TRIM($K1814),"-","")," ",""),마스터시트!$A$2:$H$1946,2,FALSE),"미등록"))</f>
        <v/>
      </c>
      <c r="N1814" s="53" t="str">
        <f>IF($K1814="","",IFERROR(VLOOKUP(--SUBSTITUTE(SUBSTITUTE(TRIM($K1814),"-","")," ",""),마스터시트!$A$2:$H$1946,3,FALSE),"미등록"))</f>
        <v/>
      </c>
      <c r="O1814" s="18" t="str">
        <f>IF($K1814="","",IFERROR(VLOOKUP(--SUBSTITUTE(SUBSTITUTE(TRIM($K1814),"-","")," ",""),마스터시트!$A$2:$H$1946,4,FALSE),""))</f>
        <v/>
      </c>
      <c r="P1814" s="18" t="str">
        <f>IF($K1814="","",IFERROR(VLOOKUP(--SUBSTITUTE(SUBSTITUTE(TRIM($K1814),"-","")," ",""),마스터시트!$A$2:$H$1946,5,FALSE),""))</f>
        <v/>
      </c>
      <c r="Q1814" s="18" t="str">
        <f>IF($K1814="","",IFERROR(VLOOKUP(--SUBSTITUTE(SUBSTITUTE(TRIM($K1814),"-","")," ",""),마스터시트!$A$2:$H$1946,6,FALSE),""))</f>
        <v/>
      </c>
      <c r="R1814" s="18" t="str">
        <f>IF($K1814="","",IFERROR(VLOOKUP(--SUBSTITUTE(SUBSTITUTE(TRIM($K1814),"-","")," ",""),마스터시트!$A$2:$H$1946,7,FALSE),""))</f>
        <v/>
      </c>
    </row>
    <row r="1815" spans="13:18" x14ac:dyDescent="0.3">
      <c r="M1815" s="18" t="str">
        <f>IF($K1815="","",IFERROR(VLOOKUP(--SUBSTITUTE(SUBSTITUTE(TRIM($K1815),"-","")," ",""),마스터시트!$A$2:$H$1946,2,FALSE),"미등록"))</f>
        <v/>
      </c>
      <c r="N1815" s="53" t="str">
        <f>IF($K1815="","",IFERROR(VLOOKUP(--SUBSTITUTE(SUBSTITUTE(TRIM($K1815),"-","")," ",""),마스터시트!$A$2:$H$1946,3,FALSE),"미등록"))</f>
        <v/>
      </c>
      <c r="O1815" s="18" t="str">
        <f>IF($K1815="","",IFERROR(VLOOKUP(--SUBSTITUTE(SUBSTITUTE(TRIM($K1815),"-","")," ",""),마스터시트!$A$2:$H$1946,4,FALSE),""))</f>
        <v/>
      </c>
      <c r="P1815" s="18" t="str">
        <f>IF($K1815="","",IFERROR(VLOOKUP(--SUBSTITUTE(SUBSTITUTE(TRIM($K1815),"-","")," ",""),마스터시트!$A$2:$H$1946,5,FALSE),""))</f>
        <v/>
      </c>
      <c r="Q1815" s="18" t="str">
        <f>IF($K1815="","",IFERROR(VLOOKUP(--SUBSTITUTE(SUBSTITUTE(TRIM($K1815),"-","")," ",""),마스터시트!$A$2:$H$1946,6,FALSE),""))</f>
        <v/>
      </c>
      <c r="R1815" s="18" t="str">
        <f>IF($K1815="","",IFERROR(VLOOKUP(--SUBSTITUTE(SUBSTITUTE(TRIM($K1815),"-","")," ",""),마스터시트!$A$2:$H$1946,7,FALSE),""))</f>
        <v/>
      </c>
    </row>
    <row r="1816" spans="13:18" x14ac:dyDescent="0.3">
      <c r="M1816" s="18" t="str">
        <f>IF($K1816="","",IFERROR(VLOOKUP(--SUBSTITUTE(SUBSTITUTE(TRIM($K1816),"-","")," ",""),마스터시트!$A$2:$H$1946,2,FALSE),"미등록"))</f>
        <v/>
      </c>
      <c r="N1816" s="53" t="str">
        <f>IF($K1816="","",IFERROR(VLOOKUP(--SUBSTITUTE(SUBSTITUTE(TRIM($K1816),"-","")," ",""),마스터시트!$A$2:$H$1946,3,FALSE),"미등록"))</f>
        <v/>
      </c>
      <c r="O1816" s="18" t="str">
        <f>IF($K1816="","",IFERROR(VLOOKUP(--SUBSTITUTE(SUBSTITUTE(TRIM($K1816),"-","")," ",""),마스터시트!$A$2:$H$1946,4,FALSE),""))</f>
        <v/>
      </c>
      <c r="P1816" s="18" t="str">
        <f>IF($K1816="","",IFERROR(VLOOKUP(--SUBSTITUTE(SUBSTITUTE(TRIM($K1816),"-","")," ",""),마스터시트!$A$2:$H$1946,5,FALSE),""))</f>
        <v/>
      </c>
      <c r="Q1816" s="18" t="str">
        <f>IF($K1816="","",IFERROR(VLOOKUP(--SUBSTITUTE(SUBSTITUTE(TRIM($K1816),"-","")," ",""),마스터시트!$A$2:$H$1946,6,FALSE),""))</f>
        <v/>
      </c>
      <c r="R1816" s="18" t="str">
        <f>IF($K1816="","",IFERROR(VLOOKUP(--SUBSTITUTE(SUBSTITUTE(TRIM($K1816),"-","")," ",""),마스터시트!$A$2:$H$1946,7,FALSE),""))</f>
        <v/>
      </c>
    </row>
    <row r="1817" spans="13:18" x14ac:dyDescent="0.3">
      <c r="M1817" s="18" t="str">
        <f>IF($K1817="","",IFERROR(VLOOKUP(--SUBSTITUTE(SUBSTITUTE(TRIM($K1817),"-","")," ",""),마스터시트!$A$2:$H$1946,2,FALSE),"미등록"))</f>
        <v/>
      </c>
      <c r="N1817" s="53" t="str">
        <f>IF($K1817="","",IFERROR(VLOOKUP(--SUBSTITUTE(SUBSTITUTE(TRIM($K1817),"-","")," ",""),마스터시트!$A$2:$H$1946,3,FALSE),"미등록"))</f>
        <v/>
      </c>
      <c r="O1817" s="18" t="str">
        <f>IF($K1817="","",IFERROR(VLOOKUP(--SUBSTITUTE(SUBSTITUTE(TRIM($K1817),"-","")," ",""),마스터시트!$A$2:$H$1946,4,FALSE),""))</f>
        <v/>
      </c>
      <c r="P1817" s="18" t="str">
        <f>IF($K1817="","",IFERROR(VLOOKUP(--SUBSTITUTE(SUBSTITUTE(TRIM($K1817),"-","")," ",""),마스터시트!$A$2:$H$1946,5,FALSE),""))</f>
        <v/>
      </c>
      <c r="Q1817" s="18" t="str">
        <f>IF($K1817="","",IFERROR(VLOOKUP(--SUBSTITUTE(SUBSTITUTE(TRIM($K1817),"-","")," ",""),마스터시트!$A$2:$H$1946,6,FALSE),""))</f>
        <v/>
      </c>
      <c r="R1817" s="18" t="str">
        <f>IF($K1817="","",IFERROR(VLOOKUP(--SUBSTITUTE(SUBSTITUTE(TRIM($K1817),"-","")," ",""),마스터시트!$A$2:$H$1946,7,FALSE),""))</f>
        <v/>
      </c>
    </row>
    <row r="1818" spans="13:18" x14ac:dyDescent="0.3">
      <c r="M1818" s="18" t="str">
        <f>IF($K1818="","",IFERROR(VLOOKUP(--SUBSTITUTE(SUBSTITUTE(TRIM($K1818),"-","")," ",""),마스터시트!$A$2:$H$1946,2,FALSE),"미등록"))</f>
        <v/>
      </c>
      <c r="N1818" s="53" t="str">
        <f>IF($K1818="","",IFERROR(VLOOKUP(--SUBSTITUTE(SUBSTITUTE(TRIM($K1818),"-","")," ",""),마스터시트!$A$2:$H$1946,3,FALSE),"미등록"))</f>
        <v/>
      </c>
      <c r="O1818" s="18" t="str">
        <f>IF($K1818="","",IFERROR(VLOOKUP(--SUBSTITUTE(SUBSTITUTE(TRIM($K1818),"-","")," ",""),마스터시트!$A$2:$H$1946,4,FALSE),""))</f>
        <v/>
      </c>
      <c r="P1818" s="18" t="str">
        <f>IF($K1818="","",IFERROR(VLOOKUP(--SUBSTITUTE(SUBSTITUTE(TRIM($K1818),"-","")," ",""),마스터시트!$A$2:$H$1946,5,FALSE),""))</f>
        <v/>
      </c>
      <c r="Q1818" s="18" t="str">
        <f>IF($K1818="","",IFERROR(VLOOKUP(--SUBSTITUTE(SUBSTITUTE(TRIM($K1818),"-","")," ",""),마스터시트!$A$2:$H$1946,6,FALSE),""))</f>
        <v/>
      </c>
      <c r="R1818" s="18" t="str">
        <f>IF($K1818="","",IFERROR(VLOOKUP(--SUBSTITUTE(SUBSTITUTE(TRIM($K1818),"-","")," ",""),마스터시트!$A$2:$H$1946,7,FALSE),""))</f>
        <v/>
      </c>
    </row>
    <row r="1819" spans="13:18" x14ac:dyDescent="0.3">
      <c r="M1819" s="18" t="str">
        <f>IF($K1819="","",IFERROR(VLOOKUP(--SUBSTITUTE(SUBSTITUTE(TRIM($K1819),"-","")," ",""),마스터시트!$A$2:$H$1946,2,FALSE),"미등록"))</f>
        <v/>
      </c>
      <c r="N1819" s="53" t="str">
        <f>IF($K1819="","",IFERROR(VLOOKUP(--SUBSTITUTE(SUBSTITUTE(TRIM($K1819),"-","")," ",""),마스터시트!$A$2:$H$1946,3,FALSE),"미등록"))</f>
        <v/>
      </c>
      <c r="O1819" s="18" t="str">
        <f>IF($K1819="","",IFERROR(VLOOKUP(--SUBSTITUTE(SUBSTITUTE(TRIM($K1819),"-","")," ",""),마스터시트!$A$2:$H$1946,4,FALSE),""))</f>
        <v/>
      </c>
      <c r="P1819" s="18" t="str">
        <f>IF($K1819="","",IFERROR(VLOOKUP(--SUBSTITUTE(SUBSTITUTE(TRIM($K1819),"-","")," ",""),마스터시트!$A$2:$H$1946,5,FALSE),""))</f>
        <v/>
      </c>
      <c r="Q1819" s="18" t="str">
        <f>IF($K1819="","",IFERROR(VLOOKUP(--SUBSTITUTE(SUBSTITUTE(TRIM($K1819),"-","")," ",""),마스터시트!$A$2:$H$1946,6,FALSE),""))</f>
        <v/>
      </c>
      <c r="R1819" s="18" t="str">
        <f>IF($K1819="","",IFERROR(VLOOKUP(--SUBSTITUTE(SUBSTITUTE(TRIM($K1819),"-","")," ",""),마스터시트!$A$2:$H$1946,7,FALSE),""))</f>
        <v/>
      </c>
    </row>
    <row r="1820" spans="13:18" x14ac:dyDescent="0.3">
      <c r="M1820" s="18" t="str">
        <f>IF($K1820="","",IFERROR(VLOOKUP(--SUBSTITUTE(SUBSTITUTE(TRIM($K1820),"-","")," ",""),마스터시트!$A$2:$H$1946,2,FALSE),"미등록"))</f>
        <v/>
      </c>
      <c r="N1820" s="53" t="str">
        <f>IF($K1820="","",IFERROR(VLOOKUP(--SUBSTITUTE(SUBSTITUTE(TRIM($K1820),"-","")," ",""),마스터시트!$A$2:$H$1946,3,FALSE),"미등록"))</f>
        <v/>
      </c>
      <c r="O1820" s="18" t="str">
        <f>IF($K1820="","",IFERROR(VLOOKUP(--SUBSTITUTE(SUBSTITUTE(TRIM($K1820),"-","")," ",""),마스터시트!$A$2:$H$1946,4,FALSE),""))</f>
        <v/>
      </c>
      <c r="P1820" s="18" t="str">
        <f>IF($K1820="","",IFERROR(VLOOKUP(--SUBSTITUTE(SUBSTITUTE(TRIM($K1820),"-","")," ",""),마스터시트!$A$2:$H$1946,5,FALSE),""))</f>
        <v/>
      </c>
      <c r="Q1820" s="18" t="str">
        <f>IF($K1820="","",IFERROR(VLOOKUP(--SUBSTITUTE(SUBSTITUTE(TRIM($K1820),"-","")," ",""),마스터시트!$A$2:$H$1946,6,FALSE),""))</f>
        <v/>
      </c>
      <c r="R1820" s="18" t="str">
        <f>IF($K1820="","",IFERROR(VLOOKUP(--SUBSTITUTE(SUBSTITUTE(TRIM($K1820),"-","")," ",""),마스터시트!$A$2:$H$1946,7,FALSE),""))</f>
        <v/>
      </c>
    </row>
    <row r="1821" spans="13:18" x14ac:dyDescent="0.3">
      <c r="M1821" s="18" t="str">
        <f>IF($K1821="","",IFERROR(VLOOKUP(--SUBSTITUTE(SUBSTITUTE(TRIM($K1821),"-","")," ",""),마스터시트!$A$2:$H$1946,2,FALSE),"미등록"))</f>
        <v/>
      </c>
      <c r="N1821" s="53" t="str">
        <f>IF($K1821="","",IFERROR(VLOOKUP(--SUBSTITUTE(SUBSTITUTE(TRIM($K1821),"-","")," ",""),마스터시트!$A$2:$H$1946,3,FALSE),"미등록"))</f>
        <v/>
      </c>
      <c r="O1821" s="18" t="str">
        <f>IF($K1821="","",IFERROR(VLOOKUP(--SUBSTITUTE(SUBSTITUTE(TRIM($K1821),"-","")," ",""),마스터시트!$A$2:$H$1946,4,FALSE),""))</f>
        <v/>
      </c>
      <c r="P1821" s="18" t="str">
        <f>IF($K1821="","",IFERROR(VLOOKUP(--SUBSTITUTE(SUBSTITUTE(TRIM($K1821),"-","")," ",""),마스터시트!$A$2:$H$1946,5,FALSE),""))</f>
        <v/>
      </c>
      <c r="Q1821" s="18" t="str">
        <f>IF($K1821="","",IFERROR(VLOOKUP(--SUBSTITUTE(SUBSTITUTE(TRIM($K1821),"-","")," ",""),마스터시트!$A$2:$H$1946,6,FALSE),""))</f>
        <v/>
      </c>
      <c r="R1821" s="18" t="str">
        <f>IF($K1821="","",IFERROR(VLOOKUP(--SUBSTITUTE(SUBSTITUTE(TRIM($K1821),"-","")," ",""),마스터시트!$A$2:$H$1946,7,FALSE),""))</f>
        <v/>
      </c>
    </row>
    <row r="1822" spans="13:18" x14ac:dyDescent="0.3">
      <c r="M1822" s="18" t="str">
        <f>IF($K1822="","",IFERROR(VLOOKUP(--SUBSTITUTE(SUBSTITUTE(TRIM($K1822),"-","")," ",""),마스터시트!$A$2:$H$1946,2,FALSE),"미등록"))</f>
        <v/>
      </c>
      <c r="N1822" s="53" t="str">
        <f>IF($K1822="","",IFERROR(VLOOKUP(--SUBSTITUTE(SUBSTITUTE(TRIM($K1822),"-","")," ",""),마스터시트!$A$2:$H$1946,3,FALSE),"미등록"))</f>
        <v/>
      </c>
      <c r="O1822" s="18" t="str">
        <f>IF($K1822="","",IFERROR(VLOOKUP(--SUBSTITUTE(SUBSTITUTE(TRIM($K1822),"-","")," ",""),마스터시트!$A$2:$H$1946,4,FALSE),""))</f>
        <v/>
      </c>
      <c r="P1822" s="18" t="str">
        <f>IF($K1822="","",IFERROR(VLOOKUP(--SUBSTITUTE(SUBSTITUTE(TRIM($K1822),"-","")," ",""),마스터시트!$A$2:$H$1946,5,FALSE),""))</f>
        <v/>
      </c>
      <c r="Q1822" s="18" t="str">
        <f>IF($K1822="","",IFERROR(VLOOKUP(--SUBSTITUTE(SUBSTITUTE(TRIM($K1822),"-","")," ",""),마스터시트!$A$2:$H$1946,6,FALSE),""))</f>
        <v/>
      </c>
      <c r="R1822" s="18" t="str">
        <f>IF($K1822="","",IFERROR(VLOOKUP(--SUBSTITUTE(SUBSTITUTE(TRIM($K1822),"-","")," ",""),마스터시트!$A$2:$H$1946,7,FALSE),""))</f>
        <v/>
      </c>
    </row>
    <row r="1823" spans="13:18" x14ac:dyDescent="0.3">
      <c r="M1823" s="18" t="str">
        <f>IF($K1823="","",IFERROR(VLOOKUP(--SUBSTITUTE(SUBSTITUTE(TRIM($K1823),"-","")," ",""),마스터시트!$A$2:$H$1946,2,FALSE),"미등록"))</f>
        <v/>
      </c>
      <c r="N1823" s="53" t="str">
        <f>IF($K1823="","",IFERROR(VLOOKUP(--SUBSTITUTE(SUBSTITUTE(TRIM($K1823),"-","")," ",""),마스터시트!$A$2:$H$1946,3,FALSE),"미등록"))</f>
        <v/>
      </c>
      <c r="O1823" s="18" t="str">
        <f>IF($K1823="","",IFERROR(VLOOKUP(--SUBSTITUTE(SUBSTITUTE(TRIM($K1823),"-","")," ",""),마스터시트!$A$2:$H$1946,4,FALSE),""))</f>
        <v/>
      </c>
      <c r="P1823" s="18" t="str">
        <f>IF($K1823="","",IFERROR(VLOOKUP(--SUBSTITUTE(SUBSTITUTE(TRIM($K1823),"-","")," ",""),마스터시트!$A$2:$H$1946,5,FALSE),""))</f>
        <v/>
      </c>
      <c r="Q1823" s="18" t="str">
        <f>IF($K1823="","",IFERROR(VLOOKUP(--SUBSTITUTE(SUBSTITUTE(TRIM($K1823),"-","")," ",""),마스터시트!$A$2:$H$1946,6,FALSE),""))</f>
        <v/>
      </c>
      <c r="R1823" s="18" t="str">
        <f>IF($K1823="","",IFERROR(VLOOKUP(--SUBSTITUTE(SUBSTITUTE(TRIM($K1823),"-","")," ",""),마스터시트!$A$2:$H$1946,7,FALSE),""))</f>
        <v/>
      </c>
    </row>
    <row r="1824" spans="13:18" x14ac:dyDescent="0.3">
      <c r="M1824" s="18" t="str">
        <f>IF($K1824="","",IFERROR(VLOOKUP(--SUBSTITUTE(SUBSTITUTE(TRIM($K1824),"-","")," ",""),마스터시트!$A$2:$H$1946,2,FALSE),"미등록"))</f>
        <v/>
      </c>
      <c r="N1824" s="53" t="str">
        <f>IF($K1824="","",IFERROR(VLOOKUP(--SUBSTITUTE(SUBSTITUTE(TRIM($K1824),"-","")," ",""),마스터시트!$A$2:$H$1946,3,FALSE),"미등록"))</f>
        <v/>
      </c>
      <c r="O1824" s="18" t="str">
        <f>IF($K1824="","",IFERROR(VLOOKUP(--SUBSTITUTE(SUBSTITUTE(TRIM($K1824),"-","")," ",""),마스터시트!$A$2:$H$1946,4,FALSE),""))</f>
        <v/>
      </c>
      <c r="P1824" s="18" t="str">
        <f>IF($K1824="","",IFERROR(VLOOKUP(--SUBSTITUTE(SUBSTITUTE(TRIM($K1824),"-","")," ",""),마스터시트!$A$2:$H$1946,5,FALSE),""))</f>
        <v/>
      </c>
      <c r="Q1824" s="18" t="str">
        <f>IF($K1824="","",IFERROR(VLOOKUP(--SUBSTITUTE(SUBSTITUTE(TRIM($K1824),"-","")," ",""),마스터시트!$A$2:$H$1946,6,FALSE),""))</f>
        <v/>
      </c>
      <c r="R1824" s="18" t="str">
        <f>IF($K1824="","",IFERROR(VLOOKUP(--SUBSTITUTE(SUBSTITUTE(TRIM($K1824),"-","")," ",""),마스터시트!$A$2:$H$1946,7,FALSE),""))</f>
        <v/>
      </c>
    </row>
    <row r="1825" spans="13:18" x14ac:dyDescent="0.3">
      <c r="M1825" s="18" t="str">
        <f>IF($K1825="","",IFERROR(VLOOKUP(--SUBSTITUTE(SUBSTITUTE(TRIM($K1825),"-","")," ",""),마스터시트!$A$2:$H$1946,2,FALSE),"미등록"))</f>
        <v/>
      </c>
      <c r="N1825" s="53" t="str">
        <f>IF($K1825="","",IFERROR(VLOOKUP(--SUBSTITUTE(SUBSTITUTE(TRIM($K1825),"-","")," ",""),마스터시트!$A$2:$H$1946,3,FALSE),"미등록"))</f>
        <v/>
      </c>
      <c r="O1825" s="18" t="str">
        <f>IF($K1825="","",IFERROR(VLOOKUP(--SUBSTITUTE(SUBSTITUTE(TRIM($K1825),"-","")," ",""),마스터시트!$A$2:$H$1946,4,FALSE),""))</f>
        <v/>
      </c>
      <c r="P1825" s="18" t="str">
        <f>IF($K1825="","",IFERROR(VLOOKUP(--SUBSTITUTE(SUBSTITUTE(TRIM($K1825),"-","")," ",""),마스터시트!$A$2:$H$1946,5,FALSE),""))</f>
        <v/>
      </c>
      <c r="Q1825" s="18" t="str">
        <f>IF($K1825="","",IFERROR(VLOOKUP(--SUBSTITUTE(SUBSTITUTE(TRIM($K1825),"-","")," ",""),마스터시트!$A$2:$H$1946,6,FALSE),""))</f>
        <v/>
      </c>
      <c r="R1825" s="18" t="str">
        <f>IF($K1825="","",IFERROR(VLOOKUP(--SUBSTITUTE(SUBSTITUTE(TRIM($K1825),"-","")," ",""),마스터시트!$A$2:$H$1946,7,FALSE),""))</f>
        <v/>
      </c>
    </row>
    <row r="1826" spans="13:18" x14ac:dyDescent="0.3">
      <c r="M1826" s="18" t="str">
        <f>IF($K1826="","",IFERROR(VLOOKUP(--SUBSTITUTE(SUBSTITUTE(TRIM($K1826),"-","")," ",""),마스터시트!$A$2:$H$1946,2,FALSE),"미등록"))</f>
        <v/>
      </c>
      <c r="N1826" s="53" t="str">
        <f>IF($K1826="","",IFERROR(VLOOKUP(--SUBSTITUTE(SUBSTITUTE(TRIM($K1826),"-","")," ",""),마스터시트!$A$2:$H$1946,3,FALSE),"미등록"))</f>
        <v/>
      </c>
      <c r="O1826" s="18" t="str">
        <f>IF($K1826="","",IFERROR(VLOOKUP(--SUBSTITUTE(SUBSTITUTE(TRIM($K1826),"-","")," ",""),마스터시트!$A$2:$H$1946,4,FALSE),""))</f>
        <v/>
      </c>
      <c r="P1826" s="18" t="str">
        <f>IF($K1826="","",IFERROR(VLOOKUP(--SUBSTITUTE(SUBSTITUTE(TRIM($K1826),"-","")," ",""),마스터시트!$A$2:$H$1946,5,FALSE),""))</f>
        <v/>
      </c>
      <c r="Q1826" s="18" t="str">
        <f>IF($K1826="","",IFERROR(VLOOKUP(--SUBSTITUTE(SUBSTITUTE(TRIM($K1826),"-","")," ",""),마스터시트!$A$2:$H$1946,6,FALSE),""))</f>
        <v/>
      </c>
      <c r="R1826" s="18" t="str">
        <f>IF($K1826="","",IFERROR(VLOOKUP(--SUBSTITUTE(SUBSTITUTE(TRIM($K1826),"-","")," ",""),마스터시트!$A$2:$H$1946,7,FALSE),""))</f>
        <v/>
      </c>
    </row>
    <row r="1827" spans="13:18" x14ac:dyDescent="0.3">
      <c r="M1827" s="18" t="str">
        <f>IF($K1827="","",IFERROR(VLOOKUP(--SUBSTITUTE(SUBSTITUTE(TRIM($K1827),"-","")," ",""),마스터시트!$A$2:$H$1946,2,FALSE),"미등록"))</f>
        <v/>
      </c>
      <c r="N1827" s="53" t="str">
        <f>IF($K1827="","",IFERROR(VLOOKUP(--SUBSTITUTE(SUBSTITUTE(TRIM($K1827),"-","")," ",""),마스터시트!$A$2:$H$1946,3,FALSE),"미등록"))</f>
        <v/>
      </c>
      <c r="O1827" s="18" t="str">
        <f>IF($K1827="","",IFERROR(VLOOKUP(--SUBSTITUTE(SUBSTITUTE(TRIM($K1827),"-","")," ",""),마스터시트!$A$2:$H$1946,4,FALSE),""))</f>
        <v/>
      </c>
      <c r="P1827" s="18" t="str">
        <f>IF($K1827="","",IFERROR(VLOOKUP(--SUBSTITUTE(SUBSTITUTE(TRIM($K1827),"-","")," ",""),마스터시트!$A$2:$H$1946,5,FALSE),""))</f>
        <v/>
      </c>
      <c r="Q1827" s="18" t="str">
        <f>IF($K1827="","",IFERROR(VLOOKUP(--SUBSTITUTE(SUBSTITUTE(TRIM($K1827),"-","")," ",""),마스터시트!$A$2:$H$1946,6,FALSE),""))</f>
        <v/>
      </c>
      <c r="R1827" s="18" t="str">
        <f>IF($K1827="","",IFERROR(VLOOKUP(--SUBSTITUTE(SUBSTITUTE(TRIM($K1827),"-","")," ",""),마스터시트!$A$2:$H$1946,7,FALSE),""))</f>
        <v/>
      </c>
    </row>
    <row r="1828" spans="13:18" x14ac:dyDescent="0.3">
      <c r="M1828" s="18" t="str">
        <f>IF($K1828="","",IFERROR(VLOOKUP(--SUBSTITUTE(SUBSTITUTE(TRIM($K1828),"-","")," ",""),마스터시트!$A$2:$H$1946,2,FALSE),"미등록"))</f>
        <v/>
      </c>
      <c r="N1828" s="53" t="str">
        <f>IF($K1828="","",IFERROR(VLOOKUP(--SUBSTITUTE(SUBSTITUTE(TRIM($K1828),"-","")," ",""),마스터시트!$A$2:$H$1946,3,FALSE),"미등록"))</f>
        <v/>
      </c>
      <c r="O1828" s="18" t="str">
        <f>IF($K1828="","",IFERROR(VLOOKUP(--SUBSTITUTE(SUBSTITUTE(TRIM($K1828),"-","")," ",""),마스터시트!$A$2:$H$1946,4,FALSE),""))</f>
        <v/>
      </c>
      <c r="P1828" s="18" t="str">
        <f>IF($K1828="","",IFERROR(VLOOKUP(--SUBSTITUTE(SUBSTITUTE(TRIM($K1828),"-","")," ",""),마스터시트!$A$2:$H$1946,5,FALSE),""))</f>
        <v/>
      </c>
      <c r="Q1828" s="18" t="str">
        <f>IF($K1828="","",IFERROR(VLOOKUP(--SUBSTITUTE(SUBSTITUTE(TRIM($K1828),"-","")," ",""),마스터시트!$A$2:$H$1946,6,FALSE),""))</f>
        <v/>
      </c>
      <c r="R1828" s="18" t="str">
        <f>IF($K1828="","",IFERROR(VLOOKUP(--SUBSTITUTE(SUBSTITUTE(TRIM($K1828),"-","")," ",""),마스터시트!$A$2:$H$1946,7,FALSE),""))</f>
        <v/>
      </c>
    </row>
    <row r="1829" spans="13:18" x14ac:dyDescent="0.3">
      <c r="M1829" s="18" t="str">
        <f>IF($K1829="","",IFERROR(VLOOKUP(--SUBSTITUTE(SUBSTITUTE(TRIM($K1829),"-","")," ",""),마스터시트!$A$2:$H$1946,2,FALSE),"미등록"))</f>
        <v/>
      </c>
      <c r="N1829" s="53" t="str">
        <f>IF($K1829="","",IFERROR(VLOOKUP(--SUBSTITUTE(SUBSTITUTE(TRIM($K1829),"-","")," ",""),마스터시트!$A$2:$H$1946,3,FALSE),"미등록"))</f>
        <v/>
      </c>
      <c r="O1829" s="18" t="str">
        <f>IF($K1829="","",IFERROR(VLOOKUP(--SUBSTITUTE(SUBSTITUTE(TRIM($K1829),"-","")," ",""),마스터시트!$A$2:$H$1946,4,FALSE),""))</f>
        <v/>
      </c>
      <c r="P1829" s="18" t="str">
        <f>IF($K1829="","",IFERROR(VLOOKUP(--SUBSTITUTE(SUBSTITUTE(TRIM($K1829),"-","")," ",""),마스터시트!$A$2:$H$1946,5,FALSE),""))</f>
        <v/>
      </c>
      <c r="Q1829" s="18" t="str">
        <f>IF($K1829="","",IFERROR(VLOOKUP(--SUBSTITUTE(SUBSTITUTE(TRIM($K1829),"-","")," ",""),마스터시트!$A$2:$H$1946,6,FALSE),""))</f>
        <v/>
      </c>
      <c r="R1829" s="18" t="str">
        <f>IF($K1829="","",IFERROR(VLOOKUP(--SUBSTITUTE(SUBSTITUTE(TRIM($K1829),"-","")," ",""),마스터시트!$A$2:$H$1946,7,FALSE),""))</f>
        <v/>
      </c>
    </row>
    <row r="1830" spans="13:18" x14ac:dyDescent="0.3">
      <c r="M1830" s="18" t="str">
        <f>IF($K1830="","",IFERROR(VLOOKUP(--SUBSTITUTE(SUBSTITUTE(TRIM($K1830),"-","")," ",""),마스터시트!$A$2:$H$1946,2,FALSE),"미등록"))</f>
        <v/>
      </c>
      <c r="N1830" s="53" t="str">
        <f>IF($K1830="","",IFERROR(VLOOKUP(--SUBSTITUTE(SUBSTITUTE(TRIM($K1830),"-","")," ",""),마스터시트!$A$2:$H$1946,3,FALSE),"미등록"))</f>
        <v/>
      </c>
      <c r="O1830" s="18" t="str">
        <f>IF($K1830="","",IFERROR(VLOOKUP(--SUBSTITUTE(SUBSTITUTE(TRIM($K1830),"-","")," ",""),마스터시트!$A$2:$H$1946,4,FALSE),""))</f>
        <v/>
      </c>
      <c r="P1830" s="18" t="str">
        <f>IF($K1830="","",IFERROR(VLOOKUP(--SUBSTITUTE(SUBSTITUTE(TRIM($K1830),"-","")," ",""),마스터시트!$A$2:$H$1946,5,FALSE),""))</f>
        <v/>
      </c>
      <c r="Q1830" s="18" t="str">
        <f>IF($K1830="","",IFERROR(VLOOKUP(--SUBSTITUTE(SUBSTITUTE(TRIM($K1830),"-","")," ",""),마스터시트!$A$2:$H$1946,6,FALSE),""))</f>
        <v/>
      </c>
      <c r="R1830" s="18" t="str">
        <f>IF($K1830="","",IFERROR(VLOOKUP(--SUBSTITUTE(SUBSTITUTE(TRIM($K1830),"-","")," ",""),마스터시트!$A$2:$H$1946,7,FALSE),""))</f>
        <v/>
      </c>
    </row>
    <row r="1831" spans="13:18" x14ac:dyDescent="0.3">
      <c r="M1831" s="18" t="str">
        <f>IF($K1831="","",IFERROR(VLOOKUP(--SUBSTITUTE(SUBSTITUTE(TRIM($K1831),"-","")," ",""),마스터시트!$A$2:$H$1946,2,FALSE),"미등록"))</f>
        <v/>
      </c>
      <c r="N1831" s="53" t="str">
        <f>IF($K1831="","",IFERROR(VLOOKUP(--SUBSTITUTE(SUBSTITUTE(TRIM($K1831),"-","")," ",""),마스터시트!$A$2:$H$1946,3,FALSE),"미등록"))</f>
        <v/>
      </c>
      <c r="O1831" s="18" t="str">
        <f>IF($K1831="","",IFERROR(VLOOKUP(--SUBSTITUTE(SUBSTITUTE(TRIM($K1831),"-","")," ",""),마스터시트!$A$2:$H$1946,4,FALSE),""))</f>
        <v/>
      </c>
      <c r="P1831" s="18" t="str">
        <f>IF($K1831="","",IFERROR(VLOOKUP(--SUBSTITUTE(SUBSTITUTE(TRIM($K1831),"-","")," ",""),마스터시트!$A$2:$H$1946,5,FALSE),""))</f>
        <v/>
      </c>
      <c r="Q1831" s="18" t="str">
        <f>IF($K1831="","",IFERROR(VLOOKUP(--SUBSTITUTE(SUBSTITUTE(TRIM($K1831),"-","")," ",""),마스터시트!$A$2:$H$1946,6,FALSE),""))</f>
        <v/>
      </c>
      <c r="R1831" s="18" t="str">
        <f>IF($K1831="","",IFERROR(VLOOKUP(--SUBSTITUTE(SUBSTITUTE(TRIM($K1831),"-","")," ",""),마스터시트!$A$2:$H$1946,7,FALSE),""))</f>
        <v/>
      </c>
    </row>
    <row r="1832" spans="13:18" x14ac:dyDescent="0.3">
      <c r="M1832" s="18" t="str">
        <f>IF($K1832="","",IFERROR(VLOOKUP(--SUBSTITUTE(SUBSTITUTE(TRIM($K1832),"-","")," ",""),마스터시트!$A$2:$H$1946,2,FALSE),"미등록"))</f>
        <v/>
      </c>
      <c r="N1832" s="53" t="str">
        <f>IF($K1832="","",IFERROR(VLOOKUP(--SUBSTITUTE(SUBSTITUTE(TRIM($K1832),"-","")," ",""),마스터시트!$A$2:$H$1946,3,FALSE),"미등록"))</f>
        <v/>
      </c>
      <c r="O1832" s="18" t="str">
        <f>IF($K1832="","",IFERROR(VLOOKUP(--SUBSTITUTE(SUBSTITUTE(TRIM($K1832),"-","")," ",""),마스터시트!$A$2:$H$1946,4,FALSE),""))</f>
        <v/>
      </c>
      <c r="P1832" s="18" t="str">
        <f>IF($K1832="","",IFERROR(VLOOKUP(--SUBSTITUTE(SUBSTITUTE(TRIM($K1832),"-","")," ",""),마스터시트!$A$2:$H$1946,5,FALSE),""))</f>
        <v/>
      </c>
      <c r="Q1832" s="18" t="str">
        <f>IF($K1832="","",IFERROR(VLOOKUP(--SUBSTITUTE(SUBSTITUTE(TRIM($K1832),"-","")," ",""),마스터시트!$A$2:$H$1946,6,FALSE),""))</f>
        <v/>
      </c>
      <c r="R1832" s="18" t="str">
        <f>IF($K1832="","",IFERROR(VLOOKUP(--SUBSTITUTE(SUBSTITUTE(TRIM($K1832),"-","")," ",""),마스터시트!$A$2:$H$1946,7,FALSE),""))</f>
        <v/>
      </c>
    </row>
    <row r="1833" spans="13:18" x14ac:dyDescent="0.3">
      <c r="M1833" s="18" t="str">
        <f>IF($K1833="","",IFERROR(VLOOKUP(--SUBSTITUTE(SUBSTITUTE(TRIM($K1833),"-","")," ",""),마스터시트!$A$2:$H$1946,2,FALSE),"미등록"))</f>
        <v/>
      </c>
      <c r="N1833" s="53" t="str">
        <f>IF($K1833="","",IFERROR(VLOOKUP(--SUBSTITUTE(SUBSTITUTE(TRIM($K1833),"-","")," ",""),마스터시트!$A$2:$H$1946,3,FALSE),"미등록"))</f>
        <v/>
      </c>
      <c r="O1833" s="18" t="str">
        <f>IF($K1833="","",IFERROR(VLOOKUP(--SUBSTITUTE(SUBSTITUTE(TRIM($K1833),"-","")," ",""),마스터시트!$A$2:$H$1946,4,FALSE),""))</f>
        <v/>
      </c>
      <c r="P1833" s="18" t="str">
        <f>IF($K1833="","",IFERROR(VLOOKUP(--SUBSTITUTE(SUBSTITUTE(TRIM($K1833),"-","")," ",""),마스터시트!$A$2:$H$1946,5,FALSE),""))</f>
        <v/>
      </c>
      <c r="Q1833" s="18" t="str">
        <f>IF($K1833="","",IFERROR(VLOOKUP(--SUBSTITUTE(SUBSTITUTE(TRIM($K1833),"-","")," ",""),마스터시트!$A$2:$H$1946,6,FALSE),""))</f>
        <v/>
      </c>
      <c r="R1833" s="18" t="str">
        <f>IF($K1833="","",IFERROR(VLOOKUP(--SUBSTITUTE(SUBSTITUTE(TRIM($K1833),"-","")," ",""),마스터시트!$A$2:$H$1946,7,FALSE),""))</f>
        <v/>
      </c>
    </row>
    <row r="1834" spans="13:18" x14ac:dyDescent="0.3">
      <c r="M1834" s="18" t="str">
        <f>IF($K1834="","",IFERROR(VLOOKUP(--SUBSTITUTE(SUBSTITUTE(TRIM($K1834),"-","")," ",""),마스터시트!$A$2:$H$1946,2,FALSE),"미등록"))</f>
        <v/>
      </c>
      <c r="N1834" s="53" t="str">
        <f>IF($K1834="","",IFERROR(VLOOKUP(--SUBSTITUTE(SUBSTITUTE(TRIM($K1834),"-","")," ",""),마스터시트!$A$2:$H$1946,3,FALSE),"미등록"))</f>
        <v/>
      </c>
      <c r="O1834" s="18" t="str">
        <f>IF($K1834="","",IFERROR(VLOOKUP(--SUBSTITUTE(SUBSTITUTE(TRIM($K1834),"-","")," ",""),마스터시트!$A$2:$H$1946,4,FALSE),""))</f>
        <v/>
      </c>
      <c r="P1834" s="18" t="str">
        <f>IF($K1834="","",IFERROR(VLOOKUP(--SUBSTITUTE(SUBSTITUTE(TRIM($K1834),"-","")," ",""),마스터시트!$A$2:$H$1946,5,FALSE),""))</f>
        <v/>
      </c>
      <c r="Q1834" s="18" t="str">
        <f>IF($K1834="","",IFERROR(VLOOKUP(--SUBSTITUTE(SUBSTITUTE(TRIM($K1834),"-","")," ",""),마스터시트!$A$2:$H$1946,6,FALSE),""))</f>
        <v/>
      </c>
      <c r="R1834" s="18" t="str">
        <f>IF($K1834="","",IFERROR(VLOOKUP(--SUBSTITUTE(SUBSTITUTE(TRIM($K1834),"-","")," ",""),마스터시트!$A$2:$H$1946,7,FALSE),""))</f>
        <v/>
      </c>
    </row>
    <row r="1835" spans="13:18" x14ac:dyDescent="0.3">
      <c r="M1835" s="18" t="str">
        <f>IF($K1835="","",IFERROR(VLOOKUP(--SUBSTITUTE(SUBSTITUTE(TRIM($K1835),"-","")," ",""),마스터시트!$A$2:$H$1946,2,FALSE),"미등록"))</f>
        <v/>
      </c>
      <c r="N1835" s="53" t="str">
        <f>IF($K1835="","",IFERROR(VLOOKUP(--SUBSTITUTE(SUBSTITUTE(TRIM($K1835),"-","")," ",""),마스터시트!$A$2:$H$1946,3,FALSE),"미등록"))</f>
        <v/>
      </c>
      <c r="O1835" s="18" t="str">
        <f>IF($K1835="","",IFERROR(VLOOKUP(--SUBSTITUTE(SUBSTITUTE(TRIM($K1835),"-","")," ",""),마스터시트!$A$2:$H$1946,4,FALSE),""))</f>
        <v/>
      </c>
      <c r="P1835" s="18" t="str">
        <f>IF($K1835="","",IFERROR(VLOOKUP(--SUBSTITUTE(SUBSTITUTE(TRIM($K1835),"-","")," ",""),마스터시트!$A$2:$H$1946,5,FALSE),""))</f>
        <v/>
      </c>
      <c r="Q1835" s="18" t="str">
        <f>IF($K1835="","",IFERROR(VLOOKUP(--SUBSTITUTE(SUBSTITUTE(TRIM($K1835),"-","")," ",""),마스터시트!$A$2:$H$1946,6,FALSE),""))</f>
        <v/>
      </c>
      <c r="R1835" s="18" t="str">
        <f>IF($K1835="","",IFERROR(VLOOKUP(--SUBSTITUTE(SUBSTITUTE(TRIM($K1835),"-","")," ",""),마스터시트!$A$2:$H$1946,7,FALSE),""))</f>
        <v/>
      </c>
    </row>
    <row r="1836" spans="13:18" x14ac:dyDescent="0.3">
      <c r="M1836" s="18" t="str">
        <f>IF($K1836="","",IFERROR(VLOOKUP(--SUBSTITUTE(SUBSTITUTE(TRIM($K1836),"-","")," ",""),마스터시트!$A$2:$H$1946,2,FALSE),"미등록"))</f>
        <v/>
      </c>
      <c r="N1836" s="53" t="str">
        <f>IF($K1836="","",IFERROR(VLOOKUP(--SUBSTITUTE(SUBSTITUTE(TRIM($K1836),"-","")," ",""),마스터시트!$A$2:$H$1946,3,FALSE),"미등록"))</f>
        <v/>
      </c>
      <c r="O1836" s="18" t="str">
        <f>IF($K1836="","",IFERROR(VLOOKUP(--SUBSTITUTE(SUBSTITUTE(TRIM($K1836),"-","")," ",""),마스터시트!$A$2:$H$1946,4,FALSE),""))</f>
        <v/>
      </c>
      <c r="P1836" s="18" t="str">
        <f>IF($K1836="","",IFERROR(VLOOKUP(--SUBSTITUTE(SUBSTITUTE(TRIM($K1836),"-","")," ",""),마스터시트!$A$2:$H$1946,5,FALSE),""))</f>
        <v/>
      </c>
      <c r="Q1836" s="18" t="str">
        <f>IF($K1836="","",IFERROR(VLOOKUP(--SUBSTITUTE(SUBSTITUTE(TRIM($K1836),"-","")," ",""),마스터시트!$A$2:$H$1946,6,FALSE),""))</f>
        <v/>
      </c>
      <c r="R1836" s="18" t="str">
        <f>IF($K1836="","",IFERROR(VLOOKUP(--SUBSTITUTE(SUBSTITUTE(TRIM($K1836),"-","")," ",""),마스터시트!$A$2:$H$1946,7,FALSE),""))</f>
        <v/>
      </c>
    </row>
    <row r="1837" spans="13:18" x14ac:dyDescent="0.3">
      <c r="M1837" s="18" t="str">
        <f>IF($K1837="","",IFERROR(VLOOKUP(--SUBSTITUTE(SUBSTITUTE(TRIM($K1837),"-","")," ",""),마스터시트!$A$2:$H$1946,2,FALSE),"미등록"))</f>
        <v/>
      </c>
      <c r="N1837" s="53" t="str">
        <f>IF($K1837="","",IFERROR(VLOOKUP(--SUBSTITUTE(SUBSTITUTE(TRIM($K1837),"-","")," ",""),마스터시트!$A$2:$H$1946,3,FALSE),"미등록"))</f>
        <v/>
      </c>
      <c r="O1837" s="18" t="str">
        <f>IF($K1837="","",IFERROR(VLOOKUP(--SUBSTITUTE(SUBSTITUTE(TRIM($K1837),"-","")," ",""),마스터시트!$A$2:$H$1946,4,FALSE),""))</f>
        <v/>
      </c>
      <c r="P1837" s="18" t="str">
        <f>IF($K1837="","",IFERROR(VLOOKUP(--SUBSTITUTE(SUBSTITUTE(TRIM($K1837),"-","")," ",""),마스터시트!$A$2:$H$1946,5,FALSE),""))</f>
        <v/>
      </c>
      <c r="Q1837" s="18" t="str">
        <f>IF($K1837="","",IFERROR(VLOOKUP(--SUBSTITUTE(SUBSTITUTE(TRIM($K1837),"-","")," ",""),마스터시트!$A$2:$H$1946,6,FALSE),""))</f>
        <v/>
      </c>
      <c r="R1837" s="18" t="str">
        <f>IF($K1837="","",IFERROR(VLOOKUP(--SUBSTITUTE(SUBSTITUTE(TRIM($K1837),"-","")," ",""),마스터시트!$A$2:$H$1946,7,FALSE),""))</f>
        <v/>
      </c>
    </row>
    <row r="1838" spans="13:18" x14ac:dyDescent="0.3">
      <c r="M1838" s="18" t="str">
        <f>IF($K1838="","",IFERROR(VLOOKUP(--SUBSTITUTE(SUBSTITUTE(TRIM($K1838),"-","")," ",""),마스터시트!$A$2:$H$1946,2,FALSE),"미등록"))</f>
        <v/>
      </c>
      <c r="N1838" s="53" t="str">
        <f>IF($K1838="","",IFERROR(VLOOKUP(--SUBSTITUTE(SUBSTITUTE(TRIM($K1838),"-","")," ",""),마스터시트!$A$2:$H$1946,3,FALSE),"미등록"))</f>
        <v/>
      </c>
      <c r="O1838" s="18" t="str">
        <f>IF($K1838="","",IFERROR(VLOOKUP(--SUBSTITUTE(SUBSTITUTE(TRIM($K1838),"-","")," ",""),마스터시트!$A$2:$H$1946,4,FALSE),""))</f>
        <v/>
      </c>
      <c r="P1838" s="18" t="str">
        <f>IF($K1838="","",IFERROR(VLOOKUP(--SUBSTITUTE(SUBSTITUTE(TRIM($K1838),"-","")," ",""),마스터시트!$A$2:$H$1946,5,FALSE),""))</f>
        <v/>
      </c>
      <c r="Q1838" s="18" t="str">
        <f>IF($K1838="","",IFERROR(VLOOKUP(--SUBSTITUTE(SUBSTITUTE(TRIM($K1838),"-","")," ",""),마스터시트!$A$2:$H$1946,6,FALSE),""))</f>
        <v/>
      </c>
      <c r="R1838" s="18" t="str">
        <f>IF($K1838="","",IFERROR(VLOOKUP(--SUBSTITUTE(SUBSTITUTE(TRIM($K1838),"-","")," ",""),마스터시트!$A$2:$H$1946,7,FALSE),""))</f>
        <v/>
      </c>
    </row>
    <row r="1839" spans="13:18" x14ac:dyDescent="0.3">
      <c r="M1839" s="18" t="str">
        <f>IF($K1839="","",IFERROR(VLOOKUP(--SUBSTITUTE(SUBSTITUTE(TRIM($K1839),"-","")," ",""),마스터시트!$A$2:$H$1946,2,FALSE),"미등록"))</f>
        <v/>
      </c>
      <c r="N1839" s="53" t="str">
        <f>IF($K1839="","",IFERROR(VLOOKUP(--SUBSTITUTE(SUBSTITUTE(TRIM($K1839),"-","")," ",""),마스터시트!$A$2:$H$1946,3,FALSE),"미등록"))</f>
        <v/>
      </c>
      <c r="O1839" s="18" t="str">
        <f>IF($K1839="","",IFERROR(VLOOKUP(--SUBSTITUTE(SUBSTITUTE(TRIM($K1839),"-","")," ",""),마스터시트!$A$2:$H$1946,4,FALSE),""))</f>
        <v/>
      </c>
      <c r="P1839" s="18" t="str">
        <f>IF($K1839="","",IFERROR(VLOOKUP(--SUBSTITUTE(SUBSTITUTE(TRIM($K1839),"-","")," ",""),마스터시트!$A$2:$H$1946,5,FALSE),""))</f>
        <v/>
      </c>
      <c r="Q1839" s="18" t="str">
        <f>IF($K1839="","",IFERROR(VLOOKUP(--SUBSTITUTE(SUBSTITUTE(TRIM($K1839),"-","")," ",""),마스터시트!$A$2:$H$1946,6,FALSE),""))</f>
        <v/>
      </c>
      <c r="R1839" s="18" t="str">
        <f>IF($K1839="","",IFERROR(VLOOKUP(--SUBSTITUTE(SUBSTITUTE(TRIM($K1839),"-","")," ",""),마스터시트!$A$2:$H$1946,7,FALSE),""))</f>
        <v/>
      </c>
    </row>
    <row r="1840" spans="13:18" x14ac:dyDescent="0.3">
      <c r="M1840" s="18" t="str">
        <f>IF($K1840="","",IFERROR(VLOOKUP(--SUBSTITUTE(SUBSTITUTE(TRIM($K1840),"-","")," ",""),마스터시트!$A$2:$H$1946,2,FALSE),"미등록"))</f>
        <v/>
      </c>
      <c r="N1840" s="53" t="str">
        <f>IF($K1840="","",IFERROR(VLOOKUP(--SUBSTITUTE(SUBSTITUTE(TRIM($K1840),"-","")," ",""),마스터시트!$A$2:$H$1946,3,FALSE),"미등록"))</f>
        <v/>
      </c>
      <c r="O1840" s="18" t="str">
        <f>IF($K1840="","",IFERROR(VLOOKUP(--SUBSTITUTE(SUBSTITUTE(TRIM($K1840),"-","")," ",""),마스터시트!$A$2:$H$1946,4,FALSE),""))</f>
        <v/>
      </c>
      <c r="P1840" s="18" t="str">
        <f>IF($K1840="","",IFERROR(VLOOKUP(--SUBSTITUTE(SUBSTITUTE(TRIM($K1840),"-","")," ",""),마스터시트!$A$2:$H$1946,5,FALSE),""))</f>
        <v/>
      </c>
      <c r="Q1840" s="18" t="str">
        <f>IF($K1840="","",IFERROR(VLOOKUP(--SUBSTITUTE(SUBSTITUTE(TRIM($K1840),"-","")," ",""),마스터시트!$A$2:$H$1946,6,FALSE),""))</f>
        <v/>
      </c>
      <c r="R1840" s="18" t="str">
        <f>IF($K1840="","",IFERROR(VLOOKUP(--SUBSTITUTE(SUBSTITUTE(TRIM($K1840),"-","")," ",""),마스터시트!$A$2:$H$1946,7,FALSE),""))</f>
        <v/>
      </c>
    </row>
    <row r="1841" spans="13:18" x14ac:dyDescent="0.3">
      <c r="M1841" s="18" t="str">
        <f>IF($K1841="","",IFERROR(VLOOKUP(--SUBSTITUTE(SUBSTITUTE(TRIM($K1841),"-","")," ",""),마스터시트!$A$2:$H$1946,2,FALSE),"미등록"))</f>
        <v/>
      </c>
      <c r="N1841" s="53" t="str">
        <f>IF($K1841="","",IFERROR(VLOOKUP(--SUBSTITUTE(SUBSTITUTE(TRIM($K1841),"-","")," ",""),마스터시트!$A$2:$H$1946,3,FALSE),"미등록"))</f>
        <v/>
      </c>
      <c r="O1841" s="18" t="str">
        <f>IF($K1841="","",IFERROR(VLOOKUP(--SUBSTITUTE(SUBSTITUTE(TRIM($K1841),"-","")," ",""),마스터시트!$A$2:$H$1946,4,FALSE),""))</f>
        <v/>
      </c>
      <c r="P1841" s="18" t="str">
        <f>IF($K1841="","",IFERROR(VLOOKUP(--SUBSTITUTE(SUBSTITUTE(TRIM($K1841),"-","")," ",""),마스터시트!$A$2:$H$1946,5,FALSE),""))</f>
        <v/>
      </c>
      <c r="Q1841" s="18" t="str">
        <f>IF($K1841="","",IFERROR(VLOOKUP(--SUBSTITUTE(SUBSTITUTE(TRIM($K1841),"-","")," ",""),마스터시트!$A$2:$H$1946,6,FALSE),""))</f>
        <v/>
      </c>
      <c r="R1841" s="18" t="str">
        <f>IF($K1841="","",IFERROR(VLOOKUP(--SUBSTITUTE(SUBSTITUTE(TRIM($K1841),"-","")," ",""),마스터시트!$A$2:$H$1946,7,FALSE),""))</f>
        <v/>
      </c>
    </row>
    <row r="1842" spans="13:18" x14ac:dyDescent="0.3">
      <c r="M1842" s="18" t="str">
        <f>IF($K1842="","",IFERROR(VLOOKUP(--SUBSTITUTE(SUBSTITUTE(TRIM($K1842),"-","")," ",""),마스터시트!$A$2:$H$1946,2,FALSE),"미등록"))</f>
        <v/>
      </c>
      <c r="N1842" s="53" t="str">
        <f>IF($K1842="","",IFERROR(VLOOKUP(--SUBSTITUTE(SUBSTITUTE(TRIM($K1842),"-","")," ",""),마스터시트!$A$2:$H$1946,3,FALSE),"미등록"))</f>
        <v/>
      </c>
      <c r="O1842" s="18" t="str">
        <f>IF($K1842="","",IFERROR(VLOOKUP(--SUBSTITUTE(SUBSTITUTE(TRIM($K1842),"-","")," ",""),마스터시트!$A$2:$H$1946,4,FALSE),""))</f>
        <v/>
      </c>
      <c r="P1842" s="18" t="str">
        <f>IF($K1842="","",IFERROR(VLOOKUP(--SUBSTITUTE(SUBSTITUTE(TRIM($K1842),"-","")," ",""),마스터시트!$A$2:$H$1946,5,FALSE),""))</f>
        <v/>
      </c>
      <c r="Q1842" s="18" t="str">
        <f>IF($K1842="","",IFERROR(VLOOKUP(--SUBSTITUTE(SUBSTITUTE(TRIM($K1842),"-","")," ",""),마스터시트!$A$2:$H$1946,6,FALSE),""))</f>
        <v/>
      </c>
      <c r="R1842" s="18" t="str">
        <f>IF($K1842="","",IFERROR(VLOOKUP(--SUBSTITUTE(SUBSTITUTE(TRIM($K1842),"-","")," ",""),마스터시트!$A$2:$H$1946,7,FALSE),""))</f>
        <v/>
      </c>
    </row>
    <row r="1843" spans="13:18" x14ac:dyDescent="0.3">
      <c r="M1843" s="18" t="str">
        <f>IF($K1843="","",IFERROR(VLOOKUP(--SUBSTITUTE(SUBSTITUTE(TRIM($K1843),"-","")," ",""),마스터시트!$A$2:$H$1946,2,FALSE),"미등록"))</f>
        <v/>
      </c>
      <c r="N1843" s="53" t="str">
        <f>IF($K1843="","",IFERROR(VLOOKUP(--SUBSTITUTE(SUBSTITUTE(TRIM($K1843),"-","")," ",""),마스터시트!$A$2:$H$1946,3,FALSE),"미등록"))</f>
        <v/>
      </c>
      <c r="O1843" s="18" t="str">
        <f>IF($K1843="","",IFERROR(VLOOKUP(--SUBSTITUTE(SUBSTITUTE(TRIM($K1843),"-","")," ",""),마스터시트!$A$2:$H$1946,4,FALSE),""))</f>
        <v/>
      </c>
      <c r="P1843" s="18" t="str">
        <f>IF($K1843="","",IFERROR(VLOOKUP(--SUBSTITUTE(SUBSTITUTE(TRIM($K1843),"-","")," ",""),마스터시트!$A$2:$H$1946,5,FALSE),""))</f>
        <v/>
      </c>
      <c r="Q1843" s="18" t="str">
        <f>IF($K1843="","",IFERROR(VLOOKUP(--SUBSTITUTE(SUBSTITUTE(TRIM($K1843),"-","")," ",""),마스터시트!$A$2:$H$1946,6,FALSE),""))</f>
        <v/>
      </c>
      <c r="R1843" s="18" t="str">
        <f>IF($K1843="","",IFERROR(VLOOKUP(--SUBSTITUTE(SUBSTITUTE(TRIM($K1843),"-","")," ",""),마스터시트!$A$2:$H$1946,7,FALSE),""))</f>
        <v/>
      </c>
    </row>
    <row r="1844" spans="13:18" x14ac:dyDescent="0.3">
      <c r="M1844" s="18" t="str">
        <f>IF($K1844="","",IFERROR(VLOOKUP(--SUBSTITUTE(SUBSTITUTE(TRIM($K1844),"-","")," ",""),마스터시트!$A$2:$H$1946,2,FALSE),"미등록"))</f>
        <v/>
      </c>
      <c r="N1844" s="53" t="str">
        <f>IF($K1844="","",IFERROR(VLOOKUP(--SUBSTITUTE(SUBSTITUTE(TRIM($K1844),"-","")," ",""),마스터시트!$A$2:$H$1946,3,FALSE),"미등록"))</f>
        <v/>
      </c>
      <c r="O1844" s="18" t="str">
        <f>IF($K1844="","",IFERROR(VLOOKUP(--SUBSTITUTE(SUBSTITUTE(TRIM($K1844),"-","")," ",""),마스터시트!$A$2:$H$1946,4,FALSE),""))</f>
        <v/>
      </c>
      <c r="P1844" s="18" t="str">
        <f>IF($K1844="","",IFERROR(VLOOKUP(--SUBSTITUTE(SUBSTITUTE(TRIM($K1844),"-","")," ",""),마스터시트!$A$2:$H$1946,5,FALSE),""))</f>
        <v/>
      </c>
      <c r="Q1844" s="18" t="str">
        <f>IF($K1844="","",IFERROR(VLOOKUP(--SUBSTITUTE(SUBSTITUTE(TRIM($K1844),"-","")," ",""),마스터시트!$A$2:$H$1946,6,FALSE),""))</f>
        <v/>
      </c>
      <c r="R1844" s="18" t="str">
        <f>IF($K1844="","",IFERROR(VLOOKUP(--SUBSTITUTE(SUBSTITUTE(TRIM($K1844),"-","")," ",""),마스터시트!$A$2:$H$1946,7,FALSE),""))</f>
        <v/>
      </c>
    </row>
    <row r="1845" spans="13:18" x14ac:dyDescent="0.3">
      <c r="M1845" s="18" t="str">
        <f>IF($K1845="","",IFERROR(VLOOKUP(--SUBSTITUTE(SUBSTITUTE(TRIM($K1845),"-","")," ",""),마스터시트!$A$2:$H$1946,2,FALSE),"미등록"))</f>
        <v/>
      </c>
      <c r="N1845" s="53" t="str">
        <f>IF($K1845="","",IFERROR(VLOOKUP(--SUBSTITUTE(SUBSTITUTE(TRIM($K1845),"-","")," ",""),마스터시트!$A$2:$H$1946,3,FALSE),"미등록"))</f>
        <v/>
      </c>
      <c r="O1845" s="18" t="str">
        <f>IF($K1845="","",IFERROR(VLOOKUP(--SUBSTITUTE(SUBSTITUTE(TRIM($K1845),"-","")," ",""),마스터시트!$A$2:$H$1946,4,FALSE),""))</f>
        <v/>
      </c>
      <c r="P1845" s="18" t="str">
        <f>IF($K1845="","",IFERROR(VLOOKUP(--SUBSTITUTE(SUBSTITUTE(TRIM($K1845),"-","")," ",""),마스터시트!$A$2:$H$1946,5,FALSE),""))</f>
        <v/>
      </c>
      <c r="Q1845" s="18" t="str">
        <f>IF($K1845="","",IFERROR(VLOOKUP(--SUBSTITUTE(SUBSTITUTE(TRIM($K1845),"-","")," ",""),마스터시트!$A$2:$H$1946,6,FALSE),""))</f>
        <v/>
      </c>
      <c r="R1845" s="18" t="str">
        <f>IF($K1845="","",IFERROR(VLOOKUP(--SUBSTITUTE(SUBSTITUTE(TRIM($K1845),"-","")," ",""),마스터시트!$A$2:$H$1946,7,FALSE),""))</f>
        <v/>
      </c>
    </row>
    <row r="1846" spans="13:18" x14ac:dyDescent="0.3">
      <c r="M1846" s="18" t="str">
        <f>IF($K1846="","",IFERROR(VLOOKUP(--SUBSTITUTE(SUBSTITUTE(TRIM($K1846),"-","")," ",""),마스터시트!$A$2:$H$1946,2,FALSE),"미등록"))</f>
        <v/>
      </c>
      <c r="N1846" s="53" t="str">
        <f>IF($K1846="","",IFERROR(VLOOKUP(--SUBSTITUTE(SUBSTITUTE(TRIM($K1846),"-","")," ",""),마스터시트!$A$2:$H$1946,3,FALSE),"미등록"))</f>
        <v/>
      </c>
      <c r="O1846" s="18" t="str">
        <f>IF($K1846="","",IFERROR(VLOOKUP(--SUBSTITUTE(SUBSTITUTE(TRIM($K1846),"-","")," ",""),마스터시트!$A$2:$H$1946,4,FALSE),""))</f>
        <v/>
      </c>
      <c r="P1846" s="18" t="str">
        <f>IF($K1846="","",IFERROR(VLOOKUP(--SUBSTITUTE(SUBSTITUTE(TRIM($K1846),"-","")," ",""),마스터시트!$A$2:$H$1946,5,FALSE),""))</f>
        <v/>
      </c>
      <c r="Q1846" s="18" t="str">
        <f>IF($K1846="","",IFERROR(VLOOKUP(--SUBSTITUTE(SUBSTITUTE(TRIM($K1846),"-","")," ",""),마스터시트!$A$2:$H$1946,6,FALSE),""))</f>
        <v/>
      </c>
      <c r="R1846" s="18" t="str">
        <f>IF($K1846="","",IFERROR(VLOOKUP(--SUBSTITUTE(SUBSTITUTE(TRIM($K1846),"-","")," ",""),마스터시트!$A$2:$H$1946,7,FALSE),""))</f>
        <v/>
      </c>
    </row>
    <row r="1847" spans="13:18" x14ac:dyDescent="0.3">
      <c r="M1847" s="18" t="str">
        <f>IF($K1847="","",IFERROR(VLOOKUP(--SUBSTITUTE(SUBSTITUTE(TRIM($K1847),"-","")," ",""),마스터시트!$A$2:$H$1946,2,FALSE),"미등록"))</f>
        <v/>
      </c>
      <c r="N1847" s="53" t="str">
        <f>IF($K1847="","",IFERROR(VLOOKUP(--SUBSTITUTE(SUBSTITUTE(TRIM($K1847),"-","")," ",""),마스터시트!$A$2:$H$1946,3,FALSE),"미등록"))</f>
        <v/>
      </c>
      <c r="O1847" s="18" t="str">
        <f>IF($K1847="","",IFERROR(VLOOKUP(--SUBSTITUTE(SUBSTITUTE(TRIM($K1847),"-","")," ",""),마스터시트!$A$2:$H$1946,4,FALSE),""))</f>
        <v/>
      </c>
      <c r="P1847" s="18" t="str">
        <f>IF($K1847="","",IFERROR(VLOOKUP(--SUBSTITUTE(SUBSTITUTE(TRIM($K1847),"-","")," ",""),마스터시트!$A$2:$H$1946,5,FALSE),""))</f>
        <v/>
      </c>
      <c r="Q1847" s="18" t="str">
        <f>IF($K1847="","",IFERROR(VLOOKUP(--SUBSTITUTE(SUBSTITUTE(TRIM($K1847),"-","")," ",""),마스터시트!$A$2:$H$1946,6,FALSE),""))</f>
        <v/>
      </c>
      <c r="R1847" s="18" t="str">
        <f>IF($K1847="","",IFERROR(VLOOKUP(--SUBSTITUTE(SUBSTITUTE(TRIM($K1847),"-","")," ",""),마스터시트!$A$2:$H$1946,7,FALSE),""))</f>
        <v/>
      </c>
    </row>
    <row r="1848" spans="13:18" x14ac:dyDescent="0.3">
      <c r="M1848" s="18" t="str">
        <f>IF($K1848="","",IFERROR(VLOOKUP(--SUBSTITUTE(SUBSTITUTE(TRIM($K1848),"-","")," ",""),마스터시트!$A$2:$H$1946,2,FALSE),"미등록"))</f>
        <v/>
      </c>
      <c r="N1848" s="53" t="str">
        <f>IF($K1848="","",IFERROR(VLOOKUP(--SUBSTITUTE(SUBSTITUTE(TRIM($K1848),"-","")," ",""),마스터시트!$A$2:$H$1946,3,FALSE),"미등록"))</f>
        <v/>
      </c>
      <c r="O1848" s="18" t="str">
        <f>IF($K1848="","",IFERROR(VLOOKUP(--SUBSTITUTE(SUBSTITUTE(TRIM($K1848),"-","")," ",""),마스터시트!$A$2:$H$1946,4,FALSE),""))</f>
        <v/>
      </c>
      <c r="P1848" s="18" t="str">
        <f>IF($K1848="","",IFERROR(VLOOKUP(--SUBSTITUTE(SUBSTITUTE(TRIM($K1848),"-","")," ",""),마스터시트!$A$2:$H$1946,5,FALSE),""))</f>
        <v/>
      </c>
      <c r="Q1848" s="18" t="str">
        <f>IF($K1848="","",IFERROR(VLOOKUP(--SUBSTITUTE(SUBSTITUTE(TRIM($K1848),"-","")," ",""),마스터시트!$A$2:$H$1946,6,FALSE),""))</f>
        <v/>
      </c>
      <c r="R1848" s="18" t="str">
        <f>IF($K1848="","",IFERROR(VLOOKUP(--SUBSTITUTE(SUBSTITUTE(TRIM($K1848),"-","")," ",""),마스터시트!$A$2:$H$1946,7,FALSE),""))</f>
        <v/>
      </c>
    </row>
    <row r="1849" spans="13:18" x14ac:dyDescent="0.3">
      <c r="M1849" s="18" t="str">
        <f>IF($K1849="","",IFERROR(VLOOKUP(--SUBSTITUTE(SUBSTITUTE(TRIM($K1849),"-","")," ",""),마스터시트!$A$2:$H$1946,2,FALSE),"미등록"))</f>
        <v/>
      </c>
      <c r="N1849" s="53" t="str">
        <f>IF($K1849="","",IFERROR(VLOOKUP(--SUBSTITUTE(SUBSTITUTE(TRIM($K1849),"-","")," ",""),마스터시트!$A$2:$H$1946,3,FALSE),"미등록"))</f>
        <v/>
      </c>
      <c r="O1849" s="18" t="str">
        <f>IF($K1849="","",IFERROR(VLOOKUP(--SUBSTITUTE(SUBSTITUTE(TRIM($K1849),"-","")," ",""),마스터시트!$A$2:$H$1946,4,FALSE),""))</f>
        <v/>
      </c>
      <c r="P1849" s="18" t="str">
        <f>IF($K1849="","",IFERROR(VLOOKUP(--SUBSTITUTE(SUBSTITUTE(TRIM($K1849),"-","")," ",""),마스터시트!$A$2:$H$1946,5,FALSE),""))</f>
        <v/>
      </c>
      <c r="Q1849" s="18" t="str">
        <f>IF($K1849="","",IFERROR(VLOOKUP(--SUBSTITUTE(SUBSTITUTE(TRIM($K1849),"-","")," ",""),마스터시트!$A$2:$H$1946,6,FALSE),""))</f>
        <v/>
      </c>
      <c r="R1849" s="18" t="str">
        <f>IF($K1849="","",IFERROR(VLOOKUP(--SUBSTITUTE(SUBSTITUTE(TRIM($K1849),"-","")," ",""),마스터시트!$A$2:$H$1946,7,FALSE),""))</f>
        <v/>
      </c>
    </row>
    <row r="1850" spans="13:18" x14ac:dyDescent="0.3">
      <c r="M1850" s="18" t="str">
        <f>IF($K1850="","",IFERROR(VLOOKUP(--SUBSTITUTE(SUBSTITUTE(TRIM($K1850),"-","")," ",""),마스터시트!$A$2:$H$1946,2,FALSE),"미등록"))</f>
        <v/>
      </c>
      <c r="N1850" s="53" t="str">
        <f>IF($K1850="","",IFERROR(VLOOKUP(--SUBSTITUTE(SUBSTITUTE(TRIM($K1850),"-","")," ",""),마스터시트!$A$2:$H$1946,3,FALSE),"미등록"))</f>
        <v/>
      </c>
      <c r="O1850" s="18" t="str">
        <f>IF($K1850="","",IFERROR(VLOOKUP(--SUBSTITUTE(SUBSTITUTE(TRIM($K1850),"-","")," ",""),마스터시트!$A$2:$H$1946,4,FALSE),""))</f>
        <v/>
      </c>
      <c r="P1850" s="18" t="str">
        <f>IF($K1850="","",IFERROR(VLOOKUP(--SUBSTITUTE(SUBSTITUTE(TRIM($K1850),"-","")," ",""),마스터시트!$A$2:$H$1946,5,FALSE),""))</f>
        <v/>
      </c>
      <c r="Q1850" s="18" t="str">
        <f>IF($K1850="","",IFERROR(VLOOKUP(--SUBSTITUTE(SUBSTITUTE(TRIM($K1850),"-","")," ",""),마스터시트!$A$2:$H$1946,6,FALSE),""))</f>
        <v/>
      </c>
      <c r="R1850" s="18" t="str">
        <f>IF($K1850="","",IFERROR(VLOOKUP(--SUBSTITUTE(SUBSTITUTE(TRIM($K1850),"-","")," ",""),마스터시트!$A$2:$H$1946,7,FALSE),""))</f>
        <v/>
      </c>
    </row>
    <row r="1851" spans="13:18" x14ac:dyDescent="0.3">
      <c r="M1851" s="18" t="str">
        <f>IF($K1851="","",IFERROR(VLOOKUP(--SUBSTITUTE(SUBSTITUTE(TRIM($K1851),"-","")," ",""),마스터시트!$A$2:$H$1946,2,FALSE),"미등록"))</f>
        <v/>
      </c>
      <c r="N1851" s="53" t="str">
        <f>IF($K1851="","",IFERROR(VLOOKUP(--SUBSTITUTE(SUBSTITUTE(TRIM($K1851),"-","")," ",""),마스터시트!$A$2:$H$1946,3,FALSE),"미등록"))</f>
        <v/>
      </c>
      <c r="O1851" s="18" t="str">
        <f>IF($K1851="","",IFERROR(VLOOKUP(--SUBSTITUTE(SUBSTITUTE(TRIM($K1851),"-","")," ",""),마스터시트!$A$2:$H$1946,4,FALSE),""))</f>
        <v/>
      </c>
      <c r="P1851" s="18" t="str">
        <f>IF($K1851="","",IFERROR(VLOOKUP(--SUBSTITUTE(SUBSTITUTE(TRIM($K1851),"-","")," ",""),마스터시트!$A$2:$H$1946,5,FALSE),""))</f>
        <v/>
      </c>
      <c r="Q1851" s="18" t="str">
        <f>IF($K1851="","",IFERROR(VLOOKUP(--SUBSTITUTE(SUBSTITUTE(TRIM($K1851),"-","")," ",""),마스터시트!$A$2:$H$1946,6,FALSE),""))</f>
        <v/>
      </c>
      <c r="R1851" s="18" t="str">
        <f>IF($K1851="","",IFERROR(VLOOKUP(--SUBSTITUTE(SUBSTITUTE(TRIM($K1851),"-","")," ",""),마스터시트!$A$2:$H$1946,7,FALSE),""))</f>
        <v/>
      </c>
    </row>
    <row r="1852" spans="13:18" x14ac:dyDescent="0.3">
      <c r="M1852" s="18" t="str">
        <f>IF($K1852="","",IFERROR(VLOOKUP(--SUBSTITUTE(SUBSTITUTE(TRIM($K1852),"-","")," ",""),마스터시트!$A$2:$H$1946,2,FALSE),"미등록"))</f>
        <v/>
      </c>
      <c r="N1852" s="53" t="str">
        <f>IF($K1852="","",IFERROR(VLOOKUP(--SUBSTITUTE(SUBSTITUTE(TRIM($K1852),"-","")," ",""),마스터시트!$A$2:$H$1946,3,FALSE),"미등록"))</f>
        <v/>
      </c>
      <c r="O1852" s="18" t="str">
        <f>IF($K1852="","",IFERROR(VLOOKUP(--SUBSTITUTE(SUBSTITUTE(TRIM($K1852),"-","")," ",""),마스터시트!$A$2:$H$1946,4,FALSE),""))</f>
        <v/>
      </c>
      <c r="P1852" s="18" t="str">
        <f>IF($K1852="","",IFERROR(VLOOKUP(--SUBSTITUTE(SUBSTITUTE(TRIM($K1852),"-","")," ",""),마스터시트!$A$2:$H$1946,5,FALSE),""))</f>
        <v/>
      </c>
      <c r="Q1852" s="18" t="str">
        <f>IF($K1852="","",IFERROR(VLOOKUP(--SUBSTITUTE(SUBSTITUTE(TRIM($K1852),"-","")," ",""),마스터시트!$A$2:$H$1946,6,FALSE),""))</f>
        <v/>
      </c>
      <c r="R1852" s="18" t="str">
        <f>IF($K1852="","",IFERROR(VLOOKUP(--SUBSTITUTE(SUBSTITUTE(TRIM($K1852),"-","")," ",""),마스터시트!$A$2:$H$1946,7,FALSE),""))</f>
        <v/>
      </c>
    </row>
    <row r="1853" spans="13:18" x14ac:dyDescent="0.3">
      <c r="M1853" s="18" t="str">
        <f>IF($K1853="","",IFERROR(VLOOKUP(--SUBSTITUTE(SUBSTITUTE(TRIM($K1853),"-","")," ",""),마스터시트!$A$2:$H$1946,2,FALSE),"미등록"))</f>
        <v/>
      </c>
      <c r="N1853" s="53" t="str">
        <f>IF($K1853="","",IFERROR(VLOOKUP(--SUBSTITUTE(SUBSTITUTE(TRIM($K1853),"-","")," ",""),마스터시트!$A$2:$H$1946,3,FALSE),"미등록"))</f>
        <v/>
      </c>
      <c r="O1853" s="18" t="str">
        <f>IF($K1853="","",IFERROR(VLOOKUP(--SUBSTITUTE(SUBSTITUTE(TRIM($K1853),"-","")," ",""),마스터시트!$A$2:$H$1946,4,FALSE),""))</f>
        <v/>
      </c>
      <c r="P1853" s="18" t="str">
        <f>IF($K1853="","",IFERROR(VLOOKUP(--SUBSTITUTE(SUBSTITUTE(TRIM($K1853),"-","")," ",""),마스터시트!$A$2:$H$1946,5,FALSE),""))</f>
        <v/>
      </c>
      <c r="Q1853" s="18" t="str">
        <f>IF($K1853="","",IFERROR(VLOOKUP(--SUBSTITUTE(SUBSTITUTE(TRIM($K1853),"-","")," ",""),마스터시트!$A$2:$H$1946,6,FALSE),""))</f>
        <v/>
      </c>
      <c r="R1853" s="18" t="str">
        <f>IF($K1853="","",IFERROR(VLOOKUP(--SUBSTITUTE(SUBSTITUTE(TRIM($K1853),"-","")," ",""),마스터시트!$A$2:$H$1946,7,FALSE),""))</f>
        <v/>
      </c>
    </row>
    <row r="1854" spans="13:18" x14ac:dyDescent="0.3">
      <c r="M1854" s="18" t="str">
        <f>IF($K1854="","",IFERROR(VLOOKUP(--SUBSTITUTE(SUBSTITUTE(TRIM($K1854),"-","")," ",""),마스터시트!$A$2:$H$1946,2,FALSE),"미등록"))</f>
        <v/>
      </c>
      <c r="N1854" s="53" t="str">
        <f>IF($K1854="","",IFERROR(VLOOKUP(--SUBSTITUTE(SUBSTITUTE(TRIM($K1854),"-","")," ",""),마스터시트!$A$2:$H$1946,3,FALSE),"미등록"))</f>
        <v/>
      </c>
      <c r="O1854" s="18" t="str">
        <f>IF($K1854="","",IFERROR(VLOOKUP(--SUBSTITUTE(SUBSTITUTE(TRIM($K1854),"-","")," ",""),마스터시트!$A$2:$H$1946,4,FALSE),""))</f>
        <v/>
      </c>
      <c r="P1854" s="18" t="str">
        <f>IF($K1854="","",IFERROR(VLOOKUP(--SUBSTITUTE(SUBSTITUTE(TRIM($K1854),"-","")," ",""),마스터시트!$A$2:$H$1946,5,FALSE),""))</f>
        <v/>
      </c>
      <c r="Q1854" s="18" t="str">
        <f>IF($K1854="","",IFERROR(VLOOKUP(--SUBSTITUTE(SUBSTITUTE(TRIM($K1854),"-","")," ",""),마스터시트!$A$2:$H$1946,6,FALSE),""))</f>
        <v/>
      </c>
      <c r="R1854" s="18" t="str">
        <f>IF($K1854="","",IFERROR(VLOOKUP(--SUBSTITUTE(SUBSTITUTE(TRIM($K1854),"-","")," ",""),마스터시트!$A$2:$H$1946,7,FALSE),""))</f>
        <v/>
      </c>
    </row>
    <row r="1855" spans="13:18" x14ac:dyDescent="0.3">
      <c r="M1855" s="18" t="str">
        <f>IF($K1855="","",IFERROR(VLOOKUP(--SUBSTITUTE(SUBSTITUTE(TRIM($K1855),"-","")," ",""),마스터시트!$A$2:$H$1946,2,FALSE),"미등록"))</f>
        <v/>
      </c>
      <c r="N1855" s="53" t="str">
        <f>IF($K1855="","",IFERROR(VLOOKUP(--SUBSTITUTE(SUBSTITUTE(TRIM($K1855),"-","")," ",""),마스터시트!$A$2:$H$1946,3,FALSE),"미등록"))</f>
        <v/>
      </c>
      <c r="O1855" s="18" t="str">
        <f>IF($K1855="","",IFERROR(VLOOKUP(--SUBSTITUTE(SUBSTITUTE(TRIM($K1855),"-","")," ",""),마스터시트!$A$2:$H$1946,4,FALSE),""))</f>
        <v/>
      </c>
      <c r="P1855" s="18" t="str">
        <f>IF($K1855="","",IFERROR(VLOOKUP(--SUBSTITUTE(SUBSTITUTE(TRIM($K1855),"-","")," ",""),마스터시트!$A$2:$H$1946,5,FALSE),""))</f>
        <v/>
      </c>
      <c r="Q1855" s="18" t="str">
        <f>IF($K1855="","",IFERROR(VLOOKUP(--SUBSTITUTE(SUBSTITUTE(TRIM($K1855),"-","")," ",""),마스터시트!$A$2:$H$1946,6,FALSE),""))</f>
        <v/>
      </c>
      <c r="R1855" s="18" t="str">
        <f>IF($K1855="","",IFERROR(VLOOKUP(--SUBSTITUTE(SUBSTITUTE(TRIM($K1855),"-","")," ",""),마스터시트!$A$2:$H$1946,7,FALSE),""))</f>
        <v/>
      </c>
    </row>
    <row r="1856" spans="13:18" x14ac:dyDescent="0.3">
      <c r="M1856" s="18" t="str">
        <f>IF($K1856="","",IFERROR(VLOOKUP(--SUBSTITUTE(SUBSTITUTE(TRIM($K1856),"-","")," ",""),마스터시트!$A$2:$H$1946,2,FALSE),"미등록"))</f>
        <v/>
      </c>
      <c r="N1856" s="53" t="str">
        <f>IF($K1856="","",IFERROR(VLOOKUP(--SUBSTITUTE(SUBSTITUTE(TRIM($K1856),"-","")," ",""),마스터시트!$A$2:$H$1946,3,FALSE),"미등록"))</f>
        <v/>
      </c>
      <c r="O1856" s="18" t="str">
        <f>IF($K1856="","",IFERROR(VLOOKUP(--SUBSTITUTE(SUBSTITUTE(TRIM($K1856),"-","")," ",""),마스터시트!$A$2:$H$1946,4,FALSE),""))</f>
        <v/>
      </c>
      <c r="P1856" s="18" t="str">
        <f>IF($K1856="","",IFERROR(VLOOKUP(--SUBSTITUTE(SUBSTITUTE(TRIM($K1856),"-","")," ",""),마스터시트!$A$2:$H$1946,5,FALSE),""))</f>
        <v/>
      </c>
      <c r="Q1856" s="18" t="str">
        <f>IF($K1856="","",IFERROR(VLOOKUP(--SUBSTITUTE(SUBSTITUTE(TRIM($K1856),"-","")," ",""),마스터시트!$A$2:$H$1946,6,FALSE),""))</f>
        <v/>
      </c>
      <c r="R1856" s="18" t="str">
        <f>IF($K1856="","",IFERROR(VLOOKUP(--SUBSTITUTE(SUBSTITUTE(TRIM($K1856),"-","")," ",""),마스터시트!$A$2:$H$1946,7,FALSE),""))</f>
        <v/>
      </c>
    </row>
    <row r="1857" spans="13:18" x14ac:dyDescent="0.3">
      <c r="M1857" s="18" t="str">
        <f>IF($K1857="","",IFERROR(VLOOKUP(--SUBSTITUTE(SUBSTITUTE(TRIM($K1857),"-","")," ",""),마스터시트!$A$2:$H$1946,2,FALSE),"미등록"))</f>
        <v/>
      </c>
      <c r="N1857" s="53" t="str">
        <f>IF($K1857="","",IFERROR(VLOOKUP(--SUBSTITUTE(SUBSTITUTE(TRIM($K1857),"-","")," ",""),마스터시트!$A$2:$H$1946,3,FALSE),"미등록"))</f>
        <v/>
      </c>
      <c r="O1857" s="18" t="str">
        <f>IF($K1857="","",IFERROR(VLOOKUP(--SUBSTITUTE(SUBSTITUTE(TRIM($K1857),"-","")," ",""),마스터시트!$A$2:$H$1946,4,FALSE),""))</f>
        <v/>
      </c>
      <c r="P1857" s="18" t="str">
        <f>IF($K1857="","",IFERROR(VLOOKUP(--SUBSTITUTE(SUBSTITUTE(TRIM($K1857),"-","")," ",""),마스터시트!$A$2:$H$1946,5,FALSE),""))</f>
        <v/>
      </c>
      <c r="Q1857" s="18" t="str">
        <f>IF($K1857="","",IFERROR(VLOOKUP(--SUBSTITUTE(SUBSTITUTE(TRIM($K1857),"-","")," ",""),마스터시트!$A$2:$H$1946,6,FALSE),""))</f>
        <v/>
      </c>
      <c r="R1857" s="18" t="str">
        <f>IF($K1857="","",IFERROR(VLOOKUP(--SUBSTITUTE(SUBSTITUTE(TRIM($K1857),"-","")," ",""),마스터시트!$A$2:$H$1946,7,FALSE),""))</f>
        <v/>
      </c>
    </row>
    <row r="1858" spans="13:18" x14ac:dyDescent="0.3">
      <c r="M1858" s="18" t="str">
        <f>IF($K1858="","",IFERROR(VLOOKUP(--SUBSTITUTE(SUBSTITUTE(TRIM($K1858),"-","")," ",""),마스터시트!$A$2:$H$1946,2,FALSE),"미등록"))</f>
        <v/>
      </c>
      <c r="N1858" s="53" t="str">
        <f>IF($K1858="","",IFERROR(VLOOKUP(--SUBSTITUTE(SUBSTITUTE(TRIM($K1858),"-","")," ",""),마스터시트!$A$2:$H$1946,3,FALSE),"미등록"))</f>
        <v/>
      </c>
      <c r="O1858" s="18" t="str">
        <f>IF($K1858="","",IFERROR(VLOOKUP(--SUBSTITUTE(SUBSTITUTE(TRIM($K1858),"-","")," ",""),마스터시트!$A$2:$H$1946,4,FALSE),""))</f>
        <v/>
      </c>
      <c r="P1858" s="18" t="str">
        <f>IF($K1858="","",IFERROR(VLOOKUP(--SUBSTITUTE(SUBSTITUTE(TRIM($K1858),"-","")," ",""),마스터시트!$A$2:$H$1946,5,FALSE),""))</f>
        <v/>
      </c>
      <c r="Q1858" s="18" t="str">
        <f>IF($K1858="","",IFERROR(VLOOKUP(--SUBSTITUTE(SUBSTITUTE(TRIM($K1858),"-","")," ",""),마스터시트!$A$2:$H$1946,6,FALSE),""))</f>
        <v/>
      </c>
      <c r="R1858" s="18" t="str">
        <f>IF($K1858="","",IFERROR(VLOOKUP(--SUBSTITUTE(SUBSTITUTE(TRIM($K1858),"-","")," ",""),마스터시트!$A$2:$H$1946,7,FALSE),""))</f>
        <v/>
      </c>
    </row>
    <row r="1859" spans="13:18" x14ac:dyDescent="0.3">
      <c r="M1859" s="18" t="str">
        <f>IF($K1859="","",IFERROR(VLOOKUP(--SUBSTITUTE(SUBSTITUTE(TRIM($K1859),"-","")," ",""),마스터시트!$A$2:$H$1946,2,FALSE),"미등록"))</f>
        <v/>
      </c>
      <c r="N1859" s="53" t="str">
        <f>IF($K1859="","",IFERROR(VLOOKUP(--SUBSTITUTE(SUBSTITUTE(TRIM($K1859),"-","")," ",""),마스터시트!$A$2:$H$1946,3,FALSE),"미등록"))</f>
        <v/>
      </c>
      <c r="O1859" s="18" t="str">
        <f>IF($K1859="","",IFERROR(VLOOKUP(--SUBSTITUTE(SUBSTITUTE(TRIM($K1859),"-","")," ",""),마스터시트!$A$2:$H$1946,4,FALSE),""))</f>
        <v/>
      </c>
      <c r="P1859" s="18" t="str">
        <f>IF($K1859="","",IFERROR(VLOOKUP(--SUBSTITUTE(SUBSTITUTE(TRIM($K1859),"-","")," ",""),마스터시트!$A$2:$H$1946,5,FALSE),""))</f>
        <v/>
      </c>
      <c r="Q1859" s="18" t="str">
        <f>IF($K1859="","",IFERROR(VLOOKUP(--SUBSTITUTE(SUBSTITUTE(TRIM($K1859),"-","")," ",""),마스터시트!$A$2:$H$1946,6,FALSE),""))</f>
        <v/>
      </c>
      <c r="R1859" s="18" t="str">
        <f>IF($K1859="","",IFERROR(VLOOKUP(--SUBSTITUTE(SUBSTITUTE(TRIM($K1859),"-","")," ",""),마스터시트!$A$2:$H$1946,7,FALSE),""))</f>
        <v/>
      </c>
    </row>
    <row r="1860" spans="13:18" x14ac:dyDescent="0.3">
      <c r="M1860" s="18" t="str">
        <f>IF($K1860="","",IFERROR(VLOOKUP(--SUBSTITUTE(SUBSTITUTE(TRIM($K1860),"-","")," ",""),마스터시트!$A$2:$H$1946,2,FALSE),"미등록"))</f>
        <v/>
      </c>
      <c r="N1860" s="53" t="str">
        <f>IF($K1860="","",IFERROR(VLOOKUP(--SUBSTITUTE(SUBSTITUTE(TRIM($K1860),"-","")," ",""),마스터시트!$A$2:$H$1946,3,FALSE),"미등록"))</f>
        <v/>
      </c>
      <c r="O1860" s="18" t="str">
        <f>IF($K1860="","",IFERROR(VLOOKUP(--SUBSTITUTE(SUBSTITUTE(TRIM($K1860),"-","")," ",""),마스터시트!$A$2:$H$1946,4,FALSE),""))</f>
        <v/>
      </c>
      <c r="P1860" s="18" t="str">
        <f>IF($K1860="","",IFERROR(VLOOKUP(--SUBSTITUTE(SUBSTITUTE(TRIM($K1860),"-","")," ",""),마스터시트!$A$2:$H$1946,5,FALSE),""))</f>
        <v/>
      </c>
      <c r="Q1860" s="18" t="str">
        <f>IF($K1860="","",IFERROR(VLOOKUP(--SUBSTITUTE(SUBSTITUTE(TRIM($K1860),"-","")," ",""),마스터시트!$A$2:$H$1946,6,FALSE),""))</f>
        <v/>
      </c>
      <c r="R1860" s="18" t="str">
        <f>IF($K1860="","",IFERROR(VLOOKUP(--SUBSTITUTE(SUBSTITUTE(TRIM($K1860),"-","")," ",""),마스터시트!$A$2:$H$1946,7,FALSE),""))</f>
        <v/>
      </c>
    </row>
    <row r="1861" spans="13:18" x14ac:dyDescent="0.3">
      <c r="M1861" s="18" t="str">
        <f>IF($K1861="","",IFERROR(VLOOKUP(--SUBSTITUTE(SUBSTITUTE(TRIM($K1861),"-","")," ",""),마스터시트!$A$2:$H$1946,2,FALSE),"미등록"))</f>
        <v/>
      </c>
      <c r="N1861" s="53" t="str">
        <f>IF($K1861="","",IFERROR(VLOOKUP(--SUBSTITUTE(SUBSTITUTE(TRIM($K1861),"-","")," ",""),마스터시트!$A$2:$H$1946,3,FALSE),"미등록"))</f>
        <v/>
      </c>
      <c r="O1861" s="18" t="str">
        <f>IF($K1861="","",IFERROR(VLOOKUP(--SUBSTITUTE(SUBSTITUTE(TRIM($K1861),"-","")," ",""),마스터시트!$A$2:$H$1946,4,FALSE),""))</f>
        <v/>
      </c>
      <c r="P1861" s="18" t="str">
        <f>IF($K1861="","",IFERROR(VLOOKUP(--SUBSTITUTE(SUBSTITUTE(TRIM($K1861),"-","")," ",""),마스터시트!$A$2:$H$1946,5,FALSE),""))</f>
        <v/>
      </c>
      <c r="Q1861" s="18" t="str">
        <f>IF($K1861="","",IFERROR(VLOOKUP(--SUBSTITUTE(SUBSTITUTE(TRIM($K1861),"-","")," ",""),마스터시트!$A$2:$H$1946,6,FALSE),""))</f>
        <v/>
      </c>
      <c r="R1861" s="18" t="str">
        <f>IF($K1861="","",IFERROR(VLOOKUP(--SUBSTITUTE(SUBSTITUTE(TRIM($K1861),"-","")," ",""),마스터시트!$A$2:$H$1946,7,FALSE),""))</f>
        <v/>
      </c>
    </row>
    <row r="1862" spans="13:18" x14ac:dyDescent="0.3">
      <c r="M1862" s="18" t="str">
        <f>IF($K1862="","",IFERROR(VLOOKUP(--SUBSTITUTE(SUBSTITUTE(TRIM($K1862),"-","")," ",""),마스터시트!$A$2:$H$1946,2,FALSE),"미등록"))</f>
        <v/>
      </c>
      <c r="N1862" s="53" t="str">
        <f>IF($K1862="","",IFERROR(VLOOKUP(--SUBSTITUTE(SUBSTITUTE(TRIM($K1862),"-","")," ",""),마스터시트!$A$2:$H$1946,3,FALSE),"미등록"))</f>
        <v/>
      </c>
      <c r="O1862" s="18" t="str">
        <f>IF($K1862="","",IFERROR(VLOOKUP(--SUBSTITUTE(SUBSTITUTE(TRIM($K1862),"-","")," ",""),마스터시트!$A$2:$H$1946,4,FALSE),""))</f>
        <v/>
      </c>
      <c r="P1862" s="18" t="str">
        <f>IF($K1862="","",IFERROR(VLOOKUP(--SUBSTITUTE(SUBSTITUTE(TRIM($K1862),"-","")," ",""),마스터시트!$A$2:$H$1946,5,FALSE),""))</f>
        <v/>
      </c>
      <c r="Q1862" s="18" t="str">
        <f>IF($K1862="","",IFERROR(VLOOKUP(--SUBSTITUTE(SUBSTITUTE(TRIM($K1862),"-","")," ",""),마스터시트!$A$2:$H$1946,6,FALSE),""))</f>
        <v/>
      </c>
      <c r="R1862" s="18" t="str">
        <f>IF($K1862="","",IFERROR(VLOOKUP(--SUBSTITUTE(SUBSTITUTE(TRIM($K1862),"-","")," ",""),마스터시트!$A$2:$H$1946,7,FALSE),""))</f>
        <v/>
      </c>
    </row>
    <row r="1863" spans="13:18" x14ac:dyDescent="0.3">
      <c r="M1863" s="18" t="str">
        <f>IF($K1863="","",IFERROR(VLOOKUP(--SUBSTITUTE(SUBSTITUTE(TRIM($K1863),"-","")," ",""),마스터시트!$A$2:$H$1946,2,FALSE),"미등록"))</f>
        <v/>
      </c>
      <c r="N1863" s="53" t="str">
        <f>IF($K1863="","",IFERROR(VLOOKUP(--SUBSTITUTE(SUBSTITUTE(TRIM($K1863),"-","")," ",""),마스터시트!$A$2:$H$1946,3,FALSE),"미등록"))</f>
        <v/>
      </c>
      <c r="O1863" s="18" t="str">
        <f>IF($K1863="","",IFERROR(VLOOKUP(--SUBSTITUTE(SUBSTITUTE(TRIM($K1863),"-","")," ",""),마스터시트!$A$2:$H$1946,4,FALSE),""))</f>
        <v/>
      </c>
      <c r="P1863" s="18" t="str">
        <f>IF($K1863="","",IFERROR(VLOOKUP(--SUBSTITUTE(SUBSTITUTE(TRIM($K1863),"-","")," ",""),마스터시트!$A$2:$H$1946,5,FALSE),""))</f>
        <v/>
      </c>
      <c r="Q1863" s="18" t="str">
        <f>IF($K1863="","",IFERROR(VLOOKUP(--SUBSTITUTE(SUBSTITUTE(TRIM($K1863),"-","")," ",""),마스터시트!$A$2:$H$1946,6,FALSE),""))</f>
        <v/>
      </c>
      <c r="R1863" s="18" t="str">
        <f>IF($K1863="","",IFERROR(VLOOKUP(--SUBSTITUTE(SUBSTITUTE(TRIM($K1863),"-","")," ",""),마스터시트!$A$2:$H$1946,7,FALSE),""))</f>
        <v/>
      </c>
    </row>
    <row r="1864" spans="13:18" x14ac:dyDescent="0.3">
      <c r="M1864" s="18" t="str">
        <f>IF($K1864="","",IFERROR(VLOOKUP(--SUBSTITUTE(SUBSTITUTE(TRIM($K1864),"-","")," ",""),마스터시트!$A$2:$H$1946,2,FALSE),"미등록"))</f>
        <v/>
      </c>
      <c r="N1864" s="53" t="str">
        <f>IF($K1864="","",IFERROR(VLOOKUP(--SUBSTITUTE(SUBSTITUTE(TRIM($K1864),"-","")," ",""),마스터시트!$A$2:$H$1946,3,FALSE),"미등록"))</f>
        <v/>
      </c>
      <c r="O1864" s="18" t="str">
        <f>IF($K1864="","",IFERROR(VLOOKUP(--SUBSTITUTE(SUBSTITUTE(TRIM($K1864),"-","")," ",""),마스터시트!$A$2:$H$1946,4,FALSE),""))</f>
        <v/>
      </c>
      <c r="P1864" s="18" t="str">
        <f>IF($K1864="","",IFERROR(VLOOKUP(--SUBSTITUTE(SUBSTITUTE(TRIM($K1864),"-","")," ",""),마스터시트!$A$2:$H$1946,5,FALSE),""))</f>
        <v/>
      </c>
      <c r="Q1864" s="18" t="str">
        <f>IF($K1864="","",IFERROR(VLOOKUP(--SUBSTITUTE(SUBSTITUTE(TRIM($K1864),"-","")," ",""),마스터시트!$A$2:$H$1946,6,FALSE),""))</f>
        <v/>
      </c>
      <c r="R1864" s="18" t="str">
        <f>IF($K1864="","",IFERROR(VLOOKUP(--SUBSTITUTE(SUBSTITUTE(TRIM($K1864),"-","")," ",""),마스터시트!$A$2:$H$1946,7,FALSE),""))</f>
        <v/>
      </c>
    </row>
    <row r="1865" spans="13:18" x14ac:dyDescent="0.3">
      <c r="M1865" s="18" t="str">
        <f>IF($K1865="","",IFERROR(VLOOKUP(--SUBSTITUTE(SUBSTITUTE(TRIM($K1865),"-","")," ",""),마스터시트!$A$2:$H$1946,2,FALSE),"미등록"))</f>
        <v/>
      </c>
      <c r="N1865" s="53" t="str">
        <f>IF($K1865="","",IFERROR(VLOOKUP(--SUBSTITUTE(SUBSTITUTE(TRIM($K1865),"-","")," ",""),마스터시트!$A$2:$H$1946,3,FALSE),"미등록"))</f>
        <v/>
      </c>
      <c r="O1865" s="18" t="str">
        <f>IF($K1865="","",IFERROR(VLOOKUP(--SUBSTITUTE(SUBSTITUTE(TRIM($K1865),"-","")," ",""),마스터시트!$A$2:$H$1946,4,FALSE),""))</f>
        <v/>
      </c>
      <c r="P1865" s="18" t="str">
        <f>IF($K1865="","",IFERROR(VLOOKUP(--SUBSTITUTE(SUBSTITUTE(TRIM($K1865),"-","")," ",""),마스터시트!$A$2:$H$1946,5,FALSE),""))</f>
        <v/>
      </c>
      <c r="Q1865" s="18" t="str">
        <f>IF($K1865="","",IFERROR(VLOOKUP(--SUBSTITUTE(SUBSTITUTE(TRIM($K1865),"-","")," ",""),마스터시트!$A$2:$H$1946,6,FALSE),""))</f>
        <v/>
      </c>
      <c r="R1865" s="18" t="str">
        <f>IF($K1865="","",IFERROR(VLOOKUP(--SUBSTITUTE(SUBSTITUTE(TRIM($K1865),"-","")," ",""),마스터시트!$A$2:$H$1946,7,FALSE),""))</f>
        <v/>
      </c>
    </row>
    <row r="1866" spans="13:18" x14ac:dyDescent="0.3">
      <c r="M1866" s="18" t="str">
        <f>IF($K1866="","",IFERROR(VLOOKUP(--SUBSTITUTE(SUBSTITUTE(TRIM($K1866),"-","")," ",""),마스터시트!$A$2:$H$1946,2,FALSE),"미등록"))</f>
        <v/>
      </c>
      <c r="N1866" s="53" t="str">
        <f>IF($K1866="","",IFERROR(VLOOKUP(--SUBSTITUTE(SUBSTITUTE(TRIM($K1866),"-","")," ",""),마스터시트!$A$2:$H$1946,3,FALSE),"미등록"))</f>
        <v/>
      </c>
      <c r="O1866" s="18" t="str">
        <f>IF($K1866="","",IFERROR(VLOOKUP(--SUBSTITUTE(SUBSTITUTE(TRIM($K1866),"-","")," ",""),마스터시트!$A$2:$H$1946,4,FALSE),""))</f>
        <v/>
      </c>
      <c r="P1866" s="18" t="str">
        <f>IF($K1866="","",IFERROR(VLOOKUP(--SUBSTITUTE(SUBSTITUTE(TRIM($K1866),"-","")," ",""),마스터시트!$A$2:$H$1946,5,FALSE),""))</f>
        <v/>
      </c>
      <c r="Q1866" s="18" t="str">
        <f>IF($K1866="","",IFERROR(VLOOKUP(--SUBSTITUTE(SUBSTITUTE(TRIM($K1866),"-","")," ",""),마스터시트!$A$2:$H$1946,6,FALSE),""))</f>
        <v/>
      </c>
      <c r="R1866" s="18" t="str">
        <f>IF($K1866="","",IFERROR(VLOOKUP(--SUBSTITUTE(SUBSTITUTE(TRIM($K1866),"-","")," ",""),마스터시트!$A$2:$H$1946,7,FALSE),""))</f>
        <v/>
      </c>
    </row>
    <row r="1867" spans="13:18" x14ac:dyDescent="0.3">
      <c r="M1867" s="18" t="str">
        <f>IF($K1867="","",IFERROR(VLOOKUP(--SUBSTITUTE(SUBSTITUTE(TRIM($K1867),"-","")," ",""),마스터시트!$A$2:$H$1946,2,FALSE),"미등록"))</f>
        <v/>
      </c>
      <c r="N1867" s="53" t="str">
        <f>IF($K1867="","",IFERROR(VLOOKUP(--SUBSTITUTE(SUBSTITUTE(TRIM($K1867),"-","")," ",""),마스터시트!$A$2:$H$1946,3,FALSE),"미등록"))</f>
        <v/>
      </c>
      <c r="O1867" s="18" t="str">
        <f>IF($K1867="","",IFERROR(VLOOKUP(--SUBSTITUTE(SUBSTITUTE(TRIM($K1867),"-","")," ",""),마스터시트!$A$2:$H$1946,4,FALSE),""))</f>
        <v/>
      </c>
      <c r="P1867" s="18" t="str">
        <f>IF($K1867="","",IFERROR(VLOOKUP(--SUBSTITUTE(SUBSTITUTE(TRIM($K1867),"-","")," ",""),마스터시트!$A$2:$H$1946,5,FALSE),""))</f>
        <v/>
      </c>
      <c r="Q1867" s="18" t="str">
        <f>IF($K1867="","",IFERROR(VLOOKUP(--SUBSTITUTE(SUBSTITUTE(TRIM($K1867),"-","")," ",""),마스터시트!$A$2:$H$1946,6,FALSE),""))</f>
        <v/>
      </c>
      <c r="R1867" s="18" t="str">
        <f>IF($K1867="","",IFERROR(VLOOKUP(--SUBSTITUTE(SUBSTITUTE(TRIM($K1867),"-","")," ",""),마스터시트!$A$2:$H$1946,7,FALSE),""))</f>
        <v/>
      </c>
    </row>
    <row r="1868" spans="13:18" x14ac:dyDescent="0.3">
      <c r="M1868" s="18" t="str">
        <f>IF($K1868="","",IFERROR(VLOOKUP(--SUBSTITUTE(SUBSTITUTE(TRIM($K1868),"-","")," ",""),마스터시트!$A$2:$H$1946,2,FALSE),"미등록"))</f>
        <v/>
      </c>
      <c r="N1868" s="53" t="str">
        <f>IF($K1868="","",IFERROR(VLOOKUP(--SUBSTITUTE(SUBSTITUTE(TRIM($K1868),"-","")," ",""),마스터시트!$A$2:$H$1946,3,FALSE),"미등록"))</f>
        <v/>
      </c>
      <c r="O1868" s="18" t="str">
        <f>IF($K1868="","",IFERROR(VLOOKUP(--SUBSTITUTE(SUBSTITUTE(TRIM($K1868),"-","")," ",""),마스터시트!$A$2:$H$1946,4,FALSE),""))</f>
        <v/>
      </c>
      <c r="P1868" s="18" t="str">
        <f>IF($K1868="","",IFERROR(VLOOKUP(--SUBSTITUTE(SUBSTITUTE(TRIM($K1868),"-","")," ",""),마스터시트!$A$2:$H$1946,5,FALSE),""))</f>
        <v/>
      </c>
      <c r="Q1868" s="18" t="str">
        <f>IF($K1868="","",IFERROR(VLOOKUP(--SUBSTITUTE(SUBSTITUTE(TRIM($K1868),"-","")," ",""),마스터시트!$A$2:$H$1946,6,FALSE),""))</f>
        <v/>
      </c>
      <c r="R1868" s="18" t="str">
        <f>IF($K1868="","",IFERROR(VLOOKUP(--SUBSTITUTE(SUBSTITUTE(TRIM($K1868),"-","")," ",""),마스터시트!$A$2:$H$1946,7,FALSE),""))</f>
        <v/>
      </c>
    </row>
    <row r="1869" spans="13:18" x14ac:dyDescent="0.3">
      <c r="M1869" s="18" t="str">
        <f>IF($K1869="","",IFERROR(VLOOKUP(--SUBSTITUTE(SUBSTITUTE(TRIM($K1869),"-","")," ",""),마스터시트!$A$2:$H$1946,2,FALSE),"미등록"))</f>
        <v/>
      </c>
      <c r="N1869" s="53" t="str">
        <f>IF($K1869="","",IFERROR(VLOOKUP(--SUBSTITUTE(SUBSTITUTE(TRIM($K1869),"-","")," ",""),마스터시트!$A$2:$H$1946,3,FALSE),"미등록"))</f>
        <v/>
      </c>
      <c r="O1869" s="18" t="str">
        <f>IF($K1869="","",IFERROR(VLOOKUP(--SUBSTITUTE(SUBSTITUTE(TRIM($K1869),"-","")," ",""),마스터시트!$A$2:$H$1946,4,FALSE),""))</f>
        <v/>
      </c>
      <c r="P1869" s="18" t="str">
        <f>IF($K1869="","",IFERROR(VLOOKUP(--SUBSTITUTE(SUBSTITUTE(TRIM($K1869),"-","")," ",""),마스터시트!$A$2:$H$1946,5,FALSE),""))</f>
        <v/>
      </c>
      <c r="Q1869" s="18" t="str">
        <f>IF($K1869="","",IFERROR(VLOOKUP(--SUBSTITUTE(SUBSTITUTE(TRIM($K1869),"-","")," ",""),마스터시트!$A$2:$H$1946,6,FALSE),""))</f>
        <v/>
      </c>
      <c r="R1869" s="18" t="str">
        <f>IF($K1869="","",IFERROR(VLOOKUP(--SUBSTITUTE(SUBSTITUTE(TRIM($K1869),"-","")," ",""),마스터시트!$A$2:$H$1946,7,FALSE),""))</f>
        <v/>
      </c>
    </row>
    <row r="1870" spans="13:18" x14ac:dyDescent="0.3">
      <c r="M1870" s="18" t="str">
        <f>IF($K1870="","",IFERROR(VLOOKUP(--SUBSTITUTE(SUBSTITUTE(TRIM($K1870),"-","")," ",""),마스터시트!$A$2:$H$1946,2,FALSE),"미등록"))</f>
        <v/>
      </c>
      <c r="N1870" s="53" t="str">
        <f>IF($K1870="","",IFERROR(VLOOKUP(--SUBSTITUTE(SUBSTITUTE(TRIM($K1870),"-","")," ",""),마스터시트!$A$2:$H$1946,3,FALSE),"미등록"))</f>
        <v/>
      </c>
      <c r="O1870" s="18" t="str">
        <f>IF($K1870="","",IFERROR(VLOOKUP(--SUBSTITUTE(SUBSTITUTE(TRIM($K1870),"-","")," ",""),마스터시트!$A$2:$H$1946,4,FALSE),""))</f>
        <v/>
      </c>
      <c r="P1870" s="18" t="str">
        <f>IF($K1870="","",IFERROR(VLOOKUP(--SUBSTITUTE(SUBSTITUTE(TRIM($K1870),"-","")," ",""),마스터시트!$A$2:$H$1946,5,FALSE),""))</f>
        <v/>
      </c>
      <c r="Q1870" s="18" t="str">
        <f>IF($K1870="","",IFERROR(VLOOKUP(--SUBSTITUTE(SUBSTITUTE(TRIM($K1870),"-","")," ",""),마스터시트!$A$2:$H$1946,6,FALSE),""))</f>
        <v/>
      </c>
      <c r="R1870" s="18" t="str">
        <f>IF($K1870="","",IFERROR(VLOOKUP(--SUBSTITUTE(SUBSTITUTE(TRIM($K1870),"-","")," ",""),마스터시트!$A$2:$H$1946,7,FALSE),""))</f>
        <v/>
      </c>
    </row>
    <row r="1871" spans="13:18" x14ac:dyDescent="0.3">
      <c r="M1871" s="18" t="str">
        <f>IF($K1871="","",IFERROR(VLOOKUP(--SUBSTITUTE(SUBSTITUTE(TRIM($K1871),"-","")," ",""),마스터시트!$A$2:$H$1946,2,FALSE),"미등록"))</f>
        <v/>
      </c>
      <c r="N1871" s="53" t="str">
        <f>IF($K1871="","",IFERROR(VLOOKUP(--SUBSTITUTE(SUBSTITUTE(TRIM($K1871),"-","")," ",""),마스터시트!$A$2:$H$1946,3,FALSE),"미등록"))</f>
        <v/>
      </c>
      <c r="O1871" s="18" t="str">
        <f>IF($K1871="","",IFERROR(VLOOKUP(--SUBSTITUTE(SUBSTITUTE(TRIM($K1871),"-","")," ",""),마스터시트!$A$2:$H$1946,4,FALSE),""))</f>
        <v/>
      </c>
      <c r="P1871" s="18" t="str">
        <f>IF($K1871="","",IFERROR(VLOOKUP(--SUBSTITUTE(SUBSTITUTE(TRIM($K1871),"-","")," ",""),마스터시트!$A$2:$H$1946,5,FALSE),""))</f>
        <v/>
      </c>
      <c r="Q1871" s="18" t="str">
        <f>IF($K1871="","",IFERROR(VLOOKUP(--SUBSTITUTE(SUBSTITUTE(TRIM($K1871),"-","")," ",""),마스터시트!$A$2:$H$1946,6,FALSE),""))</f>
        <v/>
      </c>
      <c r="R1871" s="18" t="str">
        <f>IF($K1871="","",IFERROR(VLOOKUP(--SUBSTITUTE(SUBSTITUTE(TRIM($K1871),"-","")," ",""),마스터시트!$A$2:$H$1946,7,FALSE),""))</f>
        <v/>
      </c>
    </row>
    <row r="1872" spans="13:18" x14ac:dyDescent="0.3">
      <c r="M1872" s="18" t="str">
        <f>IF($K1872="","",IFERROR(VLOOKUP(--SUBSTITUTE(SUBSTITUTE(TRIM($K1872),"-","")," ",""),마스터시트!$A$2:$H$1946,2,FALSE),"미등록"))</f>
        <v/>
      </c>
      <c r="N1872" s="53" t="str">
        <f>IF($K1872="","",IFERROR(VLOOKUP(--SUBSTITUTE(SUBSTITUTE(TRIM($K1872),"-","")," ",""),마스터시트!$A$2:$H$1946,3,FALSE),"미등록"))</f>
        <v/>
      </c>
      <c r="O1872" s="18" t="str">
        <f>IF($K1872="","",IFERROR(VLOOKUP(--SUBSTITUTE(SUBSTITUTE(TRIM($K1872),"-","")," ",""),마스터시트!$A$2:$H$1946,4,FALSE),""))</f>
        <v/>
      </c>
      <c r="P1872" s="18" t="str">
        <f>IF($K1872="","",IFERROR(VLOOKUP(--SUBSTITUTE(SUBSTITUTE(TRIM($K1872),"-","")," ",""),마스터시트!$A$2:$H$1946,5,FALSE),""))</f>
        <v/>
      </c>
      <c r="Q1872" s="18" t="str">
        <f>IF($K1872="","",IFERROR(VLOOKUP(--SUBSTITUTE(SUBSTITUTE(TRIM($K1872),"-","")," ",""),마스터시트!$A$2:$H$1946,6,FALSE),""))</f>
        <v/>
      </c>
      <c r="R1872" s="18" t="str">
        <f>IF($K1872="","",IFERROR(VLOOKUP(--SUBSTITUTE(SUBSTITUTE(TRIM($K1872),"-","")," ",""),마스터시트!$A$2:$H$1946,7,FALSE),""))</f>
        <v/>
      </c>
    </row>
    <row r="1873" spans="13:18" x14ac:dyDescent="0.3">
      <c r="M1873" s="18" t="str">
        <f>IF($K1873="","",IFERROR(VLOOKUP(--SUBSTITUTE(SUBSTITUTE(TRIM($K1873),"-","")," ",""),마스터시트!$A$2:$H$1946,2,FALSE),"미등록"))</f>
        <v/>
      </c>
      <c r="N1873" s="53" t="str">
        <f>IF($K1873="","",IFERROR(VLOOKUP(--SUBSTITUTE(SUBSTITUTE(TRIM($K1873),"-","")," ",""),마스터시트!$A$2:$H$1946,3,FALSE),"미등록"))</f>
        <v/>
      </c>
      <c r="O1873" s="18" t="str">
        <f>IF($K1873="","",IFERROR(VLOOKUP(--SUBSTITUTE(SUBSTITUTE(TRIM($K1873),"-","")," ",""),마스터시트!$A$2:$H$1946,4,FALSE),""))</f>
        <v/>
      </c>
      <c r="P1873" s="18" t="str">
        <f>IF($K1873="","",IFERROR(VLOOKUP(--SUBSTITUTE(SUBSTITUTE(TRIM($K1873),"-","")," ",""),마스터시트!$A$2:$H$1946,5,FALSE),""))</f>
        <v/>
      </c>
      <c r="Q1873" s="18" t="str">
        <f>IF($K1873="","",IFERROR(VLOOKUP(--SUBSTITUTE(SUBSTITUTE(TRIM($K1873),"-","")," ",""),마스터시트!$A$2:$H$1946,6,FALSE),""))</f>
        <v/>
      </c>
      <c r="R1873" s="18" t="str">
        <f>IF($K1873="","",IFERROR(VLOOKUP(--SUBSTITUTE(SUBSTITUTE(TRIM($K1873),"-","")," ",""),마스터시트!$A$2:$H$1946,7,FALSE),""))</f>
        <v/>
      </c>
    </row>
    <row r="1874" spans="13:18" x14ac:dyDescent="0.3">
      <c r="M1874" s="18" t="str">
        <f>IF($K1874="","",IFERROR(VLOOKUP(--SUBSTITUTE(SUBSTITUTE(TRIM($K1874),"-","")," ",""),마스터시트!$A$2:$H$1946,2,FALSE),"미등록"))</f>
        <v/>
      </c>
      <c r="N1874" s="53" t="str">
        <f>IF($K1874="","",IFERROR(VLOOKUP(--SUBSTITUTE(SUBSTITUTE(TRIM($K1874),"-","")," ",""),마스터시트!$A$2:$H$1946,3,FALSE),"미등록"))</f>
        <v/>
      </c>
      <c r="O1874" s="18" t="str">
        <f>IF($K1874="","",IFERROR(VLOOKUP(--SUBSTITUTE(SUBSTITUTE(TRIM($K1874),"-","")," ",""),마스터시트!$A$2:$H$1946,4,FALSE),""))</f>
        <v/>
      </c>
      <c r="P1874" s="18" t="str">
        <f>IF($K1874="","",IFERROR(VLOOKUP(--SUBSTITUTE(SUBSTITUTE(TRIM($K1874),"-","")," ",""),마스터시트!$A$2:$H$1946,5,FALSE),""))</f>
        <v/>
      </c>
      <c r="Q1874" s="18" t="str">
        <f>IF($K1874="","",IFERROR(VLOOKUP(--SUBSTITUTE(SUBSTITUTE(TRIM($K1874),"-","")," ",""),마스터시트!$A$2:$H$1946,6,FALSE),""))</f>
        <v/>
      </c>
      <c r="R1874" s="18" t="str">
        <f>IF($K1874="","",IFERROR(VLOOKUP(--SUBSTITUTE(SUBSTITUTE(TRIM($K1874),"-","")," ",""),마스터시트!$A$2:$H$1946,7,FALSE),""))</f>
        <v/>
      </c>
    </row>
    <row r="1875" spans="13:18" x14ac:dyDescent="0.3">
      <c r="M1875" s="18" t="str">
        <f>IF($K1875="","",IFERROR(VLOOKUP(--SUBSTITUTE(SUBSTITUTE(TRIM($K1875),"-","")," ",""),마스터시트!$A$2:$H$1946,2,FALSE),"미등록"))</f>
        <v/>
      </c>
      <c r="N1875" s="53" t="str">
        <f>IF($K1875="","",IFERROR(VLOOKUP(--SUBSTITUTE(SUBSTITUTE(TRIM($K1875),"-","")," ",""),마스터시트!$A$2:$H$1946,3,FALSE),"미등록"))</f>
        <v/>
      </c>
      <c r="O1875" s="18" t="str">
        <f>IF($K1875="","",IFERROR(VLOOKUP(--SUBSTITUTE(SUBSTITUTE(TRIM($K1875),"-","")," ",""),마스터시트!$A$2:$H$1946,4,FALSE),""))</f>
        <v/>
      </c>
      <c r="P1875" s="18" t="str">
        <f>IF($K1875="","",IFERROR(VLOOKUP(--SUBSTITUTE(SUBSTITUTE(TRIM($K1875),"-","")," ",""),마스터시트!$A$2:$H$1946,5,FALSE),""))</f>
        <v/>
      </c>
      <c r="Q1875" s="18" t="str">
        <f>IF($K1875="","",IFERROR(VLOOKUP(--SUBSTITUTE(SUBSTITUTE(TRIM($K1875),"-","")," ",""),마스터시트!$A$2:$H$1946,6,FALSE),""))</f>
        <v/>
      </c>
      <c r="R1875" s="18" t="str">
        <f>IF($K1875="","",IFERROR(VLOOKUP(--SUBSTITUTE(SUBSTITUTE(TRIM($K1875),"-","")," ",""),마스터시트!$A$2:$H$1946,7,FALSE),""))</f>
        <v/>
      </c>
    </row>
    <row r="1876" spans="13:18" x14ac:dyDescent="0.3">
      <c r="M1876" s="18" t="str">
        <f>IF($K1876="","",IFERROR(VLOOKUP(--SUBSTITUTE(SUBSTITUTE(TRIM($K1876),"-","")," ",""),마스터시트!$A$2:$H$1946,2,FALSE),"미등록"))</f>
        <v/>
      </c>
      <c r="N1876" s="53" t="str">
        <f>IF($K1876="","",IFERROR(VLOOKUP(--SUBSTITUTE(SUBSTITUTE(TRIM($K1876),"-","")," ",""),마스터시트!$A$2:$H$1946,3,FALSE),"미등록"))</f>
        <v/>
      </c>
      <c r="O1876" s="18" t="str">
        <f>IF($K1876="","",IFERROR(VLOOKUP(--SUBSTITUTE(SUBSTITUTE(TRIM($K1876),"-","")," ",""),마스터시트!$A$2:$H$1946,4,FALSE),""))</f>
        <v/>
      </c>
      <c r="P1876" s="18" t="str">
        <f>IF($K1876="","",IFERROR(VLOOKUP(--SUBSTITUTE(SUBSTITUTE(TRIM($K1876),"-","")," ",""),마스터시트!$A$2:$H$1946,5,FALSE),""))</f>
        <v/>
      </c>
      <c r="Q1876" s="18" t="str">
        <f>IF($K1876="","",IFERROR(VLOOKUP(--SUBSTITUTE(SUBSTITUTE(TRIM($K1876),"-","")," ",""),마스터시트!$A$2:$H$1946,6,FALSE),""))</f>
        <v/>
      </c>
      <c r="R1876" s="18" t="str">
        <f>IF($K1876="","",IFERROR(VLOOKUP(--SUBSTITUTE(SUBSTITUTE(TRIM($K1876),"-","")," ",""),마스터시트!$A$2:$H$1946,7,FALSE),""))</f>
        <v/>
      </c>
    </row>
    <row r="1877" spans="13:18" x14ac:dyDescent="0.3">
      <c r="M1877" s="18" t="str">
        <f>IF($K1877="","",IFERROR(VLOOKUP(--SUBSTITUTE(SUBSTITUTE(TRIM($K1877),"-","")," ",""),마스터시트!$A$2:$H$1946,2,FALSE),"미등록"))</f>
        <v/>
      </c>
      <c r="N1877" s="53" t="str">
        <f>IF($K1877="","",IFERROR(VLOOKUP(--SUBSTITUTE(SUBSTITUTE(TRIM($K1877),"-","")," ",""),마스터시트!$A$2:$H$1946,3,FALSE),"미등록"))</f>
        <v/>
      </c>
      <c r="O1877" s="18" t="str">
        <f>IF($K1877="","",IFERROR(VLOOKUP(--SUBSTITUTE(SUBSTITUTE(TRIM($K1877),"-","")," ",""),마스터시트!$A$2:$H$1946,4,FALSE),""))</f>
        <v/>
      </c>
      <c r="P1877" s="18" t="str">
        <f>IF($K1877="","",IFERROR(VLOOKUP(--SUBSTITUTE(SUBSTITUTE(TRIM($K1877),"-","")," ",""),마스터시트!$A$2:$H$1946,5,FALSE),""))</f>
        <v/>
      </c>
      <c r="Q1877" s="18" t="str">
        <f>IF($K1877="","",IFERROR(VLOOKUP(--SUBSTITUTE(SUBSTITUTE(TRIM($K1877),"-","")," ",""),마스터시트!$A$2:$H$1946,6,FALSE),""))</f>
        <v/>
      </c>
      <c r="R1877" s="18" t="str">
        <f>IF($K1877="","",IFERROR(VLOOKUP(--SUBSTITUTE(SUBSTITUTE(TRIM($K1877),"-","")," ",""),마스터시트!$A$2:$H$1946,7,FALSE),""))</f>
        <v/>
      </c>
    </row>
    <row r="1878" spans="13:18" x14ac:dyDescent="0.3">
      <c r="M1878" s="18" t="str">
        <f>IF($K1878="","",IFERROR(VLOOKUP(--SUBSTITUTE(SUBSTITUTE(TRIM($K1878),"-","")," ",""),마스터시트!$A$2:$H$1946,2,FALSE),"미등록"))</f>
        <v/>
      </c>
      <c r="N1878" s="53" t="str">
        <f>IF($K1878="","",IFERROR(VLOOKUP(--SUBSTITUTE(SUBSTITUTE(TRIM($K1878),"-","")," ",""),마스터시트!$A$2:$H$1946,3,FALSE),"미등록"))</f>
        <v/>
      </c>
      <c r="O1878" s="18" t="str">
        <f>IF($K1878="","",IFERROR(VLOOKUP(--SUBSTITUTE(SUBSTITUTE(TRIM($K1878),"-","")," ",""),마스터시트!$A$2:$H$1946,4,FALSE),""))</f>
        <v/>
      </c>
      <c r="P1878" s="18" t="str">
        <f>IF($K1878="","",IFERROR(VLOOKUP(--SUBSTITUTE(SUBSTITUTE(TRIM($K1878),"-","")," ",""),마스터시트!$A$2:$H$1946,5,FALSE),""))</f>
        <v/>
      </c>
      <c r="Q1878" s="18" t="str">
        <f>IF($K1878="","",IFERROR(VLOOKUP(--SUBSTITUTE(SUBSTITUTE(TRIM($K1878),"-","")," ",""),마스터시트!$A$2:$H$1946,6,FALSE),""))</f>
        <v/>
      </c>
      <c r="R1878" s="18" t="str">
        <f>IF($K1878="","",IFERROR(VLOOKUP(--SUBSTITUTE(SUBSTITUTE(TRIM($K1878),"-","")," ",""),마스터시트!$A$2:$H$1946,7,FALSE),""))</f>
        <v/>
      </c>
    </row>
    <row r="1879" spans="13:18" x14ac:dyDescent="0.3">
      <c r="M1879" s="18" t="str">
        <f>IF($K1879="","",IFERROR(VLOOKUP(--SUBSTITUTE(SUBSTITUTE(TRIM($K1879),"-","")," ",""),마스터시트!$A$2:$H$1946,2,FALSE),"미등록"))</f>
        <v/>
      </c>
      <c r="N1879" s="53" t="str">
        <f>IF($K1879="","",IFERROR(VLOOKUP(--SUBSTITUTE(SUBSTITUTE(TRIM($K1879),"-","")," ",""),마스터시트!$A$2:$H$1946,3,FALSE),"미등록"))</f>
        <v/>
      </c>
      <c r="O1879" s="18" t="str">
        <f>IF($K1879="","",IFERROR(VLOOKUP(--SUBSTITUTE(SUBSTITUTE(TRIM($K1879),"-","")," ",""),마스터시트!$A$2:$H$1946,4,FALSE),""))</f>
        <v/>
      </c>
      <c r="P1879" s="18" t="str">
        <f>IF($K1879="","",IFERROR(VLOOKUP(--SUBSTITUTE(SUBSTITUTE(TRIM($K1879),"-","")," ",""),마스터시트!$A$2:$H$1946,5,FALSE),""))</f>
        <v/>
      </c>
      <c r="Q1879" s="18" t="str">
        <f>IF($K1879="","",IFERROR(VLOOKUP(--SUBSTITUTE(SUBSTITUTE(TRIM($K1879),"-","")," ",""),마스터시트!$A$2:$H$1946,6,FALSE),""))</f>
        <v/>
      </c>
      <c r="R1879" s="18" t="str">
        <f>IF($K1879="","",IFERROR(VLOOKUP(--SUBSTITUTE(SUBSTITUTE(TRIM($K1879),"-","")," ",""),마스터시트!$A$2:$H$1946,7,FALSE),""))</f>
        <v/>
      </c>
    </row>
    <row r="1880" spans="13:18" x14ac:dyDescent="0.3">
      <c r="M1880" s="18" t="str">
        <f>IF($K1880="","",IFERROR(VLOOKUP(--SUBSTITUTE(SUBSTITUTE(TRIM($K1880),"-","")," ",""),마스터시트!$A$2:$H$1946,2,FALSE),"미등록"))</f>
        <v/>
      </c>
      <c r="N1880" s="53" t="str">
        <f>IF($K1880="","",IFERROR(VLOOKUP(--SUBSTITUTE(SUBSTITUTE(TRIM($K1880),"-","")," ",""),마스터시트!$A$2:$H$1946,3,FALSE),"미등록"))</f>
        <v/>
      </c>
      <c r="O1880" s="18" t="str">
        <f>IF($K1880="","",IFERROR(VLOOKUP(--SUBSTITUTE(SUBSTITUTE(TRIM($K1880),"-","")," ",""),마스터시트!$A$2:$H$1946,4,FALSE),""))</f>
        <v/>
      </c>
      <c r="P1880" s="18" t="str">
        <f>IF($K1880="","",IFERROR(VLOOKUP(--SUBSTITUTE(SUBSTITUTE(TRIM($K1880),"-","")," ",""),마스터시트!$A$2:$H$1946,5,FALSE),""))</f>
        <v/>
      </c>
      <c r="Q1880" s="18" t="str">
        <f>IF($K1880="","",IFERROR(VLOOKUP(--SUBSTITUTE(SUBSTITUTE(TRIM($K1880),"-","")," ",""),마스터시트!$A$2:$H$1946,6,FALSE),""))</f>
        <v/>
      </c>
      <c r="R1880" s="18" t="str">
        <f>IF($K1880="","",IFERROR(VLOOKUP(--SUBSTITUTE(SUBSTITUTE(TRIM($K1880),"-","")," ",""),마스터시트!$A$2:$H$1946,7,FALSE),""))</f>
        <v/>
      </c>
    </row>
    <row r="1881" spans="13:18" x14ac:dyDescent="0.3">
      <c r="M1881" s="18" t="str">
        <f>IF($K1881="","",IFERROR(VLOOKUP(--SUBSTITUTE(SUBSTITUTE(TRIM($K1881),"-","")," ",""),마스터시트!$A$2:$H$1946,2,FALSE),"미등록"))</f>
        <v/>
      </c>
      <c r="N1881" s="53" t="str">
        <f>IF($K1881="","",IFERROR(VLOOKUP(--SUBSTITUTE(SUBSTITUTE(TRIM($K1881),"-","")," ",""),마스터시트!$A$2:$H$1946,3,FALSE),"미등록"))</f>
        <v/>
      </c>
      <c r="O1881" s="18" t="str">
        <f>IF($K1881="","",IFERROR(VLOOKUP(--SUBSTITUTE(SUBSTITUTE(TRIM($K1881),"-","")," ",""),마스터시트!$A$2:$H$1946,4,FALSE),""))</f>
        <v/>
      </c>
      <c r="P1881" s="18" t="str">
        <f>IF($K1881="","",IFERROR(VLOOKUP(--SUBSTITUTE(SUBSTITUTE(TRIM($K1881),"-","")," ",""),마스터시트!$A$2:$H$1946,5,FALSE),""))</f>
        <v/>
      </c>
      <c r="Q1881" s="18" t="str">
        <f>IF($K1881="","",IFERROR(VLOOKUP(--SUBSTITUTE(SUBSTITUTE(TRIM($K1881),"-","")," ",""),마스터시트!$A$2:$H$1946,6,FALSE),""))</f>
        <v/>
      </c>
      <c r="R1881" s="18" t="str">
        <f>IF($K1881="","",IFERROR(VLOOKUP(--SUBSTITUTE(SUBSTITUTE(TRIM($K1881),"-","")," ",""),마스터시트!$A$2:$H$1946,7,FALSE),""))</f>
        <v/>
      </c>
    </row>
    <row r="1882" spans="13:18" x14ac:dyDescent="0.3">
      <c r="M1882" s="18" t="str">
        <f>IF($K1882="","",IFERROR(VLOOKUP(--SUBSTITUTE(SUBSTITUTE(TRIM($K1882),"-","")," ",""),마스터시트!$A$2:$H$1946,2,FALSE),"미등록"))</f>
        <v/>
      </c>
      <c r="N1882" s="53" t="str">
        <f>IF($K1882="","",IFERROR(VLOOKUP(--SUBSTITUTE(SUBSTITUTE(TRIM($K1882),"-","")," ",""),마스터시트!$A$2:$H$1946,3,FALSE),"미등록"))</f>
        <v/>
      </c>
      <c r="O1882" s="18" t="str">
        <f>IF($K1882="","",IFERROR(VLOOKUP(--SUBSTITUTE(SUBSTITUTE(TRIM($K1882),"-","")," ",""),마스터시트!$A$2:$H$1946,4,FALSE),""))</f>
        <v/>
      </c>
      <c r="P1882" s="18" t="str">
        <f>IF($K1882="","",IFERROR(VLOOKUP(--SUBSTITUTE(SUBSTITUTE(TRIM($K1882),"-","")," ",""),마스터시트!$A$2:$H$1946,5,FALSE),""))</f>
        <v/>
      </c>
      <c r="Q1882" s="18" t="str">
        <f>IF($K1882="","",IFERROR(VLOOKUP(--SUBSTITUTE(SUBSTITUTE(TRIM($K1882),"-","")," ",""),마스터시트!$A$2:$H$1946,6,FALSE),""))</f>
        <v/>
      </c>
      <c r="R1882" s="18" t="str">
        <f>IF($K1882="","",IFERROR(VLOOKUP(--SUBSTITUTE(SUBSTITUTE(TRIM($K1882),"-","")," ",""),마스터시트!$A$2:$H$1946,7,FALSE),""))</f>
        <v/>
      </c>
    </row>
    <row r="1883" spans="13:18" x14ac:dyDescent="0.3">
      <c r="M1883" s="18" t="str">
        <f>IF($K1883="","",IFERROR(VLOOKUP(--SUBSTITUTE(SUBSTITUTE(TRIM($K1883),"-","")," ",""),마스터시트!$A$2:$H$1946,2,FALSE),"미등록"))</f>
        <v/>
      </c>
      <c r="N1883" s="53" t="str">
        <f>IF($K1883="","",IFERROR(VLOOKUP(--SUBSTITUTE(SUBSTITUTE(TRIM($K1883),"-","")," ",""),마스터시트!$A$2:$H$1946,3,FALSE),"미등록"))</f>
        <v/>
      </c>
      <c r="O1883" s="18" t="str">
        <f>IF($K1883="","",IFERROR(VLOOKUP(--SUBSTITUTE(SUBSTITUTE(TRIM($K1883),"-","")," ",""),마스터시트!$A$2:$H$1946,4,FALSE),""))</f>
        <v/>
      </c>
      <c r="P1883" s="18" t="str">
        <f>IF($K1883="","",IFERROR(VLOOKUP(--SUBSTITUTE(SUBSTITUTE(TRIM($K1883),"-","")," ",""),마스터시트!$A$2:$H$1946,5,FALSE),""))</f>
        <v/>
      </c>
      <c r="Q1883" s="18" t="str">
        <f>IF($K1883="","",IFERROR(VLOOKUP(--SUBSTITUTE(SUBSTITUTE(TRIM($K1883),"-","")," ",""),마스터시트!$A$2:$H$1946,6,FALSE),""))</f>
        <v/>
      </c>
      <c r="R1883" s="18" t="str">
        <f>IF($K1883="","",IFERROR(VLOOKUP(--SUBSTITUTE(SUBSTITUTE(TRIM($K1883),"-","")," ",""),마스터시트!$A$2:$H$1946,7,FALSE),""))</f>
        <v/>
      </c>
    </row>
    <row r="1884" spans="13:18" x14ac:dyDescent="0.3">
      <c r="M1884" s="18" t="str">
        <f>IF($K1884="","",IFERROR(VLOOKUP(--SUBSTITUTE(SUBSTITUTE(TRIM($K1884),"-","")," ",""),마스터시트!$A$2:$H$1946,2,FALSE),"미등록"))</f>
        <v/>
      </c>
      <c r="N1884" s="53" t="str">
        <f>IF($K1884="","",IFERROR(VLOOKUP(--SUBSTITUTE(SUBSTITUTE(TRIM($K1884),"-","")," ",""),마스터시트!$A$2:$H$1946,3,FALSE),"미등록"))</f>
        <v/>
      </c>
      <c r="O1884" s="18" t="str">
        <f>IF($K1884="","",IFERROR(VLOOKUP(--SUBSTITUTE(SUBSTITUTE(TRIM($K1884),"-","")," ",""),마스터시트!$A$2:$H$1946,4,FALSE),""))</f>
        <v/>
      </c>
      <c r="P1884" s="18" t="str">
        <f>IF($K1884="","",IFERROR(VLOOKUP(--SUBSTITUTE(SUBSTITUTE(TRIM($K1884),"-","")," ",""),마스터시트!$A$2:$H$1946,5,FALSE),""))</f>
        <v/>
      </c>
      <c r="Q1884" s="18" t="str">
        <f>IF($K1884="","",IFERROR(VLOOKUP(--SUBSTITUTE(SUBSTITUTE(TRIM($K1884),"-","")," ",""),마스터시트!$A$2:$H$1946,6,FALSE),""))</f>
        <v/>
      </c>
      <c r="R1884" s="18" t="str">
        <f>IF($K1884="","",IFERROR(VLOOKUP(--SUBSTITUTE(SUBSTITUTE(TRIM($K1884),"-","")," ",""),마스터시트!$A$2:$H$1946,7,FALSE),""))</f>
        <v/>
      </c>
    </row>
    <row r="1885" spans="13:18" x14ac:dyDescent="0.3">
      <c r="M1885" s="18" t="str">
        <f>IF($K1885="","",IFERROR(VLOOKUP(--SUBSTITUTE(SUBSTITUTE(TRIM($K1885),"-","")," ",""),마스터시트!$A$2:$H$1946,2,FALSE),"미등록"))</f>
        <v/>
      </c>
      <c r="N1885" s="53" t="str">
        <f>IF($K1885="","",IFERROR(VLOOKUP(--SUBSTITUTE(SUBSTITUTE(TRIM($K1885),"-","")," ",""),마스터시트!$A$2:$H$1946,3,FALSE),"미등록"))</f>
        <v/>
      </c>
      <c r="O1885" s="18" t="str">
        <f>IF($K1885="","",IFERROR(VLOOKUP(--SUBSTITUTE(SUBSTITUTE(TRIM($K1885),"-","")," ",""),마스터시트!$A$2:$H$1946,4,FALSE),""))</f>
        <v/>
      </c>
      <c r="P1885" s="18" t="str">
        <f>IF($K1885="","",IFERROR(VLOOKUP(--SUBSTITUTE(SUBSTITUTE(TRIM($K1885),"-","")," ",""),마스터시트!$A$2:$H$1946,5,FALSE),""))</f>
        <v/>
      </c>
      <c r="Q1885" s="18" t="str">
        <f>IF($K1885="","",IFERROR(VLOOKUP(--SUBSTITUTE(SUBSTITUTE(TRIM($K1885),"-","")," ",""),마스터시트!$A$2:$H$1946,6,FALSE),""))</f>
        <v/>
      </c>
      <c r="R1885" s="18" t="str">
        <f>IF($K1885="","",IFERROR(VLOOKUP(--SUBSTITUTE(SUBSTITUTE(TRIM($K1885),"-","")," ",""),마스터시트!$A$2:$H$1946,7,FALSE),""))</f>
        <v/>
      </c>
    </row>
    <row r="1886" spans="13:18" x14ac:dyDescent="0.3">
      <c r="M1886" s="18" t="str">
        <f>IF($K1886="","",IFERROR(VLOOKUP(--SUBSTITUTE(SUBSTITUTE(TRIM($K1886),"-","")," ",""),마스터시트!$A$2:$H$1946,2,FALSE),"미등록"))</f>
        <v/>
      </c>
      <c r="N1886" s="53" t="str">
        <f>IF($K1886="","",IFERROR(VLOOKUP(--SUBSTITUTE(SUBSTITUTE(TRIM($K1886),"-","")," ",""),마스터시트!$A$2:$H$1946,3,FALSE),"미등록"))</f>
        <v/>
      </c>
      <c r="O1886" s="18" t="str">
        <f>IF($K1886="","",IFERROR(VLOOKUP(--SUBSTITUTE(SUBSTITUTE(TRIM($K1886),"-","")," ",""),마스터시트!$A$2:$H$1946,4,FALSE),""))</f>
        <v/>
      </c>
      <c r="P1886" s="18" t="str">
        <f>IF($K1886="","",IFERROR(VLOOKUP(--SUBSTITUTE(SUBSTITUTE(TRIM($K1886),"-","")," ",""),마스터시트!$A$2:$H$1946,5,FALSE),""))</f>
        <v/>
      </c>
      <c r="Q1886" s="18" t="str">
        <f>IF($K1886="","",IFERROR(VLOOKUP(--SUBSTITUTE(SUBSTITUTE(TRIM($K1886),"-","")," ",""),마스터시트!$A$2:$H$1946,6,FALSE),""))</f>
        <v/>
      </c>
      <c r="R1886" s="18" t="str">
        <f>IF($K1886="","",IFERROR(VLOOKUP(--SUBSTITUTE(SUBSTITUTE(TRIM($K1886),"-","")," ",""),마스터시트!$A$2:$H$1946,7,FALSE),""))</f>
        <v/>
      </c>
    </row>
    <row r="1887" spans="13:18" x14ac:dyDescent="0.3">
      <c r="M1887" s="18" t="str">
        <f>IF($K1887="","",IFERROR(VLOOKUP(--SUBSTITUTE(SUBSTITUTE(TRIM($K1887),"-","")," ",""),마스터시트!$A$2:$H$1946,2,FALSE),"미등록"))</f>
        <v/>
      </c>
      <c r="N1887" s="53" t="str">
        <f>IF($K1887="","",IFERROR(VLOOKUP(--SUBSTITUTE(SUBSTITUTE(TRIM($K1887),"-","")," ",""),마스터시트!$A$2:$H$1946,3,FALSE),"미등록"))</f>
        <v/>
      </c>
      <c r="O1887" s="18" t="str">
        <f>IF($K1887="","",IFERROR(VLOOKUP(--SUBSTITUTE(SUBSTITUTE(TRIM($K1887),"-","")," ",""),마스터시트!$A$2:$H$1946,4,FALSE),""))</f>
        <v/>
      </c>
      <c r="P1887" s="18" t="str">
        <f>IF($K1887="","",IFERROR(VLOOKUP(--SUBSTITUTE(SUBSTITUTE(TRIM($K1887),"-","")," ",""),마스터시트!$A$2:$H$1946,5,FALSE),""))</f>
        <v/>
      </c>
      <c r="Q1887" s="18" t="str">
        <f>IF($K1887="","",IFERROR(VLOOKUP(--SUBSTITUTE(SUBSTITUTE(TRIM($K1887),"-","")," ",""),마스터시트!$A$2:$H$1946,6,FALSE),""))</f>
        <v/>
      </c>
      <c r="R1887" s="18" t="str">
        <f>IF($K1887="","",IFERROR(VLOOKUP(--SUBSTITUTE(SUBSTITUTE(TRIM($K1887),"-","")," ",""),마스터시트!$A$2:$H$1946,7,FALSE),""))</f>
        <v/>
      </c>
    </row>
    <row r="1888" spans="13:18" x14ac:dyDescent="0.3">
      <c r="M1888" s="18" t="str">
        <f>IF($K1888="","",IFERROR(VLOOKUP(--SUBSTITUTE(SUBSTITUTE(TRIM($K1888),"-","")," ",""),마스터시트!$A$2:$H$1946,2,FALSE),"미등록"))</f>
        <v/>
      </c>
      <c r="N1888" s="53" t="str">
        <f>IF($K1888="","",IFERROR(VLOOKUP(--SUBSTITUTE(SUBSTITUTE(TRIM($K1888),"-","")," ",""),마스터시트!$A$2:$H$1946,3,FALSE),"미등록"))</f>
        <v/>
      </c>
      <c r="O1888" s="18" t="str">
        <f>IF($K1888="","",IFERROR(VLOOKUP(--SUBSTITUTE(SUBSTITUTE(TRIM($K1888),"-","")," ",""),마스터시트!$A$2:$H$1946,4,FALSE),""))</f>
        <v/>
      </c>
      <c r="P1888" s="18" t="str">
        <f>IF($K1888="","",IFERROR(VLOOKUP(--SUBSTITUTE(SUBSTITUTE(TRIM($K1888),"-","")," ",""),마스터시트!$A$2:$H$1946,5,FALSE),""))</f>
        <v/>
      </c>
      <c r="Q1888" s="18" t="str">
        <f>IF($K1888="","",IFERROR(VLOOKUP(--SUBSTITUTE(SUBSTITUTE(TRIM($K1888),"-","")," ",""),마스터시트!$A$2:$H$1946,6,FALSE),""))</f>
        <v/>
      </c>
      <c r="R1888" s="18" t="str">
        <f>IF($K1888="","",IFERROR(VLOOKUP(--SUBSTITUTE(SUBSTITUTE(TRIM($K1888),"-","")," ",""),마스터시트!$A$2:$H$1946,7,FALSE),""))</f>
        <v/>
      </c>
    </row>
    <row r="1889" spans="13:18" x14ac:dyDescent="0.3">
      <c r="M1889" s="18" t="str">
        <f>IF($K1889="","",IFERROR(VLOOKUP(--SUBSTITUTE(SUBSTITUTE(TRIM($K1889),"-","")," ",""),마스터시트!$A$2:$H$1946,2,FALSE),"미등록"))</f>
        <v/>
      </c>
      <c r="N1889" s="53" t="str">
        <f>IF($K1889="","",IFERROR(VLOOKUP(--SUBSTITUTE(SUBSTITUTE(TRIM($K1889),"-","")," ",""),마스터시트!$A$2:$H$1946,3,FALSE),"미등록"))</f>
        <v/>
      </c>
      <c r="O1889" s="18" t="str">
        <f>IF($K1889="","",IFERROR(VLOOKUP(--SUBSTITUTE(SUBSTITUTE(TRIM($K1889),"-","")," ",""),마스터시트!$A$2:$H$1946,4,FALSE),""))</f>
        <v/>
      </c>
      <c r="P1889" s="18" t="str">
        <f>IF($K1889="","",IFERROR(VLOOKUP(--SUBSTITUTE(SUBSTITUTE(TRIM($K1889),"-","")," ",""),마스터시트!$A$2:$H$1946,5,FALSE),""))</f>
        <v/>
      </c>
      <c r="Q1889" s="18" t="str">
        <f>IF($K1889="","",IFERROR(VLOOKUP(--SUBSTITUTE(SUBSTITUTE(TRIM($K1889),"-","")," ",""),마스터시트!$A$2:$H$1946,6,FALSE),""))</f>
        <v/>
      </c>
      <c r="R1889" s="18" t="str">
        <f>IF($K1889="","",IFERROR(VLOOKUP(--SUBSTITUTE(SUBSTITUTE(TRIM($K1889),"-","")," ",""),마스터시트!$A$2:$H$1946,7,FALSE),""))</f>
        <v/>
      </c>
    </row>
    <row r="1890" spans="13:18" x14ac:dyDescent="0.3">
      <c r="M1890" s="18" t="str">
        <f>IF($K1890="","",IFERROR(VLOOKUP(--SUBSTITUTE(SUBSTITUTE(TRIM($K1890),"-","")," ",""),마스터시트!$A$2:$H$1946,2,FALSE),"미등록"))</f>
        <v/>
      </c>
      <c r="N1890" s="53" t="str">
        <f>IF($K1890="","",IFERROR(VLOOKUP(--SUBSTITUTE(SUBSTITUTE(TRIM($K1890),"-","")," ",""),마스터시트!$A$2:$H$1946,3,FALSE),"미등록"))</f>
        <v/>
      </c>
      <c r="O1890" s="18" t="str">
        <f>IF($K1890="","",IFERROR(VLOOKUP(--SUBSTITUTE(SUBSTITUTE(TRIM($K1890),"-","")," ",""),마스터시트!$A$2:$H$1946,4,FALSE),""))</f>
        <v/>
      </c>
      <c r="P1890" s="18" t="str">
        <f>IF($K1890="","",IFERROR(VLOOKUP(--SUBSTITUTE(SUBSTITUTE(TRIM($K1890),"-","")," ",""),마스터시트!$A$2:$H$1946,5,FALSE),""))</f>
        <v/>
      </c>
      <c r="Q1890" s="18" t="str">
        <f>IF($K1890="","",IFERROR(VLOOKUP(--SUBSTITUTE(SUBSTITUTE(TRIM($K1890),"-","")," ",""),마스터시트!$A$2:$H$1946,6,FALSE),""))</f>
        <v/>
      </c>
      <c r="R1890" s="18" t="str">
        <f>IF($K1890="","",IFERROR(VLOOKUP(--SUBSTITUTE(SUBSTITUTE(TRIM($K1890),"-","")," ",""),마스터시트!$A$2:$H$1946,7,FALSE),""))</f>
        <v/>
      </c>
    </row>
    <row r="1891" spans="13:18" x14ac:dyDescent="0.3">
      <c r="M1891" s="18" t="str">
        <f>IF($K1891="","",IFERROR(VLOOKUP(--SUBSTITUTE(SUBSTITUTE(TRIM($K1891),"-","")," ",""),마스터시트!$A$2:$H$1946,2,FALSE),"미등록"))</f>
        <v/>
      </c>
      <c r="N1891" s="53" t="str">
        <f>IF($K1891="","",IFERROR(VLOOKUP(--SUBSTITUTE(SUBSTITUTE(TRIM($K1891),"-","")," ",""),마스터시트!$A$2:$H$1946,3,FALSE),"미등록"))</f>
        <v/>
      </c>
      <c r="O1891" s="18" t="str">
        <f>IF($K1891="","",IFERROR(VLOOKUP(--SUBSTITUTE(SUBSTITUTE(TRIM($K1891),"-","")," ",""),마스터시트!$A$2:$H$1946,4,FALSE),""))</f>
        <v/>
      </c>
      <c r="P1891" s="18" t="str">
        <f>IF($K1891="","",IFERROR(VLOOKUP(--SUBSTITUTE(SUBSTITUTE(TRIM($K1891),"-","")," ",""),마스터시트!$A$2:$H$1946,5,FALSE),""))</f>
        <v/>
      </c>
      <c r="Q1891" s="18" t="str">
        <f>IF($K1891="","",IFERROR(VLOOKUP(--SUBSTITUTE(SUBSTITUTE(TRIM($K1891),"-","")," ",""),마스터시트!$A$2:$H$1946,6,FALSE),""))</f>
        <v/>
      </c>
      <c r="R1891" s="18" t="str">
        <f>IF($K1891="","",IFERROR(VLOOKUP(--SUBSTITUTE(SUBSTITUTE(TRIM($K1891),"-","")," ",""),마스터시트!$A$2:$H$1946,7,FALSE),""))</f>
        <v/>
      </c>
    </row>
    <row r="1892" spans="13:18" x14ac:dyDescent="0.3">
      <c r="M1892" s="18" t="str">
        <f>IF($K1892="","",IFERROR(VLOOKUP(--SUBSTITUTE(SUBSTITUTE(TRIM($K1892),"-","")," ",""),마스터시트!$A$2:$H$1946,2,FALSE),"미등록"))</f>
        <v/>
      </c>
      <c r="N1892" s="53" t="str">
        <f>IF($K1892="","",IFERROR(VLOOKUP(--SUBSTITUTE(SUBSTITUTE(TRIM($K1892),"-","")," ",""),마스터시트!$A$2:$H$1946,3,FALSE),"미등록"))</f>
        <v/>
      </c>
      <c r="O1892" s="18" t="str">
        <f>IF($K1892="","",IFERROR(VLOOKUP(--SUBSTITUTE(SUBSTITUTE(TRIM($K1892),"-","")," ",""),마스터시트!$A$2:$H$1946,4,FALSE),""))</f>
        <v/>
      </c>
      <c r="P1892" s="18" t="str">
        <f>IF($K1892="","",IFERROR(VLOOKUP(--SUBSTITUTE(SUBSTITUTE(TRIM($K1892),"-","")," ",""),마스터시트!$A$2:$H$1946,5,FALSE),""))</f>
        <v/>
      </c>
      <c r="Q1892" s="18" t="str">
        <f>IF($K1892="","",IFERROR(VLOOKUP(--SUBSTITUTE(SUBSTITUTE(TRIM($K1892),"-","")," ",""),마스터시트!$A$2:$H$1946,6,FALSE),""))</f>
        <v/>
      </c>
      <c r="R1892" s="18" t="str">
        <f>IF($K1892="","",IFERROR(VLOOKUP(--SUBSTITUTE(SUBSTITUTE(TRIM($K1892),"-","")," ",""),마스터시트!$A$2:$H$1946,7,FALSE),""))</f>
        <v/>
      </c>
    </row>
    <row r="1893" spans="13:18" x14ac:dyDescent="0.3">
      <c r="M1893" s="18" t="str">
        <f>IF($K1893="","",IFERROR(VLOOKUP(--SUBSTITUTE(SUBSTITUTE(TRIM($K1893),"-","")," ",""),마스터시트!$A$2:$H$1946,2,FALSE),"미등록"))</f>
        <v/>
      </c>
      <c r="N1893" s="53" t="str">
        <f>IF($K1893="","",IFERROR(VLOOKUP(--SUBSTITUTE(SUBSTITUTE(TRIM($K1893),"-","")," ",""),마스터시트!$A$2:$H$1946,3,FALSE),"미등록"))</f>
        <v/>
      </c>
      <c r="O1893" s="18" t="str">
        <f>IF($K1893="","",IFERROR(VLOOKUP(--SUBSTITUTE(SUBSTITUTE(TRIM($K1893),"-","")," ",""),마스터시트!$A$2:$H$1946,4,FALSE),""))</f>
        <v/>
      </c>
      <c r="P1893" s="18" t="str">
        <f>IF($K1893="","",IFERROR(VLOOKUP(--SUBSTITUTE(SUBSTITUTE(TRIM($K1893),"-","")," ",""),마스터시트!$A$2:$H$1946,5,FALSE),""))</f>
        <v/>
      </c>
      <c r="Q1893" s="18" t="str">
        <f>IF($K1893="","",IFERROR(VLOOKUP(--SUBSTITUTE(SUBSTITUTE(TRIM($K1893),"-","")," ",""),마스터시트!$A$2:$H$1946,6,FALSE),""))</f>
        <v/>
      </c>
      <c r="R1893" s="18" t="str">
        <f>IF($K1893="","",IFERROR(VLOOKUP(--SUBSTITUTE(SUBSTITUTE(TRIM($K1893),"-","")," ",""),마스터시트!$A$2:$H$1946,7,FALSE),""))</f>
        <v/>
      </c>
    </row>
    <row r="1894" spans="13:18" x14ac:dyDescent="0.3">
      <c r="M1894" s="18" t="str">
        <f>IF($K1894="","",IFERROR(VLOOKUP(--SUBSTITUTE(SUBSTITUTE(TRIM($K1894),"-","")," ",""),마스터시트!$A$2:$H$1946,2,FALSE),"미등록"))</f>
        <v/>
      </c>
      <c r="N1894" s="53" t="str">
        <f>IF($K1894="","",IFERROR(VLOOKUP(--SUBSTITUTE(SUBSTITUTE(TRIM($K1894),"-","")," ",""),마스터시트!$A$2:$H$1946,3,FALSE),"미등록"))</f>
        <v/>
      </c>
      <c r="O1894" s="18" t="str">
        <f>IF($K1894="","",IFERROR(VLOOKUP(--SUBSTITUTE(SUBSTITUTE(TRIM($K1894),"-","")," ",""),마스터시트!$A$2:$H$1946,4,FALSE),""))</f>
        <v/>
      </c>
      <c r="P1894" s="18" t="str">
        <f>IF($K1894="","",IFERROR(VLOOKUP(--SUBSTITUTE(SUBSTITUTE(TRIM($K1894),"-","")," ",""),마스터시트!$A$2:$H$1946,5,FALSE),""))</f>
        <v/>
      </c>
      <c r="Q1894" s="18" t="str">
        <f>IF($K1894="","",IFERROR(VLOOKUP(--SUBSTITUTE(SUBSTITUTE(TRIM($K1894),"-","")," ",""),마스터시트!$A$2:$H$1946,6,FALSE),""))</f>
        <v/>
      </c>
      <c r="R1894" s="18" t="str">
        <f>IF($K1894="","",IFERROR(VLOOKUP(--SUBSTITUTE(SUBSTITUTE(TRIM($K1894),"-","")," ",""),마스터시트!$A$2:$H$1946,7,FALSE),""))</f>
        <v/>
      </c>
    </row>
    <row r="1895" spans="13:18" x14ac:dyDescent="0.3">
      <c r="M1895" s="18" t="str">
        <f>IF($K1895="","",IFERROR(VLOOKUP(--SUBSTITUTE(SUBSTITUTE(TRIM($K1895),"-","")," ",""),마스터시트!$A$2:$H$1946,2,FALSE),"미등록"))</f>
        <v/>
      </c>
      <c r="N1895" s="53" t="str">
        <f>IF($K1895="","",IFERROR(VLOOKUP(--SUBSTITUTE(SUBSTITUTE(TRIM($K1895),"-","")," ",""),마스터시트!$A$2:$H$1946,3,FALSE),"미등록"))</f>
        <v/>
      </c>
      <c r="O1895" s="18" t="str">
        <f>IF($K1895="","",IFERROR(VLOOKUP(--SUBSTITUTE(SUBSTITUTE(TRIM($K1895),"-","")," ",""),마스터시트!$A$2:$H$1946,4,FALSE),""))</f>
        <v/>
      </c>
      <c r="P1895" s="18" t="str">
        <f>IF($K1895="","",IFERROR(VLOOKUP(--SUBSTITUTE(SUBSTITUTE(TRIM($K1895),"-","")," ",""),마스터시트!$A$2:$H$1946,5,FALSE),""))</f>
        <v/>
      </c>
      <c r="Q1895" s="18" t="str">
        <f>IF($K1895="","",IFERROR(VLOOKUP(--SUBSTITUTE(SUBSTITUTE(TRIM($K1895),"-","")," ",""),마스터시트!$A$2:$H$1946,6,FALSE),""))</f>
        <v/>
      </c>
      <c r="R1895" s="18" t="str">
        <f>IF($K1895="","",IFERROR(VLOOKUP(--SUBSTITUTE(SUBSTITUTE(TRIM($K1895),"-","")," ",""),마스터시트!$A$2:$H$1946,7,FALSE),""))</f>
        <v/>
      </c>
    </row>
    <row r="1896" spans="13:18" x14ac:dyDescent="0.3">
      <c r="M1896" s="18" t="str">
        <f>IF($K1896="","",IFERROR(VLOOKUP(--SUBSTITUTE(SUBSTITUTE(TRIM($K1896),"-","")," ",""),마스터시트!$A$2:$H$1946,2,FALSE),"미등록"))</f>
        <v/>
      </c>
      <c r="N1896" s="53" t="str">
        <f>IF($K1896="","",IFERROR(VLOOKUP(--SUBSTITUTE(SUBSTITUTE(TRIM($K1896),"-","")," ",""),마스터시트!$A$2:$H$1946,3,FALSE),"미등록"))</f>
        <v/>
      </c>
      <c r="O1896" s="18" t="str">
        <f>IF($K1896="","",IFERROR(VLOOKUP(--SUBSTITUTE(SUBSTITUTE(TRIM($K1896),"-","")," ",""),마스터시트!$A$2:$H$1946,4,FALSE),""))</f>
        <v/>
      </c>
      <c r="P1896" s="18" t="str">
        <f>IF($K1896="","",IFERROR(VLOOKUP(--SUBSTITUTE(SUBSTITUTE(TRIM($K1896),"-","")," ",""),마스터시트!$A$2:$H$1946,5,FALSE),""))</f>
        <v/>
      </c>
      <c r="Q1896" s="18" t="str">
        <f>IF($K1896="","",IFERROR(VLOOKUP(--SUBSTITUTE(SUBSTITUTE(TRIM($K1896),"-","")," ",""),마스터시트!$A$2:$H$1946,6,FALSE),""))</f>
        <v/>
      </c>
      <c r="R1896" s="18" t="str">
        <f>IF($K1896="","",IFERROR(VLOOKUP(--SUBSTITUTE(SUBSTITUTE(TRIM($K1896),"-","")," ",""),마스터시트!$A$2:$H$1946,7,FALSE),""))</f>
        <v/>
      </c>
    </row>
    <row r="1897" spans="13:18" x14ac:dyDescent="0.3">
      <c r="M1897" s="18" t="str">
        <f>IF($K1897="","",IFERROR(VLOOKUP(--SUBSTITUTE(SUBSTITUTE(TRIM($K1897),"-","")," ",""),마스터시트!$A$2:$H$1946,2,FALSE),"미등록"))</f>
        <v/>
      </c>
      <c r="N1897" s="53" t="str">
        <f>IF($K1897="","",IFERROR(VLOOKUP(--SUBSTITUTE(SUBSTITUTE(TRIM($K1897),"-","")," ",""),마스터시트!$A$2:$H$1946,3,FALSE),"미등록"))</f>
        <v/>
      </c>
      <c r="O1897" s="18" t="str">
        <f>IF($K1897="","",IFERROR(VLOOKUP(--SUBSTITUTE(SUBSTITUTE(TRIM($K1897),"-","")," ",""),마스터시트!$A$2:$H$1946,4,FALSE),""))</f>
        <v/>
      </c>
      <c r="P1897" s="18" t="str">
        <f>IF($K1897="","",IFERROR(VLOOKUP(--SUBSTITUTE(SUBSTITUTE(TRIM($K1897),"-","")," ",""),마스터시트!$A$2:$H$1946,5,FALSE),""))</f>
        <v/>
      </c>
      <c r="Q1897" s="18" t="str">
        <f>IF($K1897="","",IFERROR(VLOOKUP(--SUBSTITUTE(SUBSTITUTE(TRIM($K1897),"-","")," ",""),마스터시트!$A$2:$H$1946,6,FALSE),""))</f>
        <v/>
      </c>
      <c r="R1897" s="18" t="str">
        <f>IF($K1897="","",IFERROR(VLOOKUP(--SUBSTITUTE(SUBSTITUTE(TRIM($K1897),"-","")," ",""),마스터시트!$A$2:$H$1946,7,FALSE),""))</f>
        <v/>
      </c>
    </row>
    <row r="1898" spans="13:18" x14ac:dyDescent="0.3">
      <c r="M1898" s="18" t="str">
        <f>IF($K1898="","",IFERROR(VLOOKUP(--SUBSTITUTE(SUBSTITUTE(TRIM($K1898),"-","")," ",""),마스터시트!$A$2:$H$1946,2,FALSE),"미등록"))</f>
        <v/>
      </c>
      <c r="N1898" s="53" t="str">
        <f>IF($K1898="","",IFERROR(VLOOKUP(--SUBSTITUTE(SUBSTITUTE(TRIM($K1898),"-","")," ",""),마스터시트!$A$2:$H$1946,3,FALSE),"미등록"))</f>
        <v/>
      </c>
      <c r="O1898" s="18" t="str">
        <f>IF($K1898="","",IFERROR(VLOOKUP(--SUBSTITUTE(SUBSTITUTE(TRIM($K1898),"-","")," ",""),마스터시트!$A$2:$H$1946,4,FALSE),""))</f>
        <v/>
      </c>
      <c r="P1898" s="18" t="str">
        <f>IF($K1898="","",IFERROR(VLOOKUP(--SUBSTITUTE(SUBSTITUTE(TRIM($K1898),"-","")," ",""),마스터시트!$A$2:$H$1946,5,FALSE),""))</f>
        <v/>
      </c>
      <c r="Q1898" s="18" t="str">
        <f>IF($K1898="","",IFERROR(VLOOKUP(--SUBSTITUTE(SUBSTITUTE(TRIM($K1898),"-","")," ",""),마스터시트!$A$2:$H$1946,6,FALSE),""))</f>
        <v/>
      </c>
      <c r="R1898" s="18" t="str">
        <f>IF($K1898="","",IFERROR(VLOOKUP(--SUBSTITUTE(SUBSTITUTE(TRIM($K1898),"-","")," ",""),마스터시트!$A$2:$H$1946,7,FALSE),""))</f>
        <v/>
      </c>
    </row>
    <row r="1899" spans="13:18" x14ac:dyDescent="0.3">
      <c r="M1899" s="18" t="str">
        <f>IF($K1899="","",IFERROR(VLOOKUP(--SUBSTITUTE(SUBSTITUTE(TRIM($K1899),"-","")," ",""),마스터시트!$A$2:$H$1946,2,FALSE),"미등록"))</f>
        <v/>
      </c>
      <c r="N1899" s="53" t="str">
        <f>IF($K1899="","",IFERROR(VLOOKUP(--SUBSTITUTE(SUBSTITUTE(TRIM($K1899),"-","")," ",""),마스터시트!$A$2:$H$1946,3,FALSE),"미등록"))</f>
        <v/>
      </c>
      <c r="O1899" s="18" t="str">
        <f>IF($K1899="","",IFERROR(VLOOKUP(--SUBSTITUTE(SUBSTITUTE(TRIM($K1899),"-","")," ",""),마스터시트!$A$2:$H$1946,4,FALSE),""))</f>
        <v/>
      </c>
      <c r="P1899" s="18" t="str">
        <f>IF($K1899="","",IFERROR(VLOOKUP(--SUBSTITUTE(SUBSTITUTE(TRIM($K1899),"-","")," ",""),마스터시트!$A$2:$H$1946,5,FALSE),""))</f>
        <v/>
      </c>
      <c r="Q1899" s="18" t="str">
        <f>IF($K1899="","",IFERROR(VLOOKUP(--SUBSTITUTE(SUBSTITUTE(TRIM($K1899),"-","")," ",""),마스터시트!$A$2:$H$1946,6,FALSE),""))</f>
        <v/>
      </c>
      <c r="R1899" s="18" t="str">
        <f>IF($K1899="","",IFERROR(VLOOKUP(--SUBSTITUTE(SUBSTITUTE(TRIM($K1899),"-","")," ",""),마스터시트!$A$2:$H$1946,7,FALSE),""))</f>
        <v/>
      </c>
    </row>
    <row r="1900" spans="13:18" x14ac:dyDescent="0.3">
      <c r="M1900" s="18" t="str">
        <f>IF($K1900="","",IFERROR(VLOOKUP(--SUBSTITUTE(SUBSTITUTE(TRIM($K1900),"-","")," ",""),마스터시트!$A$2:$H$1946,2,FALSE),"미등록"))</f>
        <v/>
      </c>
      <c r="N1900" s="53" t="str">
        <f>IF($K1900="","",IFERROR(VLOOKUP(--SUBSTITUTE(SUBSTITUTE(TRIM($K1900),"-","")," ",""),마스터시트!$A$2:$H$1946,3,FALSE),"미등록"))</f>
        <v/>
      </c>
      <c r="O1900" s="18" t="str">
        <f>IF($K1900="","",IFERROR(VLOOKUP(--SUBSTITUTE(SUBSTITUTE(TRIM($K1900),"-","")," ",""),마스터시트!$A$2:$H$1946,4,FALSE),""))</f>
        <v/>
      </c>
      <c r="P1900" s="18" t="str">
        <f>IF($K1900="","",IFERROR(VLOOKUP(--SUBSTITUTE(SUBSTITUTE(TRIM($K1900),"-","")," ",""),마스터시트!$A$2:$H$1946,5,FALSE),""))</f>
        <v/>
      </c>
      <c r="Q1900" s="18" t="str">
        <f>IF($K1900="","",IFERROR(VLOOKUP(--SUBSTITUTE(SUBSTITUTE(TRIM($K1900),"-","")," ",""),마스터시트!$A$2:$H$1946,6,FALSE),""))</f>
        <v/>
      </c>
      <c r="R1900" s="18" t="str">
        <f>IF($K1900="","",IFERROR(VLOOKUP(--SUBSTITUTE(SUBSTITUTE(TRIM($K1900),"-","")," ",""),마스터시트!$A$2:$H$1946,7,FALSE),""))</f>
        <v/>
      </c>
    </row>
    <row r="1901" spans="13:18" x14ac:dyDescent="0.3">
      <c r="M1901" s="18" t="str">
        <f>IF($K1901="","",IFERROR(VLOOKUP(--SUBSTITUTE(SUBSTITUTE(TRIM($K1901),"-","")," ",""),마스터시트!$A$2:$H$1946,2,FALSE),"미등록"))</f>
        <v/>
      </c>
      <c r="N1901" s="53" t="str">
        <f>IF($K1901="","",IFERROR(VLOOKUP(--SUBSTITUTE(SUBSTITUTE(TRIM($K1901),"-","")," ",""),마스터시트!$A$2:$H$1946,3,FALSE),"미등록"))</f>
        <v/>
      </c>
      <c r="O1901" s="18" t="str">
        <f>IF($K1901="","",IFERROR(VLOOKUP(--SUBSTITUTE(SUBSTITUTE(TRIM($K1901),"-","")," ",""),마스터시트!$A$2:$H$1946,4,FALSE),""))</f>
        <v/>
      </c>
      <c r="P1901" s="18" t="str">
        <f>IF($K1901="","",IFERROR(VLOOKUP(--SUBSTITUTE(SUBSTITUTE(TRIM($K1901),"-","")," ",""),마스터시트!$A$2:$H$1946,5,FALSE),""))</f>
        <v/>
      </c>
      <c r="Q1901" s="18" t="str">
        <f>IF($K1901="","",IFERROR(VLOOKUP(--SUBSTITUTE(SUBSTITUTE(TRIM($K1901),"-","")," ",""),마스터시트!$A$2:$H$1946,6,FALSE),""))</f>
        <v/>
      </c>
      <c r="R1901" s="18" t="str">
        <f>IF($K1901="","",IFERROR(VLOOKUP(--SUBSTITUTE(SUBSTITUTE(TRIM($K1901),"-","")," ",""),마스터시트!$A$2:$H$1946,7,FALSE),""))</f>
        <v/>
      </c>
    </row>
    <row r="1902" spans="13:18" x14ac:dyDescent="0.3">
      <c r="M1902" s="18" t="str">
        <f>IF($K1902="","",IFERROR(VLOOKUP(--SUBSTITUTE(SUBSTITUTE(TRIM($K1902),"-","")," ",""),마스터시트!$A$2:$H$1946,2,FALSE),"미등록"))</f>
        <v/>
      </c>
      <c r="N1902" s="53" t="str">
        <f>IF($K1902="","",IFERROR(VLOOKUP(--SUBSTITUTE(SUBSTITUTE(TRIM($K1902),"-","")," ",""),마스터시트!$A$2:$H$1946,3,FALSE),"미등록"))</f>
        <v/>
      </c>
      <c r="O1902" s="18" t="str">
        <f>IF($K1902="","",IFERROR(VLOOKUP(--SUBSTITUTE(SUBSTITUTE(TRIM($K1902),"-","")," ",""),마스터시트!$A$2:$H$1946,4,FALSE),""))</f>
        <v/>
      </c>
      <c r="P1902" s="18" t="str">
        <f>IF($K1902="","",IFERROR(VLOOKUP(--SUBSTITUTE(SUBSTITUTE(TRIM($K1902),"-","")," ",""),마스터시트!$A$2:$H$1946,5,FALSE),""))</f>
        <v/>
      </c>
      <c r="Q1902" s="18" t="str">
        <f>IF($K1902="","",IFERROR(VLOOKUP(--SUBSTITUTE(SUBSTITUTE(TRIM($K1902),"-","")," ",""),마스터시트!$A$2:$H$1946,6,FALSE),""))</f>
        <v/>
      </c>
      <c r="R1902" s="18" t="str">
        <f>IF($K1902="","",IFERROR(VLOOKUP(--SUBSTITUTE(SUBSTITUTE(TRIM($K1902),"-","")," ",""),마스터시트!$A$2:$H$1946,7,FALSE),""))</f>
        <v/>
      </c>
    </row>
    <row r="1903" spans="13:18" x14ac:dyDescent="0.3">
      <c r="M1903" s="18" t="str">
        <f>IF($K1903="","",IFERROR(VLOOKUP(--SUBSTITUTE(SUBSTITUTE(TRIM($K1903),"-","")," ",""),마스터시트!$A$2:$H$1946,2,FALSE),"미등록"))</f>
        <v/>
      </c>
      <c r="N1903" s="53" t="str">
        <f>IF($K1903="","",IFERROR(VLOOKUP(--SUBSTITUTE(SUBSTITUTE(TRIM($K1903),"-","")," ",""),마스터시트!$A$2:$H$1946,3,FALSE),"미등록"))</f>
        <v/>
      </c>
      <c r="O1903" s="18" t="str">
        <f>IF($K1903="","",IFERROR(VLOOKUP(--SUBSTITUTE(SUBSTITUTE(TRIM($K1903),"-","")," ",""),마스터시트!$A$2:$H$1946,4,FALSE),""))</f>
        <v/>
      </c>
      <c r="P1903" s="18" t="str">
        <f>IF($K1903="","",IFERROR(VLOOKUP(--SUBSTITUTE(SUBSTITUTE(TRIM($K1903),"-","")," ",""),마스터시트!$A$2:$H$1946,5,FALSE),""))</f>
        <v/>
      </c>
      <c r="Q1903" s="18" t="str">
        <f>IF($K1903="","",IFERROR(VLOOKUP(--SUBSTITUTE(SUBSTITUTE(TRIM($K1903),"-","")," ",""),마스터시트!$A$2:$H$1946,6,FALSE),""))</f>
        <v/>
      </c>
      <c r="R1903" s="18" t="str">
        <f>IF($K1903="","",IFERROR(VLOOKUP(--SUBSTITUTE(SUBSTITUTE(TRIM($K1903),"-","")," ",""),마스터시트!$A$2:$H$1946,7,FALSE),""))</f>
        <v/>
      </c>
    </row>
    <row r="1904" spans="13:18" x14ac:dyDescent="0.3">
      <c r="M1904" s="18" t="str">
        <f>IF($K1904="","",IFERROR(VLOOKUP(--SUBSTITUTE(SUBSTITUTE(TRIM($K1904),"-","")," ",""),마스터시트!$A$2:$H$1946,2,FALSE),"미등록"))</f>
        <v/>
      </c>
      <c r="N1904" s="53" t="str">
        <f>IF($K1904="","",IFERROR(VLOOKUP(--SUBSTITUTE(SUBSTITUTE(TRIM($K1904),"-","")," ",""),마스터시트!$A$2:$H$1946,3,FALSE),"미등록"))</f>
        <v/>
      </c>
      <c r="O1904" s="18" t="str">
        <f>IF($K1904="","",IFERROR(VLOOKUP(--SUBSTITUTE(SUBSTITUTE(TRIM($K1904),"-","")," ",""),마스터시트!$A$2:$H$1946,4,FALSE),""))</f>
        <v/>
      </c>
      <c r="P1904" s="18" t="str">
        <f>IF($K1904="","",IFERROR(VLOOKUP(--SUBSTITUTE(SUBSTITUTE(TRIM($K1904),"-","")," ",""),마스터시트!$A$2:$H$1946,5,FALSE),""))</f>
        <v/>
      </c>
      <c r="Q1904" s="18" t="str">
        <f>IF($K1904="","",IFERROR(VLOOKUP(--SUBSTITUTE(SUBSTITUTE(TRIM($K1904),"-","")," ",""),마스터시트!$A$2:$H$1946,6,FALSE),""))</f>
        <v/>
      </c>
      <c r="R1904" s="18" t="str">
        <f>IF($K1904="","",IFERROR(VLOOKUP(--SUBSTITUTE(SUBSTITUTE(TRIM($K1904),"-","")," ",""),마스터시트!$A$2:$H$1946,7,FALSE),""))</f>
        <v/>
      </c>
    </row>
    <row r="1905" spans="13:18" x14ac:dyDescent="0.3">
      <c r="M1905" s="18" t="str">
        <f>IF($K1905="","",IFERROR(VLOOKUP(--SUBSTITUTE(SUBSTITUTE(TRIM($K1905),"-","")," ",""),마스터시트!$A$2:$H$1946,2,FALSE),"미등록"))</f>
        <v/>
      </c>
      <c r="N1905" s="53" t="str">
        <f>IF($K1905="","",IFERROR(VLOOKUP(--SUBSTITUTE(SUBSTITUTE(TRIM($K1905),"-","")," ",""),마스터시트!$A$2:$H$1946,3,FALSE),"미등록"))</f>
        <v/>
      </c>
      <c r="O1905" s="18" t="str">
        <f>IF($K1905="","",IFERROR(VLOOKUP(--SUBSTITUTE(SUBSTITUTE(TRIM($K1905),"-","")," ",""),마스터시트!$A$2:$H$1946,4,FALSE),""))</f>
        <v/>
      </c>
      <c r="P1905" s="18" t="str">
        <f>IF($K1905="","",IFERROR(VLOOKUP(--SUBSTITUTE(SUBSTITUTE(TRIM($K1905),"-","")," ",""),마스터시트!$A$2:$H$1946,5,FALSE),""))</f>
        <v/>
      </c>
      <c r="Q1905" s="18" t="str">
        <f>IF($K1905="","",IFERROR(VLOOKUP(--SUBSTITUTE(SUBSTITUTE(TRIM($K1905),"-","")," ",""),마스터시트!$A$2:$H$1946,6,FALSE),""))</f>
        <v/>
      </c>
      <c r="R1905" s="18" t="str">
        <f>IF($K1905="","",IFERROR(VLOOKUP(--SUBSTITUTE(SUBSTITUTE(TRIM($K1905),"-","")," ",""),마스터시트!$A$2:$H$1946,7,FALSE),""))</f>
        <v/>
      </c>
    </row>
    <row r="1906" spans="13:18" x14ac:dyDescent="0.3">
      <c r="M1906" s="18" t="str">
        <f>IF($K1906="","",IFERROR(VLOOKUP(--SUBSTITUTE(SUBSTITUTE(TRIM($K1906),"-","")," ",""),마스터시트!$A$2:$H$1946,2,FALSE),"미등록"))</f>
        <v/>
      </c>
      <c r="N1906" s="53" t="str">
        <f>IF($K1906="","",IFERROR(VLOOKUP(--SUBSTITUTE(SUBSTITUTE(TRIM($K1906),"-","")," ",""),마스터시트!$A$2:$H$1946,3,FALSE),"미등록"))</f>
        <v/>
      </c>
      <c r="O1906" s="18" t="str">
        <f>IF($K1906="","",IFERROR(VLOOKUP(--SUBSTITUTE(SUBSTITUTE(TRIM($K1906),"-","")," ",""),마스터시트!$A$2:$H$1946,4,FALSE),""))</f>
        <v/>
      </c>
      <c r="P1906" s="18" t="str">
        <f>IF($K1906="","",IFERROR(VLOOKUP(--SUBSTITUTE(SUBSTITUTE(TRIM($K1906),"-","")," ",""),마스터시트!$A$2:$H$1946,5,FALSE),""))</f>
        <v/>
      </c>
      <c r="Q1906" s="18" t="str">
        <f>IF($K1906="","",IFERROR(VLOOKUP(--SUBSTITUTE(SUBSTITUTE(TRIM($K1906),"-","")," ",""),마스터시트!$A$2:$H$1946,6,FALSE),""))</f>
        <v/>
      </c>
      <c r="R1906" s="18" t="str">
        <f>IF($K1906="","",IFERROR(VLOOKUP(--SUBSTITUTE(SUBSTITUTE(TRIM($K1906),"-","")," ",""),마스터시트!$A$2:$H$1946,7,FALSE),""))</f>
        <v/>
      </c>
    </row>
    <row r="1907" spans="13:18" x14ac:dyDescent="0.3">
      <c r="M1907" s="18" t="str">
        <f>IF($K1907="","",IFERROR(VLOOKUP(--SUBSTITUTE(SUBSTITUTE(TRIM($K1907),"-","")," ",""),마스터시트!$A$2:$H$1946,2,FALSE),"미등록"))</f>
        <v/>
      </c>
      <c r="N1907" s="53" t="str">
        <f>IF($K1907="","",IFERROR(VLOOKUP(--SUBSTITUTE(SUBSTITUTE(TRIM($K1907),"-","")," ",""),마스터시트!$A$2:$H$1946,3,FALSE),"미등록"))</f>
        <v/>
      </c>
      <c r="O1907" s="18" t="str">
        <f>IF($K1907="","",IFERROR(VLOOKUP(--SUBSTITUTE(SUBSTITUTE(TRIM($K1907),"-","")," ",""),마스터시트!$A$2:$H$1946,4,FALSE),""))</f>
        <v/>
      </c>
      <c r="P1907" s="18" t="str">
        <f>IF($K1907="","",IFERROR(VLOOKUP(--SUBSTITUTE(SUBSTITUTE(TRIM($K1907),"-","")," ",""),마스터시트!$A$2:$H$1946,5,FALSE),""))</f>
        <v/>
      </c>
      <c r="Q1907" s="18" t="str">
        <f>IF($K1907="","",IFERROR(VLOOKUP(--SUBSTITUTE(SUBSTITUTE(TRIM($K1907),"-","")," ",""),마스터시트!$A$2:$H$1946,6,FALSE),""))</f>
        <v/>
      </c>
      <c r="R1907" s="18" t="str">
        <f>IF($K1907="","",IFERROR(VLOOKUP(--SUBSTITUTE(SUBSTITUTE(TRIM($K1907),"-","")," ",""),마스터시트!$A$2:$H$1946,7,FALSE),""))</f>
        <v/>
      </c>
    </row>
    <row r="1908" spans="13:18" x14ac:dyDescent="0.3">
      <c r="M1908" s="18" t="str">
        <f>IF($K1908="","",IFERROR(VLOOKUP(--SUBSTITUTE(SUBSTITUTE(TRIM($K1908),"-","")," ",""),마스터시트!$A$2:$H$1946,2,FALSE),"미등록"))</f>
        <v/>
      </c>
      <c r="N1908" s="53" t="str">
        <f>IF($K1908="","",IFERROR(VLOOKUP(--SUBSTITUTE(SUBSTITUTE(TRIM($K1908),"-","")," ",""),마스터시트!$A$2:$H$1946,3,FALSE),"미등록"))</f>
        <v/>
      </c>
      <c r="O1908" s="18" t="str">
        <f>IF($K1908="","",IFERROR(VLOOKUP(--SUBSTITUTE(SUBSTITUTE(TRIM($K1908),"-","")," ",""),마스터시트!$A$2:$H$1946,4,FALSE),""))</f>
        <v/>
      </c>
      <c r="P1908" s="18" t="str">
        <f>IF($K1908="","",IFERROR(VLOOKUP(--SUBSTITUTE(SUBSTITUTE(TRIM($K1908),"-","")," ",""),마스터시트!$A$2:$H$1946,5,FALSE),""))</f>
        <v/>
      </c>
      <c r="Q1908" s="18" t="str">
        <f>IF($K1908="","",IFERROR(VLOOKUP(--SUBSTITUTE(SUBSTITUTE(TRIM($K1908),"-","")," ",""),마스터시트!$A$2:$H$1946,6,FALSE),""))</f>
        <v/>
      </c>
      <c r="R1908" s="18" t="str">
        <f>IF($K1908="","",IFERROR(VLOOKUP(--SUBSTITUTE(SUBSTITUTE(TRIM($K1908),"-","")," ",""),마스터시트!$A$2:$H$1946,7,FALSE),""))</f>
        <v/>
      </c>
    </row>
    <row r="1909" spans="13:18" x14ac:dyDescent="0.3">
      <c r="M1909" s="18" t="str">
        <f>IF($K1909="","",IFERROR(VLOOKUP(--SUBSTITUTE(SUBSTITUTE(TRIM($K1909),"-","")," ",""),마스터시트!$A$2:$H$1946,2,FALSE),"미등록"))</f>
        <v/>
      </c>
      <c r="N1909" s="53" t="str">
        <f>IF($K1909="","",IFERROR(VLOOKUP(--SUBSTITUTE(SUBSTITUTE(TRIM($K1909),"-","")," ",""),마스터시트!$A$2:$H$1946,3,FALSE),"미등록"))</f>
        <v/>
      </c>
      <c r="O1909" s="18" t="str">
        <f>IF($K1909="","",IFERROR(VLOOKUP(--SUBSTITUTE(SUBSTITUTE(TRIM($K1909),"-","")," ",""),마스터시트!$A$2:$H$1946,4,FALSE),""))</f>
        <v/>
      </c>
      <c r="P1909" s="18" t="str">
        <f>IF($K1909="","",IFERROR(VLOOKUP(--SUBSTITUTE(SUBSTITUTE(TRIM($K1909),"-","")," ",""),마스터시트!$A$2:$H$1946,5,FALSE),""))</f>
        <v/>
      </c>
      <c r="Q1909" s="18" t="str">
        <f>IF($K1909="","",IFERROR(VLOOKUP(--SUBSTITUTE(SUBSTITUTE(TRIM($K1909),"-","")," ",""),마스터시트!$A$2:$H$1946,6,FALSE),""))</f>
        <v/>
      </c>
      <c r="R1909" s="18" t="str">
        <f>IF($K1909="","",IFERROR(VLOOKUP(--SUBSTITUTE(SUBSTITUTE(TRIM($K1909),"-","")," ",""),마스터시트!$A$2:$H$1946,7,FALSE),""))</f>
        <v/>
      </c>
    </row>
    <row r="1910" spans="13:18" x14ac:dyDescent="0.3">
      <c r="M1910" s="18" t="str">
        <f>IF($K1910="","",IFERROR(VLOOKUP(--SUBSTITUTE(SUBSTITUTE(TRIM($K1910),"-","")," ",""),마스터시트!$A$2:$H$1946,2,FALSE),"미등록"))</f>
        <v/>
      </c>
      <c r="N1910" s="53" t="str">
        <f>IF($K1910="","",IFERROR(VLOOKUP(--SUBSTITUTE(SUBSTITUTE(TRIM($K1910),"-","")," ",""),마스터시트!$A$2:$H$1946,3,FALSE),"미등록"))</f>
        <v/>
      </c>
      <c r="O1910" s="18" t="str">
        <f>IF($K1910="","",IFERROR(VLOOKUP(--SUBSTITUTE(SUBSTITUTE(TRIM($K1910),"-","")," ",""),마스터시트!$A$2:$H$1946,4,FALSE),""))</f>
        <v/>
      </c>
      <c r="P1910" s="18" t="str">
        <f>IF($K1910="","",IFERROR(VLOOKUP(--SUBSTITUTE(SUBSTITUTE(TRIM($K1910),"-","")," ",""),마스터시트!$A$2:$H$1946,5,FALSE),""))</f>
        <v/>
      </c>
      <c r="Q1910" s="18" t="str">
        <f>IF($K1910="","",IFERROR(VLOOKUP(--SUBSTITUTE(SUBSTITUTE(TRIM($K1910),"-","")," ",""),마스터시트!$A$2:$H$1946,6,FALSE),""))</f>
        <v/>
      </c>
      <c r="R1910" s="18" t="str">
        <f>IF($K1910="","",IFERROR(VLOOKUP(--SUBSTITUTE(SUBSTITUTE(TRIM($K1910),"-","")," ",""),마스터시트!$A$2:$H$1946,7,FALSE),""))</f>
        <v/>
      </c>
    </row>
    <row r="1911" spans="13:18" x14ac:dyDescent="0.3">
      <c r="M1911" s="18" t="str">
        <f>IF($K1911="","",IFERROR(VLOOKUP(--SUBSTITUTE(SUBSTITUTE(TRIM($K1911),"-","")," ",""),마스터시트!$A$2:$H$1946,2,FALSE),"미등록"))</f>
        <v/>
      </c>
      <c r="N1911" s="53" t="str">
        <f>IF($K1911="","",IFERROR(VLOOKUP(--SUBSTITUTE(SUBSTITUTE(TRIM($K1911),"-","")," ",""),마스터시트!$A$2:$H$1946,3,FALSE),"미등록"))</f>
        <v/>
      </c>
      <c r="O1911" s="18" t="str">
        <f>IF($K1911="","",IFERROR(VLOOKUP(--SUBSTITUTE(SUBSTITUTE(TRIM($K1911),"-","")," ",""),마스터시트!$A$2:$H$1946,4,FALSE),""))</f>
        <v/>
      </c>
      <c r="P1911" s="18" t="str">
        <f>IF($K1911="","",IFERROR(VLOOKUP(--SUBSTITUTE(SUBSTITUTE(TRIM($K1911),"-","")," ",""),마스터시트!$A$2:$H$1946,5,FALSE),""))</f>
        <v/>
      </c>
      <c r="Q1911" s="18" t="str">
        <f>IF($K1911="","",IFERROR(VLOOKUP(--SUBSTITUTE(SUBSTITUTE(TRIM($K1911),"-","")," ",""),마스터시트!$A$2:$H$1946,6,FALSE),""))</f>
        <v/>
      </c>
      <c r="R1911" s="18" t="str">
        <f>IF($K1911="","",IFERROR(VLOOKUP(--SUBSTITUTE(SUBSTITUTE(TRIM($K1911),"-","")," ",""),마스터시트!$A$2:$H$1946,7,FALSE),""))</f>
        <v/>
      </c>
    </row>
    <row r="1912" spans="13:18" x14ac:dyDescent="0.3">
      <c r="M1912" s="18" t="str">
        <f>IF($K1912="","",IFERROR(VLOOKUP(--SUBSTITUTE(SUBSTITUTE(TRIM($K1912),"-","")," ",""),마스터시트!$A$2:$H$1946,2,FALSE),"미등록"))</f>
        <v/>
      </c>
      <c r="N1912" s="53" t="str">
        <f>IF($K1912="","",IFERROR(VLOOKUP(--SUBSTITUTE(SUBSTITUTE(TRIM($K1912),"-","")," ",""),마스터시트!$A$2:$H$1946,3,FALSE),"미등록"))</f>
        <v/>
      </c>
      <c r="O1912" s="18" t="str">
        <f>IF($K1912="","",IFERROR(VLOOKUP(--SUBSTITUTE(SUBSTITUTE(TRIM($K1912),"-","")," ",""),마스터시트!$A$2:$H$1946,4,FALSE),""))</f>
        <v/>
      </c>
      <c r="P1912" s="18" t="str">
        <f>IF($K1912="","",IFERROR(VLOOKUP(--SUBSTITUTE(SUBSTITUTE(TRIM($K1912),"-","")," ",""),마스터시트!$A$2:$H$1946,5,FALSE),""))</f>
        <v/>
      </c>
      <c r="Q1912" s="18" t="str">
        <f>IF($K1912="","",IFERROR(VLOOKUP(--SUBSTITUTE(SUBSTITUTE(TRIM($K1912),"-","")," ",""),마스터시트!$A$2:$H$1946,6,FALSE),""))</f>
        <v/>
      </c>
      <c r="R1912" s="18" t="str">
        <f>IF($K1912="","",IFERROR(VLOOKUP(--SUBSTITUTE(SUBSTITUTE(TRIM($K1912),"-","")," ",""),마스터시트!$A$2:$H$1946,7,FALSE),""))</f>
        <v/>
      </c>
    </row>
    <row r="1913" spans="13:18" x14ac:dyDescent="0.3">
      <c r="M1913" s="18" t="str">
        <f>IF($K1913="","",IFERROR(VLOOKUP(--SUBSTITUTE(SUBSTITUTE(TRIM($K1913),"-","")," ",""),마스터시트!$A$2:$H$1946,2,FALSE),"미등록"))</f>
        <v/>
      </c>
      <c r="N1913" s="53" t="str">
        <f>IF($K1913="","",IFERROR(VLOOKUP(--SUBSTITUTE(SUBSTITUTE(TRIM($K1913),"-","")," ",""),마스터시트!$A$2:$H$1946,3,FALSE),"미등록"))</f>
        <v/>
      </c>
      <c r="O1913" s="18" t="str">
        <f>IF($K1913="","",IFERROR(VLOOKUP(--SUBSTITUTE(SUBSTITUTE(TRIM($K1913),"-","")," ",""),마스터시트!$A$2:$H$1946,4,FALSE),""))</f>
        <v/>
      </c>
      <c r="P1913" s="18" t="str">
        <f>IF($K1913="","",IFERROR(VLOOKUP(--SUBSTITUTE(SUBSTITUTE(TRIM($K1913),"-","")," ",""),마스터시트!$A$2:$H$1946,5,FALSE),""))</f>
        <v/>
      </c>
      <c r="Q1913" s="18" t="str">
        <f>IF($K1913="","",IFERROR(VLOOKUP(--SUBSTITUTE(SUBSTITUTE(TRIM($K1913),"-","")," ",""),마스터시트!$A$2:$H$1946,6,FALSE),""))</f>
        <v/>
      </c>
      <c r="R1913" s="18" t="str">
        <f>IF($K1913="","",IFERROR(VLOOKUP(--SUBSTITUTE(SUBSTITUTE(TRIM($K1913),"-","")," ",""),마스터시트!$A$2:$H$1946,7,FALSE),""))</f>
        <v/>
      </c>
    </row>
    <row r="1914" spans="13:18" x14ac:dyDescent="0.3">
      <c r="M1914" s="18" t="str">
        <f>IF($K1914="","",IFERROR(VLOOKUP(--SUBSTITUTE(SUBSTITUTE(TRIM($K1914),"-","")," ",""),마스터시트!$A$2:$H$1946,2,FALSE),"미등록"))</f>
        <v/>
      </c>
      <c r="N1914" s="53" t="str">
        <f>IF($K1914="","",IFERROR(VLOOKUP(--SUBSTITUTE(SUBSTITUTE(TRIM($K1914),"-","")," ",""),마스터시트!$A$2:$H$1946,3,FALSE),"미등록"))</f>
        <v/>
      </c>
      <c r="O1914" s="18" t="str">
        <f>IF($K1914="","",IFERROR(VLOOKUP(--SUBSTITUTE(SUBSTITUTE(TRIM($K1914),"-","")," ",""),마스터시트!$A$2:$H$1946,4,FALSE),""))</f>
        <v/>
      </c>
      <c r="P1914" s="18" t="str">
        <f>IF($K1914="","",IFERROR(VLOOKUP(--SUBSTITUTE(SUBSTITUTE(TRIM($K1914),"-","")," ",""),마스터시트!$A$2:$H$1946,5,FALSE),""))</f>
        <v/>
      </c>
      <c r="Q1914" s="18" t="str">
        <f>IF($K1914="","",IFERROR(VLOOKUP(--SUBSTITUTE(SUBSTITUTE(TRIM($K1914),"-","")," ",""),마스터시트!$A$2:$H$1946,6,FALSE),""))</f>
        <v/>
      </c>
      <c r="R1914" s="18" t="str">
        <f>IF($K1914="","",IFERROR(VLOOKUP(--SUBSTITUTE(SUBSTITUTE(TRIM($K1914),"-","")," ",""),마스터시트!$A$2:$H$1946,7,FALSE),""))</f>
        <v/>
      </c>
    </row>
    <row r="1915" spans="13:18" x14ac:dyDescent="0.3">
      <c r="M1915" s="18" t="str">
        <f>IF($K1915="","",IFERROR(VLOOKUP(--SUBSTITUTE(SUBSTITUTE(TRIM($K1915),"-","")," ",""),마스터시트!$A$2:$H$1946,2,FALSE),"미등록"))</f>
        <v/>
      </c>
      <c r="N1915" s="53" t="str">
        <f>IF($K1915="","",IFERROR(VLOOKUP(--SUBSTITUTE(SUBSTITUTE(TRIM($K1915),"-","")," ",""),마스터시트!$A$2:$H$1946,3,FALSE),"미등록"))</f>
        <v/>
      </c>
      <c r="O1915" s="18" t="str">
        <f>IF($K1915="","",IFERROR(VLOOKUP(--SUBSTITUTE(SUBSTITUTE(TRIM($K1915),"-","")," ",""),마스터시트!$A$2:$H$1946,4,FALSE),""))</f>
        <v/>
      </c>
      <c r="P1915" s="18" t="str">
        <f>IF($K1915="","",IFERROR(VLOOKUP(--SUBSTITUTE(SUBSTITUTE(TRIM($K1915),"-","")," ",""),마스터시트!$A$2:$H$1946,5,FALSE),""))</f>
        <v/>
      </c>
      <c r="Q1915" s="18" t="str">
        <f>IF($K1915="","",IFERROR(VLOOKUP(--SUBSTITUTE(SUBSTITUTE(TRIM($K1915),"-","")," ",""),마스터시트!$A$2:$H$1946,6,FALSE),""))</f>
        <v/>
      </c>
      <c r="R1915" s="18" t="str">
        <f>IF($K1915="","",IFERROR(VLOOKUP(--SUBSTITUTE(SUBSTITUTE(TRIM($K1915),"-","")," ",""),마스터시트!$A$2:$H$1946,7,FALSE),""))</f>
        <v/>
      </c>
    </row>
    <row r="1916" spans="13:18" x14ac:dyDescent="0.3">
      <c r="M1916" s="18" t="str">
        <f>IF($K1916="","",IFERROR(VLOOKUP(--SUBSTITUTE(SUBSTITUTE(TRIM($K1916),"-","")," ",""),마스터시트!$A$2:$H$1946,2,FALSE),"미등록"))</f>
        <v/>
      </c>
      <c r="N1916" s="53" t="str">
        <f>IF($K1916="","",IFERROR(VLOOKUP(--SUBSTITUTE(SUBSTITUTE(TRIM($K1916),"-","")," ",""),마스터시트!$A$2:$H$1946,3,FALSE),"미등록"))</f>
        <v/>
      </c>
      <c r="O1916" s="18" t="str">
        <f>IF($K1916="","",IFERROR(VLOOKUP(--SUBSTITUTE(SUBSTITUTE(TRIM($K1916),"-","")," ",""),마스터시트!$A$2:$H$1946,4,FALSE),""))</f>
        <v/>
      </c>
      <c r="P1916" s="18" t="str">
        <f>IF($K1916="","",IFERROR(VLOOKUP(--SUBSTITUTE(SUBSTITUTE(TRIM($K1916),"-","")," ",""),마스터시트!$A$2:$H$1946,5,FALSE),""))</f>
        <v/>
      </c>
      <c r="Q1916" s="18" t="str">
        <f>IF($K1916="","",IFERROR(VLOOKUP(--SUBSTITUTE(SUBSTITUTE(TRIM($K1916),"-","")," ",""),마스터시트!$A$2:$H$1946,6,FALSE),""))</f>
        <v/>
      </c>
      <c r="R1916" s="18" t="str">
        <f>IF($K1916="","",IFERROR(VLOOKUP(--SUBSTITUTE(SUBSTITUTE(TRIM($K1916),"-","")," ",""),마스터시트!$A$2:$H$1946,7,FALSE),""))</f>
        <v/>
      </c>
    </row>
    <row r="1917" spans="13:18" x14ac:dyDescent="0.3">
      <c r="M1917" s="18" t="str">
        <f>IF($K1917="","",IFERROR(VLOOKUP(--SUBSTITUTE(SUBSTITUTE(TRIM($K1917),"-","")," ",""),마스터시트!$A$2:$H$1946,2,FALSE),"미등록"))</f>
        <v/>
      </c>
      <c r="N1917" s="53" t="str">
        <f>IF($K1917="","",IFERROR(VLOOKUP(--SUBSTITUTE(SUBSTITUTE(TRIM($K1917),"-","")," ",""),마스터시트!$A$2:$H$1946,3,FALSE),"미등록"))</f>
        <v/>
      </c>
      <c r="O1917" s="18" t="str">
        <f>IF($K1917="","",IFERROR(VLOOKUP(--SUBSTITUTE(SUBSTITUTE(TRIM($K1917),"-","")," ",""),마스터시트!$A$2:$H$1946,4,FALSE),""))</f>
        <v/>
      </c>
      <c r="P1917" s="18" t="str">
        <f>IF($K1917="","",IFERROR(VLOOKUP(--SUBSTITUTE(SUBSTITUTE(TRIM($K1917),"-","")," ",""),마스터시트!$A$2:$H$1946,5,FALSE),""))</f>
        <v/>
      </c>
      <c r="Q1917" s="18" t="str">
        <f>IF($K1917="","",IFERROR(VLOOKUP(--SUBSTITUTE(SUBSTITUTE(TRIM($K1917),"-","")," ",""),마스터시트!$A$2:$H$1946,6,FALSE),""))</f>
        <v/>
      </c>
      <c r="R1917" s="18" t="str">
        <f>IF($K1917="","",IFERROR(VLOOKUP(--SUBSTITUTE(SUBSTITUTE(TRIM($K1917),"-","")," ",""),마스터시트!$A$2:$H$1946,7,FALSE),""))</f>
        <v/>
      </c>
    </row>
    <row r="1918" spans="13:18" x14ac:dyDescent="0.3">
      <c r="M1918" s="18" t="str">
        <f>IF($K1918="","",IFERROR(VLOOKUP(--SUBSTITUTE(SUBSTITUTE(TRIM($K1918),"-","")," ",""),마스터시트!$A$2:$H$1946,2,FALSE),"미등록"))</f>
        <v/>
      </c>
      <c r="N1918" s="53" t="str">
        <f>IF($K1918="","",IFERROR(VLOOKUP(--SUBSTITUTE(SUBSTITUTE(TRIM($K1918),"-","")," ",""),마스터시트!$A$2:$H$1946,3,FALSE),"미등록"))</f>
        <v/>
      </c>
      <c r="O1918" s="18" t="str">
        <f>IF($K1918="","",IFERROR(VLOOKUP(--SUBSTITUTE(SUBSTITUTE(TRIM($K1918),"-","")," ",""),마스터시트!$A$2:$H$1946,4,FALSE),""))</f>
        <v/>
      </c>
      <c r="P1918" s="18" t="str">
        <f>IF($K1918="","",IFERROR(VLOOKUP(--SUBSTITUTE(SUBSTITUTE(TRIM($K1918),"-","")," ",""),마스터시트!$A$2:$H$1946,5,FALSE),""))</f>
        <v/>
      </c>
      <c r="Q1918" s="18" t="str">
        <f>IF($K1918="","",IFERROR(VLOOKUP(--SUBSTITUTE(SUBSTITUTE(TRIM($K1918),"-","")," ",""),마스터시트!$A$2:$H$1946,6,FALSE),""))</f>
        <v/>
      </c>
      <c r="R1918" s="18" t="str">
        <f>IF($K1918="","",IFERROR(VLOOKUP(--SUBSTITUTE(SUBSTITUTE(TRIM($K1918),"-","")," ",""),마스터시트!$A$2:$H$1946,7,FALSE),""))</f>
        <v/>
      </c>
    </row>
    <row r="1919" spans="13:18" x14ac:dyDescent="0.3">
      <c r="M1919" s="18" t="str">
        <f>IF($K1919="","",IFERROR(VLOOKUP(--SUBSTITUTE(SUBSTITUTE(TRIM($K1919),"-","")," ",""),마스터시트!$A$2:$H$1946,2,FALSE),"미등록"))</f>
        <v/>
      </c>
      <c r="N1919" s="53" t="str">
        <f>IF($K1919="","",IFERROR(VLOOKUP(--SUBSTITUTE(SUBSTITUTE(TRIM($K1919),"-","")," ",""),마스터시트!$A$2:$H$1946,3,FALSE),"미등록"))</f>
        <v/>
      </c>
      <c r="O1919" s="18" t="str">
        <f>IF($K1919="","",IFERROR(VLOOKUP(--SUBSTITUTE(SUBSTITUTE(TRIM($K1919),"-","")," ",""),마스터시트!$A$2:$H$1946,4,FALSE),""))</f>
        <v/>
      </c>
      <c r="P1919" s="18" t="str">
        <f>IF($K1919="","",IFERROR(VLOOKUP(--SUBSTITUTE(SUBSTITUTE(TRIM($K1919),"-","")," ",""),마스터시트!$A$2:$H$1946,5,FALSE),""))</f>
        <v/>
      </c>
      <c r="Q1919" s="18" t="str">
        <f>IF($K1919="","",IFERROR(VLOOKUP(--SUBSTITUTE(SUBSTITUTE(TRIM($K1919),"-","")," ",""),마스터시트!$A$2:$H$1946,6,FALSE),""))</f>
        <v/>
      </c>
      <c r="R1919" s="18" t="str">
        <f>IF($K1919="","",IFERROR(VLOOKUP(--SUBSTITUTE(SUBSTITUTE(TRIM($K1919),"-","")," ",""),마스터시트!$A$2:$H$1946,7,FALSE),""))</f>
        <v/>
      </c>
    </row>
    <row r="1920" spans="13:18" x14ac:dyDescent="0.3">
      <c r="M1920" s="18" t="str">
        <f>IF($K1920="","",IFERROR(VLOOKUP(--SUBSTITUTE(SUBSTITUTE(TRIM($K1920),"-","")," ",""),마스터시트!$A$2:$H$1946,2,FALSE),"미등록"))</f>
        <v/>
      </c>
      <c r="N1920" s="53" t="str">
        <f>IF($K1920="","",IFERROR(VLOOKUP(--SUBSTITUTE(SUBSTITUTE(TRIM($K1920),"-","")," ",""),마스터시트!$A$2:$H$1946,3,FALSE),"미등록"))</f>
        <v/>
      </c>
      <c r="O1920" s="18" t="str">
        <f>IF($K1920="","",IFERROR(VLOOKUP(--SUBSTITUTE(SUBSTITUTE(TRIM($K1920),"-","")," ",""),마스터시트!$A$2:$H$1946,4,FALSE),""))</f>
        <v/>
      </c>
      <c r="P1920" s="18" t="str">
        <f>IF($K1920="","",IFERROR(VLOOKUP(--SUBSTITUTE(SUBSTITUTE(TRIM($K1920),"-","")," ",""),마스터시트!$A$2:$H$1946,5,FALSE),""))</f>
        <v/>
      </c>
      <c r="Q1920" s="18" t="str">
        <f>IF($K1920="","",IFERROR(VLOOKUP(--SUBSTITUTE(SUBSTITUTE(TRIM($K1920),"-","")," ",""),마스터시트!$A$2:$H$1946,6,FALSE),""))</f>
        <v/>
      </c>
      <c r="R1920" s="18" t="str">
        <f>IF($K1920="","",IFERROR(VLOOKUP(--SUBSTITUTE(SUBSTITUTE(TRIM($K1920),"-","")," ",""),마스터시트!$A$2:$H$1946,7,FALSE),""))</f>
        <v/>
      </c>
    </row>
    <row r="1921" spans="13:18" x14ac:dyDescent="0.3">
      <c r="M1921" s="18" t="str">
        <f>IF($K1921="","",IFERROR(VLOOKUP(--SUBSTITUTE(SUBSTITUTE(TRIM($K1921),"-","")," ",""),마스터시트!$A$2:$H$1946,2,FALSE),"미등록"))</f>
        <v/>
      </c>
      <c r="N1921" s="53" t="str">
        <f>IF($K1921="","",IFERROR(VLOOKUP(--SUBSTITUTE(SUBSTITUTE(TRIM($K1921),"-","")," ",""),마스터시트!$A$2:$H$1946,3,FALSE),"미등록"))</f>
        <v/>
      </c>
      <c r="O1921" s="18" t="str">
        <f>IF($K1921="","",IFERROR(VLOOKUP(--SUBSTITUTE(SUBSTITUTE(TRIM($K1921),"-","")," ",""),마스터시트!$A$2:$H$1946,4,FALSE),""))</f>
        <v/>
      </c>
      <c r="P1921" s="18" t="str">
        <f>IF($K1921="","",IFERROR(VLOOKUP(--SUBSTITUTE(SUBSTITUTE(TRIM($K1921),"-","")," ",""),마스터시트!$A$2:$H$1946,5,FALSE),""))</f>
        <v/>
      </c>
      <c r="Q1921" s="18" t="str">
        <f>IF($K1921="","",IFERROR(VLOOKUP(--SUBSTITUTE(SUBSTITUTE(TRIM($K1921),"-","")," ",""),마스터시트!$A$2:$H$1946,6,FALSE),""))</f>
        <v/>
      </c>
      <c r="R1921" s="18" t="str">
        <f>IF($K1921="","",IFERROR(VLOOKUP(--SUBSTITUTE(SUBSTITUTE(TRIM($K1921),"-","")," ",""),마스터시트!$A$2:$H$1946,7,FALSE),""))</f>
        <v/>
      </c>
    </row>
    <row r="1922" spans="13:18" x14ac:dyDescent="0.3">
      <c r="M1922" s="18" t="str">
        <f>IF($K1922="","",IFERROR(VLOOKUP(--SUBSTITUTE(SUBSTITUTE(TRIM($K1922),"-","")," ",""),마스터시트!$A$2:$H$1946,2,FALSE),"미등록"))</f>
        <v/>
      </c>
      <c r="N1922" s="53" t="str">
        <f>IF($K1922="","",IFERROR(VLOOKUP(--SUBSTITUTE(SUBSTITUTE(TRIM($K1922),"-","")," ",""),마스터시트!$A$2:$H$1946,3,FALSE),"미등록"))</f>
        <v/>
      </c>
      <c r="O1922" s="18" t="str">
        <f>IF($K1922="","",IFERROR(VLOOKUP(--SUBSTITUTE(SUBSTITUTE(TRIM($K1922),"-","")," ",""),마스터시트!$A$2:$H$1946,4,FALSE),""))</f>
        <v/>
      </c>
      <c r="P1922" s="18" t="str">
        <f>IF($K1922="","",IFERROR(VLOOKUP(--SUBSTITUTE(SUBSTITUTE(TRIM($K1922),"-","")," ",""),마스터시트!$A$2:$H$1946,5,FALSE),""))</f>
        <v/>
      </c>
      <c r="Q1922" s="18" t="str">
        <f>IF($K1922="","",IFERROR(VLOOKUP(--SUBSTITUTE(SUBSTITUTE(TRIM($K1922),"-","")," ",""),마스터시트!$A$2:$H$1946,6,FALSE),""))</f>
        <v/>
      </c>
      <c r="R1922" s="18" t="str">
        <f>IF($K1922="","",IFERROR(VLOOKUP(--SUBSTITUTE(SUBSTITUTE(TRIM($K1922),"-","")," ",""),마스터시트!$A$2:$H$1946,7,FALSE),""))</f>
        <v/>
      </c>
    </row>
    <row r="1923" spans="13:18" x14ac:dyDescent="0.3">
      <c r="M1923" s="18" t="str">
        <f>IF($K1923="","",IFERROR(VLOOKUP(--SUBSTITUTE(SUBSTITUTE(TRIM($K1923),"-","")," ",""),마스터시트!$A$2:$H$1946,2,FALSE),"미등록"))</f>
        <v/>
      </c>
      <c r="N1923" s="53" t="str">
        <f>IF($K1923="","",IFERROR(VLOOKUP(--SUBSTITUTE(SUBSTITUTE(TRIM($K1923),"-","")," ",""),마스터시트!$A$2:$H$1946,3,FALSE),"미등록"))</f>
        <v/>
      </c>
      <c r="O1923" s="18" t="str">
        <f>IF($K1923="","",IFERROR(VLOOKUP(--SUBSTITUTE(SUBSTITUTE(TRIM($K1923),"-","")," ",""),마스터시트!$A$2:$H$1946,4,FALSE),""))</f>
        <v/>
      </c>
      <c r="P1923" s="18" t="str">
        <f>IF($K1923="","",IFERROR(VLOOKUP(--SUBSTITUTE(SUBSTITUTE(TRIM($K1923),"-","")," ",""),마스터시트!$A$2:$H$1946,5,FALSE),""))</f>
        <v/>
      </c>
      <c r="Q1923" s="18" t="str">
        <f>IF($K1923="","",IFERROR(VLOOKUP(--SUBSTITUTE(SUBSTITUTE(TRIM($K1923),"-","")," ",""),마스터시트!$A$2:$H$1946,6,FALSE),""))</f>
        <v/>
      </c>
      <c r="R1923" s="18" t="str">
        <f>IF($K1923="","",IFERROR(VLOOKUP(--SUBSTITUTE(SUBSTITUTE(TRIM($K1923),"-","")," ",""),마스터시트!$A$2:$H$1946,7,FALSE),""))</f>
        <v/>
      </c>
    </row>
    <row r="1924" spans="13:18" x14ac:dyDescent="0.3">
      <c r="M1924" s="18" t="str">
        <f>IF($K1924="","",IFERROR(VLOOKUP(--SUBSTITUTE(SUBSTITUTE(TRIM($K1924),"-","")," ",""),마스터시트!$A$2:$H$1946,2,FALSE),"미등록"))</f>
        <v/>
      </c>
      <c r="N1924" s="53" t="str">
        <f>IF($K1924="","",IFERROR(VLOOKUP(--SUBSTITUTE(SUBSTITUTE(TRIM($K1924),"-","")," ",""),마스터시트!$A$2:$H$1946,3,FALSE),"미등록"))</f>
        <v/>
      </c>
      <c r="O1924" s="18" t="str">
        <f>IF($K1924="","",IFERROR(VLOOKUP(--SUBSTITUTE(SUBSTITUTE(TRIM($K1924),"-","")," ",""),마스터시트!$A$2:$H$1946,4,FALSE),""))</f>
        <v/>
      </c>
      <c r="P1924" s="18" t="str">
        <f>IF($K1924="","",IFERROR(VLOOKUP(--SUBSTITUTE(SUBSTITUTE(TRIM($K1924),"-","")," ",""),마스터시트!$A$2:$H$1946,5,FALSE),""))</f>
        <v/>
      </c>
      <c r="Q1924" s="18" t="str">
        <f>IF($K1924="","",IFERROR(VLOOKUP(--SUBSTITUTE(SUBSTITUTE(TRIM($K1924),"-","")," ",""),마스터시트!$A$2:$H$1946,6,FALSE),""))</f>
        <v/>
      </c>
      <c r="R1924" s="18" t="str">
        <f>IF($K1924="","",IFERROR(VLOOKUP(--SUBSTITUTE(SUBSTITUTE(TRIM($K1924),"-","")," ",""),마스터시트!$A$2:$H$1946,7,FALSE),""))</f>
        <v/>
      </c>
    </row>
    <row r="1925" spans="13:18" x14ac:dyDescent="0.3">
      <c r="M1925" s="18" t="str">
        <f>IF($K1925="","",IFERROR(VLOOKUP(--SUBSTITUTE(SUBSTITUTE(TRIM($K1925),"-","")," ",""),마스터시트!$A$2:$H$1946,2,FALSE),"미등록"))</f>
        <v/>
      </c>
      <c r="N1925" s="53" t="str">
        <f>IF($K1925="","",IFERROR(VLOOKUP(--SUBSTITUTE(SUBSTITUTE(TRIM($K1925),"-","")," ",""),마스터시트!$A$2:$H$1946,3,FALSE),"미등록"))</f>
        <v/>
      </c>
      <c r="O1925" s="18" t="str">
        <f>IF($K1925="","",IFERROR(VLOOKUP(--SUBSTITUTE(SUBSTITUTE(TRIM($K1925),"-","")," ",""),마스터시트!$A$2:$H$1946,4,FALSE),""))</f>
        <v/>
      </c>
      <c r="P1925" s="18" t="str">
        <f>IF($K1925="","",IFERROR(VLOOKUP(--SUBSTITUTE(SUBSTITUTE(TRIM($K1925),"-","")," ",""),마스터시트!$A$2:$H$1946,5,FALSE),""))</f>
        <v/>
      </c>
      <c r="Q1925" s="18" t="str">
        <f>IF($K1925="","",IFERROR(VLOOKUP(--SUBSTITUTE(SUBSTITUTE(TRIM($K1925),"-","")," ",""),마스터시트!$A$2:$H$1946,6,FALSE),""))</f>
        <v/>
      </c>
      <c r="R1925" s="18" t="str">
        <f>IF($K1925="","",IFERROR(VLOOKUP(--SUBSTITUTE(SUBSTITUTE(TRIM($K1925),"-","")," ",""),마스터시트!$A$2:$H$1946,7,FALSE),""))</f>
        <v/>
      </c>
    </row>
    <row r="1926" spans="13:18" x14ac:dyDescent="0.3">
      <c r="M1926" s="18" t="str">
        <f>IF($K1926="","",IFERROR(VLOOKUP(--SUBSTITUTE(SUBSTITUTE(TRIM($K1926),"-","")," ",""),마스터시트!$A$2:$H$1946,2,FALSE),"미등록"))</f>
        <v/>
      </c>
      <c r="N1926" s="53" t="str">
        <f>IF($K1926="","",IFERROR(VLOOKUP(--SUBSTITUTE(SUBSTITUTE(TRIM($K1926),"-","")," ",""),마스터시트!$A$2:$H$1946,3,FALSE),"미등록"))</f>
        <v/>
      </c>
      <c r="O1926" s="18" t="str">
        <f>IF($K1926="","",IFERROR(VLOOKUP(--SUBSTITUTE(SUBSTITUTE(TRIM($K1926),"-","")," ",""),마스터시트!$A$2:$H$1946,4,FALSE),""))</f>
        <v/>
      </c>
      <c r="P1926" s="18" t="str">
        <f>IF($K1926="","",IFERROR(VLOOKUP(--SUBSTITUTE(SUBSTITUTE(TRIM($K1926),"-","")," ",""),마스터시트!$A$2:$H$1946,5,FALSE),""))</f>
        <v/>
      </c>
      <c r="Q1926" s="18" t="str">
        <f>IF($K1926="","",IFERROR(VLOOKUP(--SUBSTITUTE(SUBSTITUTE(TRIM($K1926),"-","")," ",""),마스터시트!$A$2:$H$1946,6,FALSE),""))</f>
        <v/>
      </c>
      <c r="R1926" s="18" t="str">
        <f>IF($K1926="","",IFERROR(VLOOKUP(--SUBSTITUTE(SUBSTITUTE(TRIM($K1926),"-","")," ",""),마스터시트!$A$2:$H$1946,7,FALSE),""))</f>
        <v/>
      </c>
    </row>
    <row r="1927" spans="13:18" x14ac:dyDescent="0.3">
      <c r="M1927" s="18" t="str">
        <f>IF($K1927="","",IFERROR(VLOOKUP(--SUBSTITUTE(SUBSTITUTE(TRIM($K1927),"-","")," ",""),마스터시트!$A$2:$H$1946,2,FALSE),"미등록"))</f>
        <v/>
      </c>
      <c r="N1927" s="53" t="str">
        <f>IF($K1927="","",IFERROR(VLOOKUP(--SUBSTITUTE(SUBSTITUTE(TRIM($K1927),"-","")," ",""),마스터시트!$A$2:$H$1946,3,FALSE),"미등록"))</f>
        <v/>
      </c>
      <c r="O1927" s="18" t="str">
        <f>IF($K1927="","",IFERROR(VLOOKUP(--SUBSTITUTE(SUBSTITUTE(TRIM($K1927),"-","")," ",""),마스터시트!$A$2:$H$1946,4,FALSE),""))</f>
        <v/>
      </c>
      <c r="P1927" s="18" t="str">
        <f>IF($K1927="","",IFERROR(VLOOKUP(--SUBSTITUTE(SUBSTITUTE(TRIM($K1927),"-","")," ",""),마스터시트!$A$2:$H$1946,5,FALSE),""))</f>
        <v/>
      </c>
      <c r="Q1927" s="18" t="str">
        <f>IF($K1927="","",IFERROR(VLOOKUP(--SUBSTITUTE(SUBSTITUTE(TRIM($K1927),"-","")," ",""),마스터시트!$A$2:$H$1946,6,FALSE),""))</f>
        <v/>
      </c>
      <c r="R1927" s="18" t="str">
        <f>IF($K1927="","",IFERROR(VLOOKUP(--SUBSTITUTE(SUBSTITUTE(TRIM($K1927),"-","")," ",""),마스터시트!$A$2:$H$1946,7,FALSE),""))</f>
        <v/>
      </c>
    </row>
    <row r="1928" spans="13:18" x14ac:dyDescent="0.3">
      <c r="M1928" s="18" t="str">
        <f>IF($K1928="","",IFERROR(VLOOKUP(--SUBSTITUTE(SUBSTITUTE(TRIM($K1928),"-","")," ",""),마스터시트!$A$2:$H$1946,2,FALSE),"미등록"))</f>
        <v/>
      </c>
      <c r="N1928" s="53" t="str">
        <f>IF($K1928="","",IFERROR(VLOOKUP(--SUBSTITUTE(SUBSTITUTE(TRIM($K1928),"-","")," ",""),마스터시트!$A$2:$H$1946,3,FALSE),"미등록"))</f>
        <v/>
      </c>
      <c r="O1928" s="18" t="str">
        <f>IF($K1928="","",IFERROR(VLOOKUP(--SUBSTITUTE(SUBSTITUTE(TRIM($K1928),"-","")," ",""),마스터시트!$A$2:$H$1946,4,FALSE),""))</f>
        <v/>
      </c>
      <c r="P1928" s="18" t="str">
        <f>IF($K1928="","",IFERROR(VLOOKUP(--SUBSTITUTE(SUBSTITUTE(TRIM($K1928),"-","")," ",""),마스터시트!$A$2:$H$1946,5,FALSE),""))</f>
        <v/>
      </c>
      <c r="Q1928" s="18" t="str">
        <f>IF($K1928="","",IFERROR(VLOOKUP(--SUBSTITUTE(SUBSTITUTE(TRIM($K1928),"-","")," ",""),마스터시트!$A$2:$H$1946,6,FALSE),""))</f>
        <v/>
      </c>
      <c r="R1928" s="18" t="str">
        <f>IF($K1928="","",IFERROR(VLOOKUP(--SUBSTITUTE(SUBSTITUTE(TRIM($K1928),"-","")," ",""),마스터시트!$A$2:$H$1946,7,FALSE),""))</f>
        <v/>
      </c>
    </row>
    <row r="1929" spans="13:18" x14ac:dyDescent="0.3">
      <c r="M1929" s="18" t="str">
        <f>IF($K1929="","",IFERROR(VLOOKUP(--SUBSTITUTE(SUBSTITUTE(TRIM($K1929),"-","")," ",""),마스터시트!$A$2:$H$1946,2,FALSE),"미등록"))</f>
        <v/>
      </c>
      <c r="N1929" s="53" t="str">
        <f>IF($K1929="","",IFERROR(VLOOKUP(--SUBSTITUTE(SUBSTITUTE(TRIM($K1929),"-","")," ",""),마스터시트!$A$2:$H$1946,3,FALSE),"미등록"))</f>
        <v/>
      </c>
      <c r="O1929" s="18" t="str">
        <f>IF($K1929="","",IFERROR(VLOOKUP(--SUBSTITUTE(SUBSTITUTE(TRIM($K1929),"-","")," ",""),마스터시트!$A$2:$H$1946,4,FALSE),""))</f>
        <v/>
      </c>
      <c r="P1929" s="18" t="str">
        <f>IF($K1929="","",IFERROR(VLOOKUP(--SUBSTITUTE(SUBSTITUTE(TRIM($K1929),"-","")," ",""),마스터시트!$A$2:$H$1946,5,FALSE),""))</f>
        <v/>
      </c>
      <c r="Q1929" s="18" t="str">
        <f>IF($K1929="","",IFERROR(VLOOKUP(--SUBSTITUTE(SUBSTITUTE(TRIM($K1929),"-","")," ",""),마스터시트!$A$2:$H$1946,6,FALSE),""))</f>
        <v/>
      </c>
      <c r="R1929" s="18" t="str">
        <f>IF($K1929="","",IFERROR(VLOOKUP(--SUBSTITUTE(SUBSTITUTE(TRIM($K1929),"-","")," ",""),마스터시트!$A$2:$H$1946,7,FALSE),""))</f>
        <v/>
      </c>
    </row>
    <row r="1930" spans="13:18" x14ac:dyDescent="0.3">
      <c r="M1930" s="18" t="str">
        <f>IF($K1930="","",IFERROR(VLOOKUP(--SUBSTITUTE(SUBSTITUTE(TRIM($K1930),"-","")," ",""),마스터시트!$A$2:$H$1946,2,FALSE),"미등록"))</f>
        <v/>
      </c>
      <c r="N1930" s="53" t="str">
        <f>IF($K1930="","",IFERROR(VLOOKUP(--SUBSTITUTE(SUBSTITUTE(TRIM($K1930),"-","")," ",""),마스터시트!$A$2:$H$1946,3,FALSE),"미등록"))</f>
        <v/>
      </c>
      <c r="O1930" s="18" t="str">
        <f>IF($K1930="","",IFERROR(VLOOKUP(--SUBSTITUTE(SUBSTITUTE(TRIM($K1930),"-","")," ",""),마스터시트!$A$2:$H$1946,4,FALSE),""))</f>
        <v/>
      </c>
      <c r="P1930" s="18" t="str">
        <f>IF($K1930="","",IFERROR(VLOOKUP(--SUBSTITUTE(SUBSTITUTE(TRIM($K1930),"-","")," ",""),마스터시트!$A$2:$H$1946,5,FALSE),""))</f>
        <v/>
      </c>
      <c r="Q1930" s="18" t="str">
        <f>IF($K1930="","",IFERROR(VLOOKUP(--SUBSTITUTE(SUBSTITUTE(TRIM($K1930),"-","")," ",""),마스터시트!$A$2:$H$1946,6,FALSE),""))</f>
        <v/>
      </c>
      <c r="R1930" s="18" t="str">
        <f>IF($K1930="","",IFERROR(VLOOKUP(--SUBSTITUTE(SUBSTITUTE(TRIM($K1930),"-","")," ",""),마스터시트!$A$2:$H$1946,7,FALSE),""))</f>
        <v/>
      </c>
    </row>
    <row r="1931" spans="13:18" x14ac:dyDescent="0.3">
      <c r="M1931" s="18" t="str">
        <f>IF($K1931="","",IFERROR(VLOOKUP(--SUBSTITUTE(SUBSTITUTE(TRIM($K1931),"-","")," ",""),마스터시트!$A$2:$H$1946,2,FALSE),"미등록"))</f>
        <v/>
      </c>
      <c r="N1931" s="53" t="str">
        <f>IF($K1931="","",IFERROR(VLOOKUP(--SUBSTITUTE(SUBSTITUTE(TRIM($K1931),"-","")," ",""),마스터시트!$A$2:$H$1946,3,FALSE),"미등록"))</f>
        <v/>
      </c>
      <c r="O1931" s="18" t="str">
        <f>IF($K1931="","",IFERROR(VLOOKUP(--SUBSTITUTE(SUBSTITUTE(TRIM($K1931),"-","")," ",""),마스터시트!$A$2:$H$1946,4,FALSE),""))</f>
        <v/>
      </c>
      <c r="P1931" s="18" t="str">
        <f>IF($K1931="","",IFERROR(VLOOKUP(--SUBSTITUTE(SUBSTITUTE(TRIM($K1931),"-","")," ",""),마스터시트!$A$2:$H$1946,5,FALSE),""))</f>
        <v/>
      </c>
      <c r="Q1931" s="18" t="str">
        <f>IF($K1931="","",IFERROR(VLOOKUP(--SUBSTITUTE(SUBSTITUTE(TRIM($K1931),"-","")," ",""),마스터시트!$A$2:$H$1946,6,FALSE),""))</f>
        <v/>
      </c>
      <c r="R1931" s="18" t="str">
        <f>IF($K1931="","",IFERROR(VLOOKUP(--SUBSTITUTE(SUBSTITUTE(TRIM($K1931),"-","")," ",""),마스터시트!$A$2:$H$1946,7,FALSE),""))</f>
        <v/>
      </c>
    </row>
    <row r="1932" spans="13:18" x14ac:dyDescent="0.3">
      <c r="M1932" s="18" t="str">
        <f>IF($K1932="","",IFERROR(VLOOKUP(--SUBSTITUTE(SUBSTITUTE(TRIM($K1932),"-","")," ",""),마스터시트!$A$2:$H$1946,2,FALSE),"미등록"))</f>
        <v/>
      </c>
      <c r="N1932" s="53" t="str">
        <f>IF($K1932="","",IFERROR(VLOOKUP(--SUBSTITUTE(SUBSTITUTE(TRIM($K1932),"-","")," ",""),마스터시트!$A$2:$H$1946,3,FALSE),"미등록"))</f>
        <v/>
      </c>
      <c r="O1932" s="18" t="str">
        <f>IF($K1932="","",IFERROR(VLOOKUP(--SUBSTITUTE(SUBSTITUTE(TRIM($K1932),"-","")," ",""),마스터시트!$A$2:$H$1946,4,FALSE),""))</f>
        <v/>
      </c>
      <c r="P1932" s="18" t="str">
        <f>IF($K1932="","",IFERROR(VLOOKUP(--SUBSTITUTE(SUBSTITUTE(TRIM($K1932),"-","")," ",""),마스터시트!$A$2:$H$1946,5,FALSE),""))</f>
        <v/>
      </c>
      <c r="Q1932" s="18" t="str">
        <f>IF($K1932="","",IFERROR(VLOOKUP(--SUBSTITUTE(SUBSTITUTE(TRIM($K1932),"-","")," ",""),마스터시트!$A$2:$H$1946,6,FALSE),""))</f>
        <v/>
      </c>
      <c r="R1932" s="18" t="str">
        <f>IF($K1932="","",IFERROR(VLOOKUP(--SUBSTITUTE(SUBSTITUTE(TRIM($K1932),"-","")," ",""),마스터시트!$A$2:$H$1946,7,FALSE),""))</f>
        <v/>
      </c>
    </row>
    <row r="1933" spans="13:18" x14ac:dyDescent="0.3">
      <c r="M1933" s="18" t="str">
        <f>IF($K1933="","",IFERROR(VLOOKUP(--SUBSTITUTE(SUBSTITUTE(TRIM($K1933),"-","")," ",""),마스터시트!$A$2:$H$1946,2,FALSE),"미등록"))</f>
        <v/>
      </c>
      <c r="N1933" s="53" t="str">
        <f>IF($K1933="","",IFERROR(VLOOKUP(--SUBSTITUTE(SUBSTITUTE(TRIM($K1933),"-","")," ",""),마스터시트!$A$2:$H$1946,3,FALSE),"미등록"))</f>
        <v/>
      </c>
      <c r="O1933" s="18" t="str">
        <f>IF($K1933="","",IFERROR(VLOOKUP(--SUBSTITUTE(SUBSTITUTE(TRIM($K1933),"-","")," ",""),마스터시트!$A$2:$H$1946,4,FALSE),""))</f>
        <v/>
      </c>
      <c r="P1933" s="18" t="str">
        <f>IF($K1933="","",IFERROR(VLOOKUP(--SUBSTITUTE(SUBSTITUTE(TRIM($K1933),"-","")," ",""),마스터시트!$A$2:$H$1946,5,FALSE),""))</f>
        <v/>
      </c>
      <c r="Q1933" s="18" t="str">
        <f>IF($K1933="","",IFERROR(VLOOKUP(--SUBSTITUTE(SUBSTITUTE(TRIM($K1933),"-","")," ",""),마스터시트!$A$2:$H$1946,6,FALSE),""))</f>
        <v/>
      </c>
      <c r="R1933" s="18" t="str">
        <f>IF($K1933="","",IFERROR(VLOOKUP(--SUBSTITUTE(SUBSTITUTE(TRIM($K1933),"-","")," ",""),마스터시트!$A$2:$H$1946,7,FALSE),""))</f>
        <v/>
      </c>
    </row>
    <row r="1934" spans="13:18" x14ac:dyDescent="0.3">
      <c r="M1934" s="18" t="str">
        <f>IF($K1934="","",IFERROR(VLOOKUP(--SUBSTITUTE(SUBSTITUTE(TRIM($K1934),"-","")," ",""),마스터시트!$A$2:$H$1946,2,FALSE),"미등록"))</f>
        <v/>
      </c>
      <c r="N1934" s="53" t="str">
        <f>IF($K1934="","",IFERROR(VLOOKUP(--SUBSTITUTE(SUBSTITUTE(TRIM($K1934),"-","")," ",""),마스터시트!$A$2:$H$1946,3,FALSE),"미등록"))</f>
        <v/>
      </c>
      <c r="O1934" s="18" t="str">
        <f>IF($K1934="","",IFERROR(VLOOKUP(--SUBSTITUTE(SUBSTITUTE(TRIM($K1934),"-","")," ",""),마스터시트!$A$2:$H$1946,4,FALSE),""))</f>
        <v/>
      </c>
      <c r="P1934" s="18" t="str">
        <f>IF($K1934="","",IFERROR(VLOOKUP(--SUBSTITUTE(SUBSTITUTE(TRIM($K1934),"-","")," ",""),마스터시트!$A$2:$H$1946,5,FALSE),""))</f>
        <v/>
      </c>
      <c r="Q1934" s="18" t="str">
        <f>IF($K1934="","",IFERROR(VLOOKUP(--SUBSTITUTE(SUBSTITUTE(TRIM($K1934),"-","")," ",""),마스터시트!$A$2:$H$1946,6,FALSE),""))</f>
        <v/>
      </c>
      <c r="R1934" s="18" t="str">
        <f>IF($K1934="","",IFERROR(VLOOKUP(--SUBSTITUTE(SUBSTITUTE(TRIM($K1934),"-","")," ",""),마스터시트!$A$2:$H$1946,7,FALSE),""))</f>
        <v/>
      </c>
    </row>
    <row r="1935" spans="13:18" x14ac:dyDescent="0.3">
      <c r="M1935" s="18" t="str">
        <f>IF($K1935="","",IFERROR(VLOOKUP(--SUBSTITUTE(SUBSTITUTE(TRIM($K1935),"-","")," ",""),마스터시트!$A$2:$H$1946,2,FALSE),"미등록"))</f>
        <v/>
      </c>
      <c r="N1935" s="53" t="str">
        <f>IF($K1935="","",IFERROR(VLOOKUP(--SUBSTITUTE(SUBSTITUTE(TRIM($K1935),"-","")," ",""),마스터시트!$A$2:$H$1946,3,FALSE),"미등록"))</f>
        <v/>
      </c>
      <c r="O1935" s="18" t="str">
        <f>IF($K1935="","",IFERROR(VLOOKUP(--SUBSTITUTE(SUBSTITUTE(TRIM($K1935),"-","")," ",""),마스터시트!$A$2:$H$1946,4,FALSE),""))</f>
        <v/>
      </c>
      <c r="P1935" s="18" t="str">
        <f>IF($K1935="","",IFERROR(VLOOKUP(--SUBSTITUTE(SUBSTITUTE(TRIM($K1935),"-","")," ",""),마스터시트!$A$2:$H$1946,5,FALSE),""))</f>
        <v/>
      </c>
      <c r="Q1935" s="18" t="str">
        <f>IF($K1935="","",IFERROR(VLOOKUP(--SUBSTITUTE(SUBSTITUTE(TRIM($K1935),"-","")," ",""),마스터시트!$A$2:$H$1946,6,FALSE),""))</f>
        <v/>
      </c>
      <c r="R1935" s="18" t="str">
        <f>IF($K1935="","",IFERROR(VLOOKUP(--SUBSTITUTE(SUBSTITUTE(TRIM($K1935),"-","")," ",""),마스터시트!$A$2:$H$1946,7,FALSE),""))</f>
        <v/>
      </c>
    </row>
    <row r="1936" spans="13:18" x14ac:dyDescent="0.3">
      <c r="M1936" s="18" t="str">
        <f>IF($K1936="","",IFERROR(VLOOKUP(--SUBSTITUTE(SUBSTITUTE(TRIM($K1936),"-","")," ",""),마스터시트!$A$2:$H$1946,2,FALSE),"미등록"))</f>
        <v/>
      </c>
      <c r="N1936" s="53" t="str">
        <f>IF($K1936="","",IFERROR(VLOOKUP(--SUBSTITUTE(SUBSTITUTE(TRIM($K1936),"-","")," ",""),마스터시트!$A$2:$H$1946,3,FALSE),"미등록"))</f>
        <v/>
      </c>
      <c r="O1936" s="18" t="str">
        <f>IF($K1936="","",IFERROR(VLOOKUP(--SUBSTITUTE(SUBSTITUTE(TRIM($K1936),"-","")," ",""),마스터시트!$A$2:$H$1946,4,FALSE),""))</f>
        <v/>
      </c>
      <c r="P1936" s="18" t="str">
        <f>IF($K1936="","",IFERROR(VLOOKUP(--SUBSTITUTE(SUBSTITUTE(TRIM($K1936),"-","")," ",""),마스터시트!$A$2:$H$1946,5,FALSE),""))</f>
        <v/>
      </c>
      <c r="Q1936" s="18" t="str">
        <f>IF($K1936="","",IFERROR(VLOOKUP(--SUBSTITUTE(SUBSTITUTE(TRIM($K1936),"-","")," ",""),마스터시트!$A$2:$H$1946,6,FALSE),""))</f>
        <v/>
      </c>
      <c r="R1936" s="18" t="str">
        <f>IF($K1936="","",IFERROR(VLOOKUP(--SUBSTITUTE(SUBSTITUTE(TRIM($K1936),"-","")," ",""),마스터시트!$A$2:$H$1946,7,FALSE),""))</f>
        <v/>
      </c>
    </row>
    <row r="1937" spans="13:18" x14ac:dyDescent="0.3">
      <c r="M1937" s="18" t="str">
        <f>IF($K1937="","",IFERROR(VLOOKUP(--SUBSTITUTE(SUBSTITUTE(TRIM($K1937),"-","")," ",""),마스터시트!$A$2:$H$1946,2,FALSE),"미등록"))</f>
        <v/>
      </c>
      <c r="N1937" s="53" t="str">
        <f>IF($K1937="","",IFERROR(VLOOKUP(--SUBSTITUTE(SUBSTITUTE(TRIM($K1937),"-","")," ",""),마스터시트!$A$2:$H$1946,3,FALSE),"미등록"))</f>
        <v/>
      </c>
      <c r="O1937" s="18" t="str">
        <f>IF($K1937="","",IFERROR(VLOOKUP(--SUBSTITUTE(SUBSTITUTE(TRIM($K1937),"-","")," ",""),마스터시트!$A$2:$H$1946,4,FALSE),""))</f>
        <v/>
      </c>
      <c r="P1937" s="18" t="str">
        <f>IF($K1937="","",IFERROR(VLOOKUP(--SUBSTITUTE(SUBSTITUTE(TRIM($K1937),"-","")," ",""),마스터시트!$A$2:$H$1946,5,FALSE),""))</f>
        <v/>
      </c>
      <c r="Q1937" s="18" t="str">
        <f>IF($K1937="","",IFERROR(VLOOKUP(--SUBSTITUTE(SUBSTITUTE(TRIM($K1937),"-","")," ",""),마스터시트!$A$2:$H$1946,6,FALSE),""))</f>
        <v/>
      </c>
      <c r="R1937" s="18" t="str">
        <f>IF($K1937="","",IFERROR(VLOOKUP(--SUBSTITUTE(SUBSTITUTE(TRIM($K1937),"-","")," ",""),마스터시트!$A$2:$H$1946,7,FALSE),""))</f>
        <v/>
      </c>
    </row>
    <row r="1938" spans="13:18" x14ac:dyDescent="0.3">
      <c r="M1938" s="18" t="str">
        <f>IF($K1938="","",IFERROR(VLOOKUP(--SUBSTITUTE(SUBSTITUTE(TRIM($K1938),"-","")," ",""),마스터시트!$A$2:$H$1946,2,FALSE),"미등록"))</f>
        <v/>
      </c>
      <c r="N1938" s="53" t="str">
        <f>IF($K1938="","",IFERROR(VLOOKUP(--SUBSTITUTE(SUBSTITUTE(TRIM($K1938),"-","")," ",""),마스터시트!$A$2:$H$1946,3,FALSE),"미등록"))</f>
        <v/>
      </c>
      <c r="O1938" s="18" t="str">
        <f>IF($K1938="","",IFERROR(VLOOKUP(--SUBSTITUTE(SUBSTITUTE(TRIM($K1938),"-","")," ",""),마스터시트!$A$2:$H$1946,4,FALSE),""))</f>
        <v/>
      </c>
      <c r="P1938" s="18" t="str">
        <f>IF($K1938="","",IFERROR(VLOOKUP(--SUBSTITUTE(SUBSTITUTE(TRIM($K1938),"-","")," ",""),마스터시트!$A$2:$H$1946,5,FALSE),""))</f>
        <v/>
      </c>
      <c r="Q1938" s="18" t="str">
        <f>IF($K1938="","",IFERROR(VLOOKUP(--SUBSTITUTE(SUBSTITUTE(TRIM($K1938),"-","")," ",""),마스터시트!$A$2:$H$1946,6,FALSE),""))</f>
        <v/>
      </c>
      <c r="R1938" s="18" t="str">
        <f>IF($K1938="","",IFERROR(VLOOKUP(--SUBSTITUTE(SUBSTITUTE(TRIM($K1938),"-","")," ",""),마스터시트!$A$2:$H$1946,7,FALSE),""))</f>
        <v/>
      </c>
    </row>
    <row r="1939" spans="13:18" x14ac:dyDescent="0.3">
      <c r="M1939" s="18" t="str">
        <f>IF($K1939="","",IFERROR(VLOOKUP(--SUBSTITUTE(SUBSTITUTE(TRIM($K1939),"-","")," ",""),마스터시트!$A$2:$H$1946,2,FALSE),"미등록"))</f>
        <v/>
      </c>
      <c r="N1939" s="53" t="str">
        <f>IF($K1939="","",IFERROR(VLOOKUP(--SUBSTITUTE(SUBSTITUTE(TRIM($K1939),"-","")," ",""),마스터시트!$A$2:$H$1946,3,FALSE),"미등록"))</f>
        <v/>
      </c>
      <c r="O1939" s="18" t="str">
        <f>IF($K1939="","",IFERROR(VLOOKUP(--SUBSTITUTE(SUBSTITUTE(TRIM($K1939),"-","")," ",""),마스터시트!$A$2:$H$1946,4,FALSE),""))</f>
        <v/>
      </c>
      <c r="P1939" s="18" t="str">
        <f>IF($K1939="","",IFERROR(VLOOKUP(--SUBSTITUTE(SUBSTITUTE(TRIM($K1939),"-","")," ",""),마스터시트!$A$2:$H$1946,5,FALSE),""))</f>
        <v/>
      </c>
      <c r="Q1939" s="18" t="str">
        <f>IF($K1939="","",IFERROR(VLOOKUP(--SUBSTITUTE(SUBSTITUTE(TRIM($K1939),"-","")," ",""),마스터시트!$A$2:$H$1946,6,FALSE),""))</f>
        <v/>
      </c>
      <c r="R1939" s="18" t="str">
        <f>IF($K1939="","",IFERROR(VLOOKUP(--SUBSTITUTE(SUBSTITUTE(TRIM($K1939),"-","")," ",""),마스터시트!$A$2:$H$1946,7,FALSE),""))</f>
        <v/>
      </c>
    </row>
    <row r="1940" spans="13:18" x14ac:dyDescent="0.3">
      <c r="M1940" s="18" t="str">
        <f>IF($K1940="","",IFERROR(VLOOKUP(--SUBSTITUTE(SUBSTITUTE(TRIM($K1940),"-","")," ",""),마스터시트!$A$2:$H$1946,2,FALSE),"미등록"))</f>
        <v/>
      </c>
      <c r="N1940" s="53" t="str">
        <f>IF($K1940="","",IFERROR(VLOOKUP(--SUBSTITUTE(SUBSTITUTE(TRIM($K1940),"-","")," ",""),마스터시트!$A$2:$H$1946,3,FALSE),"미등록"))</f>
        <v/>
      </c>
      <c r="O1940" s="18" t="str">
        <f>IF($K1940="","",IFERROR(VLOOKUP(--SUBSTITUTE(SUBSTITUTE(TRIM($K1940),"-","")," ",""),마스터시트!$A$2:$H$1946,4,FALSE),""))</f>
        <v/>
      </c>
      <c r="P1940" s="18" t="str">
        <f>IF($K1940="","",IFERROR(VLOOKUP(--SUBSTITUTE(SUBSTITUTE(TRIM($K1940),"-","")," ",""),마스터시트!$A$2:$H$1946,5,FALSE),""))</f>
        <v/>
      </c>
      <c r="Q1940" s="18" t="str">
        <f>IF($K1940="","",IFERROR(VLOOKUP(--SUBSTITUTE(SUBSTITUTE(TRIM($K1940),"-","")," ",""),마스터시트!$A$2:$H$1946,6,FALSE),""))</f>
        <v/>
      </c>
      <c r="R1940" s="18" t="str">
        <f>IF($K1940="","",IFERROR(VLOOKUP(--SUBSTITUTE(SUBSTITUTE(TRIM($K1940),"-","")," ",""),마스터시트!$A$2:$H$1946,7,FALSE),""))</f>
        <v/>
      </c>
    </row>
    <row r="1941" spans="13:18" x14ac:dyDescent="0.3">
      <c r="M1941" s="18" t="str">
        <f>IF($K1941="","",IFERROR(VLOOKUP(--SUBSTITUTE(SUBSTITUTE(TRIM($K1941),"-","")," ",""),마스터시트!$A$2:$H$1946,2,FALSE),"미등록"))</f>
        <v/>
      </c>
      <c r="N1941" s="53" t="str">
        <f>IF($K1941="","",IFERROR(VLOOKUP(--SUBSTITUTE(SUBSTITUTE(TRIM($K1941),"-","")," ",""),마스터시트!$A$2:$H$1946,3,FALSE),"미등록"))</f>
        <v/>
      </c>
      <c r="O1941" s="18" t="str">
        <f>IF($K1941="","",IFERROR(VLOOKUP(--SUBSTITUTE(SUBSTITUTE(TRIM($K1941),"-","")," ",""),마스터시트!$A$2:$H$1946,4,FALSE),""))</f>
        <v/>
      </c>
      <c r="P1941" s="18" t="str">
        <f>IF($K1941="","",IFERROR(VLOOKUP(--SUBSTITUTE(SUBSTITUTE(TRIM($K1941),"-","")," ",""),마스터시트!$A$2:$H$1946,5,FALSE),""))</f>
        <v/>
      </c>
      <c r="Q1941" s="18" t="str">
        <f>IF($K1941="","",IFERROR(VLOOKUP(--SUBSTITUTE(SUBSTITUTE(TRIM($K1941),"-","")," ",""),마스터시트!$A$2:$H$1946,6,FALSE),""))</f>
        <v/>
      </c>
      <c r="R1941" s="18" t="str">
        <f>IF($K1941="","",IFERROR(VLOOKUP(--SUBSTITUTE(SUBSTITUTE(TRIM($K1941),"-","")," ",""),마스터시트!$A$2:$H$1946,7,FALSE),""))</f>
        <v/>
      </c>
    </row>
    <row r="1942" spans="13:18" x14ac:dyDescent="0.3">
      <c r="M1942" s="18" t="str">
        <f>IF($K1942="","",IFERROR(VLOOKUP(--SUBSTITUTE(SUBSTITUTE(TRIM($K1942),"-","")," ",""),마스터시트!$A$2:$H$1946,2,FALSE),"미등록"))</f>
        <v/>
      </c>
      <c r="N1942" s="53" t="str">
        <f>IF($K1942="","",IFERROR(VLOOKUP(--SUBSTITUTE(SUBSTITUTE(TRIM($K1942),"-","")," ",""),마스터시트!$A$2:$H$1946,3,FALSE),"미등록"))</f>
        <v/>
      </c>
      <c r="O1942" s="18" t="str">
        <f>IF($K1942="","",IFERROR(VLOOKUP(--SUBSTITUTE(SUBSTITUTE(TRIM($K1942),"-","")," ",""),마스터시트!$A$2:$H$1946,4,FALSE),""))</f>
        <v/>
      </c>
      <c r="P1942" s="18" t="str">
        <f>IF($K1942="","",IFERROR(VLOOKUP(--SUBSTITUTE(SUBSTITUTE(TRIM($K1942),"-","")," ",""),마스터시트!$A$2:$H$1946,5,FALSE),""))</f>
        <v/>
      </c>
      <c r="Q1942" s="18" t="str">
        <f>IF($K1942="","",IFERROR(VLOOKUP(--SUBSTITUTE(SUBSTITUTE(TRIM($K1942),"-","")," ",""),마스터시트!$A$2:$H$1946,6,FALSE),""))</f>
        <v/>
      </c>
      <c r="R1942" s="18" t="str">
        <f>IF($K1942="","",IFERROR(VLOOKUP(--SUBSTITUTE(SUBSTITUTE(TRIM($K1942),"-","")," ",""),마스터시트!$A$2:$H$1946,7,FALSE),""))</f>
        <v/>
      </c>
    </row>
    <row r="1943" spans="13:18" x14ac:dyDescent="0.3">
      <c r="M1943" s="18" t="str">
        <f>IF($K1943="","",IFERROR(VLOOKUP(--SUBSTITUTE(SUBSTITUTE(TRIM($K1943),"-","")," ",""),마스터시트!$A$2:$H$1946,2,FALSE),"미등록"))</f>
        <v/>
      </c>
      <c r="N1943" s="53" t="str">
        <f>IF($K1943="","",IFERROR(VLOOKUP(--SUBSTITUTE(SUBSTITUTE(TRIM($K1943),"-","")," ",""),마스터시트!$A$2:$H$1946,3,FALSE),"미등록"))</f>
        <v/>
      </c>
      <c r="O1943" s="18" t="str">
        <f>IF($K1943="","",IFERROR(VLOOKUP(--SUBSTITUTE(SUBSTITUTE(TRIM($K1943),"-","")," ",""),마스터시트!$A$2:$H$1946,4,FALSE),""))</f>
        <v/>
      </c>
      <c r="P1943" s="18" t="str">
        <f>IF($K1943="","",IFERROR(VLOOKUP(--SUBSTITUTE(SUBSTITUTE(TRIM($K1943),"-","")," ",""),마스터시트!$A$2:$H$1946,5,FALSE),""))</f>
        <v/>
      </c>
      <c r="Q1943" s="18" t="str">
        <f>IF($K1943="","",IFERROR(VLOOKUP(--SUBSTITUTE(SUBSTITUTE(TRIM($K1943),"-","")," ",""),마스터시트!$A$2:$H$1946,6,FALSE),""))</f>
        <v/>
      </c>
      <c r="R1943" s="18" t="str">
        <f>IF($K1943="","",IFERROR(VLOOKUP(--SUBSTITUTE(SUBSTITUTE(TRIM($K1943),"-","")," ",""),마스터시트!$A$2:$H$1946,7,FALSE),""))</f>
        <v/>
      </c>
    </row>
    <row r="1944" spans="13:18" x14ac:dyDescent="0.3">
      <c r="M1944" s="18" t="str">
        <f>IF($K1944="","",IFERROR(VLOOKUP(--SUBSTITUTE(SUBSTITUTE(TRIM($K1944),"-","")," ",""),마스터시트!$A$2:$H$1946,2,FALSE),"미등록"))</f>
        <v/>
      </c>
      <c r="N1944" s="53" t="str">
        <f>IF($K1944="","",IFERROR(VLOOKUP(--SUBSTITUTE(SUBSTITUTE(TRIM($K1944),"-","")," ",""),마스터시트!$A$2:$H$1946,3,FALSE),"미등록"))</f>
        <v/>
      </c>
      <c r="O1944" s="18" t="str">
        <f>IF($K1944="","",IFERROR(VLOOKUP(--SUBSTITUTE(SUBSTITUTE(TRIM($K1944),"-","")," ",""),마스터시트!$A$2:$H$1946,4,FALSE),""))</f>
        <v/>
      </c>
      <c r="P1944" s="18" t="str">
        <f>IF($K1944="","",IFERROR(VLOOKUP(--SUBSTITUTE(SUBSTITUTE(TRIM($K1944),"-","")," ",""),마스터시트!$A$2:$H$1946,5,FALSE),""))</f>
        <v/>
      </c>
      <c r="Q1944" s="18" t="str">
        <f>IF($K1944="","",IFERROR(VLOOKUP(--SUBSTITUTE(SUBSTITUTE(TRIM($K1944),"-","")," ",""),마스터시트!$A$2:$H$1946,6,FALSE),""))</f>
        <v/>
      </c>
      <c r="R1944" s="18" t="str">
        <f>IF($K1944="","",IFERROR(VLOOKUP(--SUBSTITUTE(SUBSTITUTE(TRIM($K1944),"-","")," ",""),마스터시트!$A$2:$H$1946,7,FALSE),""))</f>
        <v/>
      </c>
    </row>
    <row r="1945" spans="13:18" x14ac:dyDescent="0.3">
      <c r="M1945" s="18" t="str">
        <f>IF($K1945="","",IFERROR(VLOOKUP(--SUBSTITUTE(SUBSTITUTE(TRIM($K1945),"-","")," ",""),마스터시트!$A$2:$H$1946,2,FALSE),"미등록"))</f>
        <v/>
      </c>
      <c r="N1945" s="53" t="str">
        <f>IF($K1945="","",IFERROR(VLOOKUP(--SUBSTITUTE(SUBSTITUTE(TRIM($K1945),"-","")," ",""),마스터시트!$A$2:$H$1946,3,FALSE),"미등록"))</f>
        <v/>
      </c>
      <c r="O1945" s="18" t="str">
        <f>IF($K1945="","",IFERROR(VLOOKUP(--SUBSTITUTE(SUBSTITUTE(TRIM($K1945),"-","")," ",""),마스터시트!$A$2:$H$1946,4,FALSE),""))</f>
        <v/>
      </c>
      <c r="P1945" s="18" t="str">
        <f>IF($K1945="","",IFERROR(VLOOKUP(--SUBSTITUTE(SUBSTITUTE(TRIM($K1945),"-","")," ",""),마스터시트!$A$2:$H$1946,5,FALSE),""))</f>
        <v/>
      </c>
      <c r="Q1945" s="18" t="str">
        <f>IF($K1945="","",IFERROR(VLOOKUP(--SUBSTITUTE(SUBSTITUTE(TRIM($K1945),"-","")," ",""),마스터시트!$A$2:$H$1946,6,FALSE),""))</f>
        <v/>
      </c>
      <c r="R1945" s="18" t="str">
        <f>IF($K1945="","",IFERROR(VLOOKUP(--SUBSTITUTE(SUBSTITUTE(TRIM($K1945),"-","")," ",""),마스터시트!$A$2:$H$1946,7,FALSE),""))</f>
        <v/>
      </c>
    </row>
    <row r="1946" spans="13:18" x14ac:dyDescent="0.3">
      <c r="M1946" s="18" t="str">
        <f>IF($K1946="","",IFERROR(VLOOKUP(--SUBSTITUTE(SUBSTITUTE(TRIM($K1946),"-","")," ",""),마스터시트!$A$2:$H$1946,2,FALSE),"미등록"))</f>
        <v/>
      </c>
      <c r="N1946" s="53" t="str">
        <f>IF($K1946="","",IFERROR(VLOOKUP(--SUBSTITUTE(SUBSTITUTE(TRIM($K1946),"-","")," ",""),마스터시트!$A$2:$H$1946,3,FALSE),"미등록"))</f>
        <v/>
      </c>
      <c r="O1946" s="18" t="str">
        <f>IF($K1946="","",IFERROR(VLOOKUP(--SUBSTITUTE(SUBSTITUTE(TRIM($K1946),"-","")," ",""),마스터시트!$A$2:$H$1946,4,FALSE),""))</f>
        <v/>
      </c>
      <c r="P1946" s="18" t="str">
        <f>IF($K1946="","",IFERROR(VLOOKUP(--SUBSTITUTE(SUBSTITUTE(TRIM($K1946),"-","")," ",""),마스터시트!$A$2:$H$1946,5,FALSE),""))</f>
        <v/>
      </c>
      <c r="Q1946" s="18" t="str">
        <f>IF($K1946="","",IFERROR(VLOOKUP(--SUBSTITUTE(SUBSTITUTE(TRIM($K1946),"-","")," ",""),마스터시트!$A$2:$H$1946,6,FALSE),""))</f>
        <v/>
      </c>
      <c r="R1946" s="18" t="str">
        <f>IF($K1946="","",IFERROR(VLOOKUP(--SUBSTITUTE(SUBSTITUTE(TRIM($K1946),"-","")," ",""),마스터시트!$A$2:$H$1946,7,FALSE),""))</f>
        <v/>
      </c>
    </row>
    <row r="1947" spans="13:18" x14ac:dyDescent="0.3">
      <c r="M1947" s="18" t="str">
        <f>IF($K1947="","",IFERROR(VLOOKUP(--SUBSTITUTE(SUBSTITUTE(TRIM($K1947),"-","")," ",""),마스터시트!$A$2:$H$1946,2,FALSE),"미등록"))</f>
        <v/>
      </c>
      <c r="N1947" s="53" t="str">
        <f>IF($K1947="","",IFERROR(VLOOKUP(--SUBSTITUTE(SUBSTITUTE(TRIM($K1947),"-","")," ",""),마스터시트!$A$2:$H$1946,3,FALSE),"미등록"))</f>
        <v/>
      </c>
      <c r="O1947" s="18" t="str">
        <f>IF($K1947="","",IFERROR(VLOOKUP(--SUBSTITUTE(SUBSTITUTE(TRIM($K1947),"-","")," ",""),마스터시트!$A$2:$H$1946,4,FALSE),""))</f>
        <v/>
      </c>
      <c r="P1947" s="18" t="str">
        <f>IF($K1947="","",IFERROR(VLOOKUP(--SUBSTITUTE(SUBSTITUTE(TRIM($K1947),"-","")," ",""),마스터시트!$A$2:$H$1946,5,FALSE),""))</f>
        <v/>
      </c>
      <c r="Q1947" s="18" t="str">
        <f>IF($K1947="","",IFERROR(VLOOKUP(--SUBSTITUTE(SUBSTITUTE(TRIM($K1947),"-","")," ",""),마스터시트!$A$2:$H$1946,6,FALSE),""))</f>
        <v/>
      </c>
      <c r="R1947" s="18" t="str">
        <f>IF($K1947="","",IFERROR(VLOOKUP(--SUBSTITUTE(SUBSTITUTE(TRIM($K1947),"-","")," ",""),마스터시트!$A$2:$H$1946,7,FALSE),""))</f>
        <v/>
      </c>
    </row>
    <row r="1948" spans="13:18" x14ac:dyDescent="0.3">
      <c r="M1948" s="18" t="str">
        <f>IF($K1948="","",IFERROR(VLOOKUP(--SUBSTITUTE(SUBSTITUTE(TRIM($K1948),"-","")," ",""),마스터시트!$A$2:$H$1946,2,FALSE),"미등록"))</f>
        <v/>
      </c>
      <c r="N1948" s="53" t="str">
        <f>IF($K1948="","",IFERROR(VLOOKUP(--SUBSTITUTE(SUBSTITUTE(TRIM($K1948),"-","")," ",""),마스터시트!$A$2:$H$1946,3,FALSE),"미등록"))</f>
        <v/>
      </c>
      <c r="O1948" s="18" t="str">
        <f>IF($K1948="","",IFERROR(VLOOKUP(--SUBSTITUTE(SUBSTITUTE(TRIM($K1948),"-","")," ",""),마스터시트!$A$2:$H$1946,4,FALSE),""))</f>
        <v/>
      </c>
      <c r="P1948" s="18" t="str">
        <f>IF($K1948="","",IFERROR(VLOOKUP(--SUBSTITUTE(SUBSTITUTE(TRIM($K1948),"-","")," ",""),마스터시트!$A$2:$H$1946,5,FALSE),""))</f>
        <v/>
      </c>
      <c r="Q1948" s="18" t="str">
        <f>IF($K1948="","",IFERROR(VLOOKUP(--SUBSTITUTE(SUBSTITUTE(TRIM($K1948),"-","")," ",""),마스터시트!$A$2:$H$1946,6,FALSE),""))</f>
        <v/>
      </c>
      <c r="R1948" s="18" t="str">
        <f>IF($K1948="","",IFERROR(VLOOKUP(--SUBSTITUTE(SUBSTITUTE(TRIM($K1948),"-","")," ",""),마스터시트!$A$2:$H$1946,7,FALSE),""))</f>
        <v/>
      </c>
    </row>
    <row r="1949" spans="13:18" x14ac:dyDescent="0.3">
      <c r="M1949" s="18" t="str">
        <f>IF($K1949="","",IFERROR(VLOOKUP(--SUBSTITUTE(SUBSTITUTE(TRIM($K1949),"-","")," ",""),마스터시트!$A$2:$H$1946,2,FALSE),"미등록"))</f>
        <v/>
      </c>
      <c r="N1949" s="53" t="str">
        <f>IF($K1949="","",IFERROR(VLOOKUP(--SUBSTITUTE(SUBSTITUTE(TRIM($K1949),"-","")," ",""),마스터시트!$A$2:$H$1946,3,FALSE),"미등록"))</f>
        <v/>
      </c>
      <c r="O1949" s="18" t="str">
        <f>IF($K1949="","",IFERROR(VLOOKUP(--SUBSTITUTE(SUBSTITUTE(TRIM($K1949),"-","")," ",""),마스터시트!$A$2:$H$1946,4,FALSE),""))</f>
        <v/>
      </c>
      <c r="P1949" s="18" t="str">
        <f>IF($K1949="","",IFERROR(VLOOKUP(--SUBSTITUTE(SUBSTITUTE(TRIM($K1949),"-","")," ",""),마스터시트!$A$2:$H$1946,5,FALSE),""))</f>
        <v/>
      </c>
      <c r="Q1949" s="18" t="str">
        <f>IF($K1949="","",IFERROR(VLOOKUP(--SUBSTITUTE(SUBSTITUTE(TRIM($K1949),"-","")," ",""),마스터시트!$A$2:$H$1946,6,FALSE),""))</f>
        <v/>
      </c>
      <c r="R1949" s="18" t="str">
        <f>IF($K1949="","",IFERROR(VLOOKUP(--SUBSTITUTE(SUBSTITUTE(TRIM($K1949),"-","")," ",""),마스터시트!$A$2:$H$1946,7,FALSE),""))</f>
        <v/>
      </c>
    </row>
    <row r="1950" spans="13:18" x14ac:dyDescent="0.3">
      <c r="M1950" s="18" t="str">
        <f>IF($K1950="","",IFERROR(VLOOKUP(--SUBSTITUTE(SUBSTITUTE(TRIM($K1950),"-","")," ",""),마스터시트!$A$2:$H$1946,2,FALSE),"미등록"))</f>
        <v/>
      </c>
      <c r="N1950" s="53" t="str">
        <f>IF($K1950="","",IFERROR(VLOOKUP(--SUBSTITUTE(SUBSTITUTE(TRIM($K1950),"-","")," ",""),마스터시트!$A$2:$H$1946,3,FALSE),"미등록"))</f>
        <v/>
      </c>
      <c r="O1950" s="18" t="str">
        <f>IF($K1950="","",IFERROR(VLOOKUP(--SUBSTITUTE(SUBSTITUTE(TRIM($K1950),"-","")," ",""),마스터시트!$A$2:$H$1946,4,FALSE),""))</f>
        <v/>
      </c>
      <c r="P1950" s="18" t="str">
        <f>IF($K1950="","",IFERROR(VLOOKUP(--SUBSTITUTE(SUBSTITUTE(TRIM($K1950),"-","")," ",""),마스터시트!$A$2:$H$1946,5,FALSE),""))</f>
        <v/>
      </c>
      <c r="Q1950" s="18" t="str">
        <f>IF($K1950="","",IFERROR(VLOOKUP(--SUBSTITUTE(SUBSTITUTE(TRIM($K1950),"-","")," ",""),마스터시트!$A$2:$H$1946,6,FALSE),""))</f>
        <v/>
      </c>
      <c r="R1950" s="18" t="str">
        <f>IF($K1950="","",IFERROR(VLOOKUP(--SUBSTITUTE(SUBSTITUTE(TRIM($K1950),"-","")," ",""),마스터시트!$A$2:$H$1946,7,FALSE),""))</f>
        <v/>
      </c>
    </row>
    <row r="1951" spans="13:18" x14ac:dyDescent="0.3">
      <c r="M1951" s="18" t="str">
        <f>IF($K1951="","",IFERROR(VLOOKUP(--SUBSTITUTE(SUBSTITUTE(TRIM($K1951),"-","")," ",""),마스터시트!$A$2:$H$1946,2,FALSE),"미등록"))</f>
        <v/>
      </c>
      <c r="N1951" s="53" t="str">
        <f>IF($K1951="","",IFERROR(VLOOKUP(--SUBSTITUTE(SUBSTITUTE(TRIM($K1951),"-","")," ",""),마스터시트!$A$2:$H$1946,3,FALSE),"미등록"))</f>
        <v/>
      </c>
      <c r="O1951" s="18" t="str">
        <f>IF($K1951="","",IFERROR(VLOOKUP(--SUBSTITUTE(SUBSTITUTE(TRIM($K1951),"-","")," ",""),마스터시트!$A$2:$H$1946,4,FALSE),""))</f>
        <v/>
      </c>
      <c r="P1951" s="18" t="str">
        <f>IF($K1951="","",IFERROR(VLOOKUP(--SUBSTITUTE(SUBSTITUTE(TRIM($K1951),"-","")," ",""),마스터시트!$A$2:$H$1946,5,FALSE),""))</f>
        <v/>
      </c>
      <c r="Q1951" s="18" t="str">
        <f>IF($K1951="","",IFERROR(VLOOKUP(--SUBSTITUTE(SUBSTITUTE(TRIM($K1951),"-","")," ",""),마스터시트!$A$2:$H$1946,6,FALSE),""))</f>
        <v/>
      </c>
      <c r="R1951" s="18" t="str">
        <f>IF($K1951="","",IFERROR(VLOOKUP(--SUBSTITUTE(SUBSTITUTE(TRIM($K1951),"-","")," ",""),마스터시트!$A$2:$H$1946,7,FALSE),""))</f>
        <v/>
      </c>
    </row>
    <row r="1952" spans="13:18" x14ac:dyDescent="0.3">
      <c r="M1952" s="18" t="str">
        <f>IF($K1952="","",IFERROR(VLOOKUP(--SUBSTITUTE(SUBSTITUTE(TRIM($K1952),"-","")," ",""),마스터시트!$A$2:$H$1946,2,FALSE),"미등록"))</f>
        <v/>
      </c>
      <c r="N1952" s="53" t="str">
        <f>IF($K1952="","",IFERROR(VLOOKUP(--SUBSTITUTE(SUBSTITUTE(TRIM($K1952),"-","")," ",""),마스터시트!$A$2:$H$1946,3,FALSE),"미등록"))</f>
        <v/>
      </c>
      <c r="O1952" s="18" t="str">
        <f>IF($K1952="","",IFERROR(VLOOKUP(--SUBSTITUTE(SUBSTITUTE(TRIM($K1952),"-","")," ",""),마스터시트!$A$2:$H$1946,4,FALSE),""))</f>
        <v/>
      </c>
      <c r="P1952" s="18" t="str">
        <f>IF($K1952="","",IFERROR(VLOOKUP(--SUBSTITUTE(SUBSTITUTE(TRIM($K1952),"-","")," ",""),마스터시트!$A$2:$H$1946,5,FALSE),""))</f>
        <v/>
      </c>
      <c r="Q1952" s="18" t="str">
        <f>IF($K1952="","",IFERROR(VLOOKUP(--SUBSTITUTE(SUBSTITUTE(TRIM($K1952),"-","")," ",""),마스터시트!$A$2:$H$1946,6,FALSE),""))</f>
        <v/>
      </c>
      <c r="R1952" s="18" t="str">
        <f>IF($K1952="","",IFERROR(VLOOKUP(--SUBSTITUTE(SUBSTITUTE(TRIM($K1952),"-","")," ",""),마스터시트!$A$2:$H$1946,7,FALSE),""))</f>
        <v/>
      </c>
    </row>
    <row r="1953" spans="13:18" x14ac:dyDescent="0.3">
      <c r="M1953" s="18" t="str">
        <f>IF($K1953="","",IFERROR(VLOOKUP(--SUBSTITUTE(SUBSTITUTE(TRIM($K1953),"-","")," ",""),마스터시트!$A$2:$H$1946,2,FALSE),"미등록"))</f>
        <v/>
      </c>
      <c r="N1953" s="53" t="str">
        <f>IF($K1953="","",IFERROR(VLOOKUP(--SUBSTITUTE(SUBSTITUTE(TRIM($K1953),"-","")," ",""),마스터시트!$A$2:$H$1946,3,FALSE),"미등록"))</f>
        <v/>
      </c>
      <c r="O1953" s="18" t="str">
        <f>IF($K1953="","",IFERROR(VLOOKUP(--SUBSTITUTE(SUBSTITUTE(TRIM($K1953),"-","")," ",""),마스터시트!$A$2:$H$1946,4,FALSE),""))</f>
        <v/>
      </c>
      <c r="P1953" s="18" t="str">
        <f>IF($K1953="","",IFERROR(VLOOKUP(--SUBSTITUTE(SUBSTITUTE(TRIM($K1953),"-","")," ",""),마스터시트!$A$2:$H$1946,5,FALSE),""))</f>
        <v/>
      </c>
      <c r="Q1953" s="18" t="str">
        <f>IF($K1953="","",IFERROR(VLOOKUP(--SUBSTITUTE(SUBSTITUTE(TRIM($K1953),"-","")," ",""),마스터시트!$A$2:$H$1946,6,FALSE),""))</f>
        <v/>
      </c>
      <c r="R1953" s="18" t="str">
        <f>IF($K1953="","",IFERROR(VLOOKUP(--SUBSTITUTE(SUBSTITUTE(TRIM($K1953),"-","")," ",""),마스터시트!$A$2:$H$1946,7,FALSE),""))</f>
        <v/>
      </c>
    </row>
    <row r="1954" spans="13:18" x14ac:dyDescent="0.3">
      <c r="M1954" s="18" t="str">
        <f>IF($K1954="","",IFERROR(VLOOKUP(--SUBSTITUTE(SUBSTITUTE(TRIM($K1954),"-","")," ",""),마스터시트!$A$2:$H$1946,2,FALSE),"미등록"))</f>
        <v/>
      </c>
      <c r="N1954" s="53" t="str">
        <f>IF($K1954="","",IFERROR(VLOOKUP(--SUBSTITUTE(SUBSTITUTE(TRIM($K1954),"-","")," ",""),마스터시트!$A$2:$H$1946,3,FALSE),"미등록"))</f>
        <v/>
      </c>
      <c r="O1954" s="18" t="str">
        <f>IF($K1954="","",IFERROR(VLOOKUP(--SUBSTITUTE(SUBSTITUTE(TRIM($K1954),"-","")," ",""),마스터시트!$A$2:$H$1946,4,FALSE),""))</f>
        <v/>
      </c>
      <c r="P1954" s="18" t="str">
        <f>IF($K1954="","",IFERROR(VLOOKUP(--SUBSTITUTE(SUBSTITUTE(TRIM($K1954),"-","")," ",""),마스터시트!$A$2:$H$1946,5,FALSE),""))</f>
        <v/>
      </c>
      <c r="Q1954" s="18" t="str">
        <f>IF($K1954="","",IFERROR(VLOOKUP(--SUBSTITUTE(SUBSTITUTE(TRIM($K1954),"-","")," ",""),마스터시트!$A$2:$H$1946,6,FALSE),""))</f>
        <v/>
      </c>
      <c r="R1954" s="18" t="str">
        <f>IF($K1954="","",IFERROR(VLOOKUP(--SUBSTITUTE(SUBSTITUTE(TRIM($K1954),"-","")," ",""),마스터시트!$A$2:$H$1946,7,FALSE),""))</f>
        <v/>
      </c>
    </row>
    <row r="1955" spans="13:18" x14ac:dyDescent="0.3">
      <c r="M1955" s="18" t="str">
        <f>IF($K1955="","",IFERROR(VLOOKUP(--SUBSTITUTE(SUBSTITUTE(TRIM($K1955),"-","")," ",""),마스터시트!$A$2:$H$1946,2,FALSE),"미등록"))</f>
        <v/>
      </c>
      <c r="N1955" s="53" t="str">
        <f>IF($K1955="","",IFERROR(VLOOKUP(--SUBSTITUTE(SUBSTITUTE(TRIM($K1955),"-","")," ",""),마스터시트!$A$2:$H$1946,3,FALSE),"미등록"))</f>
        <v/>
      </c>
      <c r="O1955" s="18" t="str">
        <f>IF($K1955="","",IFERROR(VLOOKUP(--SUBSTITUTE(SUBSTITUTE(TRIM($K1955),"-","")," ",""),마스터시트!$A$2:$H$1946,4,FALSE),""))</f>
        <v/>
      </c>
      <c r="P1955" s="18" t="str">
        <f>IF($K1955="","",IFERROR(VLOOKUP(--SUBSTITUTE(SUBSTITUTE(TRIM($K1955),"-","")," ",""),마스터시트!$A$2:$H$1946,5,FALSE),""))</f>
        <v/>
      </c>
      <c r="Q1955" s="18" t="str">
        <f>IF($K1955="","",IFERROR(VLOOKUP(--SUBSTITUTE(SUBSTITUTE(TRIM($K1955),"-","")," ",""),마스터시트!$A$2:$H$1946,6,FALSE),""))</f>
        <v/>
      </c>
      <c r="R1955" s="18" t="str">
        <f>IF($K1955="","",IFERROR(VLOOKUP(--SUBSTITUTE(SUBSTITUTE(TRIM($K1955),"-","")," ",""),마스터시트!$A$2:$H$1946,7,FALSE),""))</f>
        <v/>
      </c>
    </row>
    <row r="1956" spans="13:18" x14ac:dyDescent="0.3">
      <c r="M1956" s="18" t="str">
        <f>IF($K1956="","",IFERROR(VLOOKUP(--SUBSTITUTE(SUBSTITUTE(TRIM($K1956),"-","")," ",""),마스터시트!$A$2:$H$1946,2,FALSE),"미등록"))</f>
        <v/>
      </c>
      <c r="N1956" s="53" t="str">
        <f>IF($K1956="","",IFERROR(VLOOKUP(--SUBSTITUTE(SUBSTITUTE(TRIM($K1956),"-","")," ",""),마스터시트!$A$2:$H$1946,3,FALSE),"미등록"))</f>
        <v/>
      </c>
      <c r="O1956" s="18" t="str">
        <f>IF($K1956="","",IFERROR(VLOOKUP(--SUBSTITUTE(SUBSTITUTE(TRIM($K1956),"-","")," ",""),마스터시트!$A$2:$H$1946,4,FALSE),""))</f>
        <v/>
      </c>
      <c r="P1956" s="18" t="str">
        <f>IF($K1956="","",IFERROR(VLOOKUP(--SUBSTITUTE(SUBSTITUTE(TRIM($K1956),"-","")," ",""),마스터시트!$A$2:$H$1946,5,FALSE),""))</f>
        <v/>
      </c>
      <c r="Q1956" s="18" t="str">
        <f>IF($K1956="","",IFERROR(VLOOKUP(--SUBSTITUTE(SUBSTITUTE(TRIM($K1956),"-","")," ",""),마스터시트!$A$2:$H$1946,6,FALSE),""))</f>
        <v/>
      </c>
      <c r="R1956" s="18" t="str">
        <f>IF($K1956="","",IFERROR(VLOOKUP(--SUBSTITUTE(SUBSTITUTE(TRIM($K1956),"-","")," ",""),마스터시트!$A$2:$H$1946,7,FALSE),""))</f>
        <v/>
      </c>
    </row>
    <row r="1957" spans="13:18" x14ac:dyDescent="0.3">
      <c r="M1957" s="18" t="str">
        <f>IF($K1957="","",IFERROR(VLOOKUP(--SUBSTITUTE(SUBSTITUTE(TRIM($K1957),"-","")," ",""),마스터시트!$A$2:$H$1946,2,FALSE),"미등록"))</f>
        <v/>
      </c>
      <c r="N1957" s="53" t="str">
        <f>IF($K1957="","",IFERROR(VLOOKUP(--SUBSTITUTE(SUBSTITUTE(TRIM($K1957),"-","")," ",""),마스터시트!$A$2:$H$1946,3,FALSE),"미등록"))</f>
        <v/>
      </c>
      <c r="O1957" s="18" t="str">
        <f>IF($K1957="","",IFERROR(VLOOKUP(--SUBSTITUTE(SUBSTITUTE(TRIM($K1957),"-","")," ",""),마스터시트!$A$2:$H$1946,4,FALSE),""))</f>
        <v/>
      </c>
      <c r="P1957" s="18" t="str">
        <f>IF($K1957="","",IFERROR(VLOOKUP(--SUBSTITUTE(SUBSTITUTE(TRIM($K1957),"-","")," ",""),마스터시트!$A$2:$H$1946,5,FALSE),""))</f>
        <v/>
      </c>
      <c r="Q1957" s="18" t="str">
        <f>IF($K1957="","",IFERROR(VLOOKUP(--SUBSTITUTE(SUBSTITUTE(TRIM($K1957),"-","")," ",""),마스터시트!$A$2:$H$1946,6,FALSE),""))</f>
        <v/>
      </c>
      <c r="R1957" s="18" t="str">
        <f>IF($K1957="","",IFERROR(VLOOKUP(--SUBSTITUTE(SUBSTITUTE(TRIM($K1957),"-","")," ",""),마스터시트!$A$2:$H$1946,7,FALSE),""))</f>
        <v/>
      </c>
    </row>
    <row r="1958" spans="13:18" x14ac:dyDescent="0.3">
      <c r="M1958" s="18" t="str">
        <f>IF($K1958="","",IFERROR(VLOOKUP(--SUBSTITUTE(SUBSTITUTE(TRIM($K1958),"-","")," ",""),마스터시트!$A$2:$H$1946,2,FALSE),"미등록"))</f>
        <v/>
      </c>
      <c r="N1958" s="53" t="str">
        <f>IF($K1958="","",IFERROR(VLOOKUP(--SUBSTITUTE(SUBSTITUTE(TRIM($K1958),"-","")," ",""),마스터시트!$A$2:$H$1946,3,FALSE),"미등록"))</f>
        <v/>
      </c>
      <c r="O1958" s="18" t="str">
        <f>IF($K1958="","",IFERROR(VLOOKUP(--SUBSTITUTE(SUBSTITUTE(TRIM($K1958),"-","")," ",""),마스터시트!$A$2:$H$1946,4,FALSE),""))</f>
        <v/>
      </c>
      <c r="P1958" s="18" t="str">
        <f>IF($K1958="","",IFERROR(VLOOKUP(--SUBSTITUTE(SUBSTITUTE(TRIM($K1958),"-","")," ",""),마스터시트!$A$2:$H$1946,5,FALSE),""))</f>
        <v/>
      </c>
      <c r="Q1958" s="18" t="str">
        <f>IF($K1958="","",IFERROR(VLOOKUP(--SUBSTITUTE(SUBSTITUTE(TRIM($K1958),"-","")," ",""),마스터시트!$A$2:$H$1946,6,FALSE),""))</f>
        <v/>
      </c>
      <c r="R1958" s="18" t="str">
        <f>IF($K1958="","",IFERROR(VLOOKUP(--SUBSTITUTE(SUBSTITUTE(TRIM($K1958),"-","")," ",""),마스터시트!$A$2:$H$1946,7,FALSE),""))</f>
        <v/>
      </c>
    </row>
    <row r="1959" spans="13:18" x14ac:dyDescent="0.3">
      <c r="M1959" s="18" t="str">
        <f>IF($K1959="","",IFERROR(VLOOKUP(--SUBSTITUTE(SUBSTITUTE(TRIM($K1959),"-","")," ",""),마스터시트!$A$2:$H$1946,2,FALSE),"미등록"))</f>
        <v/>
      </c>
      <c r="N1959" s="53" t="str">
        <f>IF($K1959="","",IFERROR(VLOOKUP(--SUBSTITUTE(SUBSTITUTE(TRIM($K1959),"-","")," ",""),마스터시트!$A$2:$H$1946,3,FALSE),"미등록"))</f>
        <v/>
      </c>
      <c r="O1959" s="18" t="str">
        <f>IF($K1959="","",IFERROR(VLOOKUP(--SUBSTITUTE(SUBSTITUTE(TRIM($K1959),"-","")," ",""),마스터시트!$A$2:$H$1946,4,FALSE),""))</f>
        <v/>
      </c>
      <c r="P1959" s="18" t="str">
        <f>IF($K1959="","",IFERROR(VLOOKUP(--SUBSTITUTE(SUBSTITUTE(TRIM($K1959),"-","")," ",""),마스터시트!$A$2:$H$1946,5,FALSE),""))</f>
        <v/>
      </c>
      <c r="Q1959" s="18" t="str">
        <f>IF($K1959="","",IFERROR(VLOOKUP(--SUBSTITUTE(SUBSTITUTE(TRIM($K1959),"-","")," ",""),마스터시트!$A$2:$H$1946,6,FALSE),""))</f>
        <v/>
      </c>
      <c r="R1959" s="18" t="str">
        <f>IF($K1959="","",IFERROR(VLOOKUP(--SUBSTITUTE(SUBSTITUTE(TRIM($K1959),"-","")," ",""),마스터시트!$A$2:$H$1946,7,FALSE),""))</f>
        <v/>
      </c>
    </row>
    <row r="1960" spans="13:18" x14ac:dyDescent="0.3">
      <c r="M1960" s="18" t="str">
        <f>IF($K1960="","",IFERROR(VLOOKUP(--SUBSTITUTE(SUBSTITUTE(TRIM($K1960),"-","")," ",""),마스터시트!$A$2:$H$1946,2,FALSE),"미등록"))</f>
        <v/>
      </c>
      <c r="N1960" s="53" t="str">
        <f>IF($K1960="","",IFERROR(VLOOKUP(--SUBSTITUTE(SUBSTITUTE(TRIM($K1960),"-","")," ",""),마스터시트!$A$2:$H$1946,3,FALSE),"미등록"))</f>
        <v/>
      </c>
      <c r="O1960" s="18" t="str">
        <f>IF($K1960="","",IFERROR(VLOOKUP(--SUBSTITUTE(SUBSTITUTE(TRIM($K1960),"-","")," ",""),마스터시트!$A$2:$H$1946,4,FALSE),""))</f>
        <v/>
      </c>
      <c r="P1960" s="18" t="str">
        <f>IF($K1960="","",IFERROR(VLOOKUP(--SUBSTITUTE(SUBSTITUTE(TRIM($K1960),"-","")," ",""),마스터시트!$A$2:$H$1946,5,FALSE),""))</f>
        <v/>
      </c>
      <c r="Q1960" s="18" t="str">
        <f>IF($K1960="","",IFERROR(VLOOKUP(--SUBSTITUTE(SUBSTITUTE(TRIM($K1960),"-","")," ",""),마스터시트!$A$2:$H$1946,6,FALSE),""))</f>
        <v/>
      </c>
      <c r="R1960" s="18" t="str">
        <f>IF($K1960="","",IFERROR(VLOOKUP(--SUBSTITUTE(SUBSTITUTE(TRIM($K1960),"-","")," ",""),마스터시트!$A$2:$H$1946,7,FALSE),""))</f>
        <v/>
      </c>
    </row>
    <row r="1961" spans="13:18" x14ac:dyDescent="0.3">
      <c r="M1961" s="18" t="str">
        <f>IF($K1961="","",IFERROR(VLOOKUP(--SUBSTITUTE(SUBSTITUTE(TRIM($K1961),"-","")," ",""),마스터시트!$A$2:$H$1946,2,FALSE),"미등록"))</f>
        <v/>
      </c>
      <c r="N1961" s="53" t="str">
        <f>IF($K1961="","",IFERROR(VLOOKUP(--SUBSTITUTE(SUBSTITUTE(TRIM($K1961),"-","")," ",""),마스터시트!$A$2:$H$1946,3,FALSE),"미등록"))</f>
        <v/>
      </c>
      <c r="O1961" s="18" t="str">
        <f>IF($K1961="","",IFERROR(VLOOKUP(--SUBSTITUTE(SUBSTITUTE(TRIM($K1961),"-","")," ",""),마스터시트!$A$2:$H$1946,4,FALSE),""))</f>
        <v/>
      </c>
      <c r="P1961" s="18" t="str">
        <f>IF($K1961="","",IFERROR(VLOOKUP(--SUBSTITUTE(SUBSTITUTE(TRIM($K1961),"-","")," ",""),마스터시트!$A$2:$H$1946,5,FALSE),""))</f>
        <v/>
      </c>
      <c r="Q1961" s="18" t="str">
        <f>IF($K1961="","",IFERROR(VLOOKUP(--SUBSTITUTE(SUBSTITUTE(TRIM($K1961),"-","")," ",""),마스터시트!$A$2:$H$1946,6,FALSE),""))</f>
        <v/>
      </c>
      <c r="R1961" s="18" t="str">
        <f>IF($K1961="","",IFERROR(VLOOKUP(--SUBSTITUTE(SUBSTITUTE(TRIM($K1961),"-","")," ",""),마스터시트!$A$2:$H$1946,7,FALSE),""))</f>
        <v/>
      </c>
    </row>
    <row r="1962" spans="13:18" x14ac:dyDescent="0.3">
      <c r="M1962" s="18" t="str">
        <f>IF($K1962="","",IFERROR(VLOOKUP(--SUBSTITUTE(SUBSTITUTE(TRIM($K1962),"-","")," ",""),마스터시트!$A$2:$H$1946,2,FALSE),"미등록"))</f>
        <v/>
      </c>
      <c r="N1962" s="53" t="str">
        <f>IF($K1962="","",IFERROR(VLOOKUP(--SUBSTITUTE(SUBSTITUTE(TRIM($K1962),"-","")," ",""),마스터시트!$A$2:$H$1946,3,FALSE),"미등록"))</f>
        <v/>
      </c>
      <c r="O1962" s="18" t="str">
        <f>IF($K1962="","",IFERROR(VLOOKUP(--SUBSTITUTE(SUBSTITUTE(TRIM($K1962),"-","")," ",""),마스터시트!$A$2:$H$1946,4,FALSE),""))</f>
        <v/>
      </c>
      <c r="P1962" s="18" t="str">
        <f>IF($K1962="","",IFERROR(VLOOKUP(--SUBSTITUTE(SUBSTITUTE(TRIM($K1962),"-","")," ",""),마스터시트!$A$2:$H$1946,5,FALSE),""))</f>
        <v/>
      </c>
      <c r="Q1962" s="18" t="str">
        <f>IF($K1962="","",IFERROR(VLOOKUP(--SUBSTITUTE(SUBSTITUTE(TRIM($K1962),"-","")," ",""),마스터시트!$A$2:$H$1946,6,FALSE),""))</f>
        <v/>
      </c>
      <c r="R1962" s="18" t="str">
        <f>IF($K1962="","",IFERROR(VLOOKUP(--SUBSTITUTE(SUBSTITUTE(TRIM($K1962),"-","")," ",""),마스터시트!$A$2:$H$1946,7,FALSE),""))</f>
        <v/>
      </c>
    </row>
    <row r="1963" spans="13:18" x14ac:dyDescent="0.3">
      <c r="M1963" s="18" t="str">
        <f>IF($K1963="","",IFERROR(VLOOKUP(--SUBSTITUTE(SUBSTITUTE(TRIM($K1963),"-","")," ",""),마스터시트!$A$2:$H$1946,2,FALSE),"미등록"))</f>
        <v/>
      </c>
      <c r="N1963" s="53" t="str">
        <f>IF($K1963="","",IFERROR(VLOOKUP(--SUBSTITUTE(SUBSTITUTE(TRIM($K1963),"-","")," ",""),마스터시트!$A$2:$H$1946,3,FALSE),"미등록"))</f>
        <v/>
      </c>
      <c r="O1963" s="18" t="str">
        <f>IF($K1963="","",IFERROR(VLOOKUP(--SUBSTITUTE(SUBSTITUTE(TRIM($K1963),"-","")," ",""),마스터시트!$A$2:$H$1946,4,FALSE),""))</f>
        <v/>
      </c>
      <c r="P1963" s="18" t="str">
        <f>IF($K1963="","",IFERROR(VLOOKUP(--SUBSTITUTE(SUBSTITUTE(TRIM($K1963),"-","")," ",""),마스터시트!$A$2:$H$1946,5,FALSE),""))</f>
        <v/>
      </c>
      <c r="Q1963" s="18" t="str">
        <f>IF($K1963="","",IFERROR(VLOOKUP(--SUBSTITUTE(SUBSTITUTE(TRIM($K1963),"-","")," ",""),마스터시트!$A$2:$H$1946,6,FALSE),""))</f>
        <v/>
      </c>
      <c r="R1963" s="18" t="str">
        <f>IF($K1963="","",IFERROR(VLOOKUP(--SUBSTITUTE(SUBSTITUTE(TRIM($K1963),"-","")," ",""),마스터시트!$A$2:$H$1946,7,FALSE),""))</f>
        <v/>
      </c>
    </row>
    <row r="1964" spans="13:18" x14ac:dyDescent="0.3">
      <c r="M1964" s="18" t="str">
        <f>IF($K1964="","",IFERROR(VLOOKUP(--SUBSTITUTE(SUBSTITUTE(TRIM($K1964),"-","")," ",""),마스터시트!$A$2:$H$1946,2,FALSE),"미등록"))</f>
        <v/>
      </c>
      <c r="N1964" s="53" t="str">
        <f>IF($K1964="","",IFERROR(VLOOKUP(--SUBSTITUTE(SUBSTITUTE(TRIM($K1964),"-","")," ",""),마스터시트!$A$2:$H$1946,3,FALSE),"미등록"))</f>
        <v/>
      </c>
      <c r="O1964" s="18" t="str">
        <f>IF($K1964="","",IFERROR(VLOOKUP(--SUBSTITUTE(SUBSTITUTE(TRIM($K1964),"-","")," ",""),마스터시트!$A$2:$H$1946,4,FALSE),""))</f>
        <v/>
      </c>
      <c r="P1964" s="18" t="str">
        <f>IF($K1964="","",IFERROR(VLOOKUP(--SUBSTITUTE(SUBSTITUTE(TRIM($K1964),"-","")," ",""),마스터시트!$A$2:$H$1946,5,FALSE),""))</f>
        <v/>
      </c>
      <c r="Q1964" s="18" t="str">
        <f>IF($K1964="","",IFERROR(VLOOKUP(--SUBSTITUTE(SUBSTITUTE(TRIM($K1964),"-","")," ",""),마스터시트!$A$2:$H$1946,6,FALSE),""))</f>
        <v/>
      </c>
      <c r="R1964" s="18" t="str">
        <f>IF($K1964="","",IFERROR(VLOOKUP(--SUBSTITUTE(SUBSTITUTE(TRIM($K1964),"-","")," ",""),마스터시트!$A$2:$H$1946,7,FALSE),""))</f>
        <v/>
      </c>
    </row>
    <row r="1965" spans="13:18" x14ac:dyDescent="0.3">
      <c r="M1965" s="18" t="str">
        <f>IF($K1965="","",IFERROR(VLOOKUP(--SUBSTITUTE(SUBSTITUTE(TRIM($K1965),"-","")," ",""),마스터시트!$A$2:$H$1946,2,FALSE),"미등록"))</f>
        <v/>
      </c>
      <c r="N1965" s="53" t="str">
        <f>IF($K1965="","",IFERROR(VLOOKUP(--SUBSTITUTE(SUBSTITUTE(TRIM($K1965),"-","")," ",""),마스터시트!$A$2:$H$1946,3,FALSE),"미등록"))</f>
        <v/>
      </c>
      <c r="O1965" s="18" t="str">
        <f>IF($K1965="","",IFERROR(VLOOKUP(--SUBSTITUTE(SUBSTITUTE(TRIM($K1965),"-","")," ",""),마스터시트!$A$2:$H$1946,4,FALSE),""))</f>
        <v/>
      </c>
      <c r="P1965" s="18" t="str">
        <f>IF($K1965="","",IFERROR(VLOOKUP(--SUBSTITUTE(SUBSTITUTE(TRIM($K1965),"-","")," ",""),마스터시트!$A$2:$H$1946,5,FALSE),""))</f>
        <v/>
      </c>
      <c r="Q1965" s="18" t="str">
        <f>IF($K1965="","",IFERROR(VLOOKUP(--SUBSTITUTE(SUBSTITUTE(TRIM($K1965),"-","")," ",""),마스터시트!$A$2:$H$1946,6,FALSE),""))</f>
        <v/>
      </c>
      <c r="R1965" s="18" t="str">
        <f>IF($K1965="","",IFERROR(VLOOKUP(--SUBSTITUTE(SUBSTITUTE(TRIM($K1965),"-","")," ",""),마스터시트!$A$2:$H$1946,7,FALSE),""))</f>
        <v/>
      </c>
    </row>
    <row r="1966" spans="13:18" x14ac:dyDescent="0.3">
      <c r="M1966" s="18" t="str">
        <f>IF($K1966="","",IFERROR(VLOOKUP(--SUBSTITUTE(SUBSTITUTE(TRIM($K1966),"-","")," ",""),마스터시트!$A$2:$H$1946,2,FALSE),"미등록"))</f>
        <v/>
      </c>
      <c r="N1966" s="53" t="str">
        <f>IF($K1966="","",IFERROR(VLOOKUP(--SUBSTITUTE(SUBSTITUTE(TRIM($K1966),"-","")," ",""),마스터시트!$A$2:$H$1946,3,FALSE),"미등록"))</f>
        <v/>
      </c>
      <c r="O1966" s="18" t="str">
        <f>IF($K1966="","",IFERROR(VLOOKUP(--SUBSTITUTE(SUBSTITUTE(TRIM($K1966),"-","")," ",""),마스터시트!$A$2:$H$1946,4,FALSE),""))</f>
        <v/>
      </c>
      <c r="P1966" s="18" t="str">
        <f>IF($K1966="","",IFERROR(VLOOKUP(--SUBSTITUTE(SUBSTITUTE(TRIM($K1966),"-","")," ",""),마스터시트!$A$2:$H$1946,5,FALSE),""))</f>
        <v/>
      </c>
      <c r="Q1966" s="18" t="str">
        <f>IF($K1966="","",IFERROR(VLOOKUP(--SUBSTITUTE(SUBSTITUTE(TRIM($K1966),"-","")," ",""),마스터시트!$A$2:$H$1946,6,FALSE),""))</f>
        <v/>
      </c>
      <c r="R1966" s="18" t="str">
        <f>IF($K1966="","",IFERROR(VLOOKUP(--SUBSTITUTE(SUBSTITUTE(TRIM($K1966),"-","")," ",""),마스터시트!$A$2:$H$1946,7,FALSE),""))</f>
        <v/>
      </c>
    </row>
    <row r="1967" spans="13:18" x14ac:dyDescent="0.3">
      <c r="M1967" s="18" t="str">
        <f>IF($K1967="","",IFERROR(VLOOKUP(--SUBSTITUTE(SUBSTITUTE(TRIM($K1967),"-","")," ",""),마스터시트!$A$2:$H$1946,2,FALSE),"미등록"))</f>
        <v/>
      </c>
      <c r="N1967" s="53" t="str">
        <f>IF($K1967="","",IFERROR(VLOOKUP(--SUBSTITUTE(SUBSTITUTE(TRIM($K1967),"-","")," ",""),마스터시트!$A$2:$H$1946,3,FALSE),"미등록"))</f>
        <v/>
      </c>
      <c r="O1967" s="18" t="str">
        <f>IF($K1967="","",IFERROR(VLOOKUP(--SUBSTITUTE(SUBSTITUTE(TRIM($K1967),"-","")," ",""),마스터시트!$A$2:$H$1946,4,FALSE),""))</f>
        <v/>
      </c>
      <c r="P1967" s="18" t="str">
        <f>IF($K1967="","",IFERROR(VLOOKUP(--SUBSTITUTE(SUBSTITUTE(TRIM($K1967),"-","")," ",""),마스터시트!$A$2:$H$1946,5,FALSE),""))</f>
        <v/>
      </c>
      <c r="Q1967" s="18" t="str">
        <f>IF($K1967="","",IFERROR(VLOOKUP(--SUBSTITUTE(SUBSTITUTE(TRIM($K1967),"-","")," ",""),마스터시트!$A$2:$H$1946,6,FALSE),""))</f>
        <v/>
      </c>
      <c r="R1967" s="18" t="str">
        <f>IF($K1967="","",IFERROR(VLOOKUP(--SUBSTITUTE(SUBSTITUTE(TRIM($K1967),"-","")," ",""),마스터시트!$A$2:$H$1946,7,FALSE),""))</f>
        <v/>
      </c>
    </row>
    <row r="1968" spans="13:18" x14ac:dyDescent="0.3">
      <c r="M1968" s="18" t="str">
        <f>IF($K1968="","",IFERROR(VLOOKUP(--SUBSTITUTE(SUBSTITUTE(TRIM($K1968),"-","")," ",""),마스터시트!$A$2:$H$1946,2,FALSE),"미등록"))</f>
        <v/>
      </c>
      <c r="N1968" s="53" t="str">
        <f>IF($K1968="","",IFERROR(VLOOKUP(--SUBSTITUTE(SUBSTITUTE(TRIM($K1968),"-","")," ",""),마스터시트!$A$2:$H$1946,3,FALSE),"미등록"))</f>
        <v/>
      </c>
      <c r="O1968" s="18" t="str">
        <f>IF($K1968="","",IFERROR(VLOOKUP(--SUBSTITUTE(SUBSTITUTE(TRIM($K1968),"-","")," ",""),마스터시트!$A$2:$H$1946,4,FALSE),""))</f>
        <v/>
      </c>
      <c r="P1968" s="18" t="str">
        <f>IF($K1968="","",IFERROR(VLOOKUP(--SUBSTITUTE(SUBSTITUTE(TRIM($K1968),"-","")," ",""),마스터시트!$A$2:$H$1946,5,FALSE),""))</f>
        <v/>
      </c>
      <c r="Q1968" s="18" t="str">
        <f>IF($K1968="","",IFERROR(VLOOKUP(--SUBSTITUTE(SUBSTITUTE(TRIM($K1968),"-","")," ",""),마스터시트!$A$2:$H$1946,6,FALSE),""))</f>
        <v/>
      </c>
      <c r="R1968" s="18" t="str">
        <f>IF($K1968="","",IFERROR(VLOOKUP(--SUBSTITUTE(SUBSTITUTE(TRIM($K1968),"-","")," ",""),마스터시트!$A$2:$H$1946,7,FALSE),""))</f>
        <v/>
      </c>
    </row>
    <row r="1969" spans="13:18" x14ac:dyDescent="0.3">
      <c r="M1969" s="18" t="str">
        <f>IF($K1969="","",IFERROR(VLOOKUP(--SUBSTITUTE(SUBSTITUTE(TRIM($K1969),"-","")," ",""),마스터시트!$A$2:$H$1946,2,FALSE),"미등록"))</f>
        <v/>
      </c>
      <c r="N1969" s="53" t="str">
        <f>IF($K1969="","",IFERROR(VLOOKUP(--SUBSTITUTE(SUBSTITUTE(TRIM($K1969),"-","")," ",""),마스터시트!$A$2:$H$1946,3,FALSE),"미등록"))</f>
        <v/>
      </c>
      <c r="O1969" s="18" t="str">
        <f>IF($K1969="","",IFERROR(VLOOKUP(--SUBSTITUTE(SUBSTITUTE(TRIM($K1969),"-","")," ",""),마스터시트!$A$2:$H$1946,4,FALSE),""))</f>
        <v/>
      </c>
      <c r="P1969" s="18" t="str">
        <f>IF($K1969="","",IFERROR(VLOOKUP(--SUBSTITUTE(SUBSTITUTE(TRIM($K1969),"-","")," ",""),마스터시트!$A$2:$H$1946,5,FALSE),""))</f>
        <v/>
      </c>
      <c r="Q1969" s="18" t="str">
        <f>IF($K1969="","",IFERROR(VLOOKUP(--SUBSTITUTE(SUBSTITUTE(TRIM($K1969),"-","")," ",""),마스터시트!$A$2:$H$1946,6,FALSE),""))</f>
        <v/>
      </c>
      <c r="R1969" s="18" t="str">
        <f>IF($K1969="","",IFERROR(VLOOKUP(--SUBSTITUTE(SUBSTITUTE(TRIM($K1969),"-","")," ",""),마스터시트!$A$2:$H$1946,7,FALSE),""))</f>
        <v/>
      </c>
    </row>
    <row r="1970" spans="13:18" x14ac:dyDescent="0.3">
      <c r="M1970" s="18" t="str">
        <f>IF($K1970="","",IFERROR(VLOOKUP(--SUBSTITUTE(SUBSTITUTE(TRIM($K1970),"-","")," ",""),마스터시트!$A$2:$H$1946,2,FALSE),"미등록"))</f>
        <v/>
      </c>
      <c r="N1970" s="53" t="str">
        <f>IF($K1970="","",IFERROR(VLOOKUP(--SUBSTITUTE(SUBSTITUTE(TRIM($K1970),"-","")," ",""),마스터시트!$A$2:$H$1946,3,FALSE),"미등록"))</f>
        <v/>
      </c>
      <c r="O1970" s="18" t="str">
        <f>IF($K1970="","",IFERROR(VLOOKUP(--SUBSTITUTE(SUBSTITUTE(TRIM($K1970),"-","")," ",""),마스터시트!$A$2:$H$1946,4,FALSE),""))</f>
        <v/>
      </c>
      <c r="P1970" s="18" t="str">
        <f>IF($K1970="","",IFERROR(VLOOKUP(--SUBSTITUTE(SUBSTITUTE(TRIM($K1970),"-","")," ",""),마스터시트!$A$2:$H$1946,5,FALSE),""))</f>
        <v/>
      </c>
      <c r="Q1970" s="18" t="str">
        <f>IF($K1970="","",IFERROR(VLOOKUP(--SUBSTITUTE(SUBSTITUTE(TRIM($K1970),"-","")," ",""),마스터시트!$A$2:$H$1946,6,FALSE),""))</f>
        <v/>
      </c>
      <c r="R1970" s="18" t="str">
        <f>IF($K1970="","",IFERROR(VLOOKUP(--SUBSTITUTE(SUBSTITUTE(TRIM($K1970),"-","")," ",""),마스터시트!$A$2:$H$1946,7,FALSE),""))</f>
        <v/>
      </c>
    </row>
    <row r="1971" spans="13:18" x14ac:dyDescent="0.3">
      <c r="M1971" s="18" t="str">
        <f>IF($K1971="","",IFERROR(VLOOKUP(--SUBSTITUTE(SUBSTITUTE(TRIM($K1971),"-","")," ",""),마스터시트!$A$2:$H$1946,2,FALSE),"미등록"))</f>
        <v/>
      </c>
      <c r="N1971" s="53" t="str">
        <f>IF($K1971="","",IFERROR(VLOOKUP(--SUBSTITUTE(SUBSTITUTE(TRIM($K1971),"-","")," ",""),마스터시트!$A$2:$H$1946,3,FALSE),"미등록"))</f>
        <v/>
      </c>
      <c r="O1971" s="18" t="str">
        <f>IF($K1971="","",IFERROR(VLOOKUP(--SUBSTITUTE(SUBSTITUTE(TRIM($K1971),"-","")," ",""),마스터시트!$A$2:$H$1946,4,FALSE),""))</f>
        <v/>
      </c>
      <c r="P1971" s="18" t="str">
        <f>IF($K1971="","",IFERROR(VLOOKUP(--SUBSTITUTE(SUBSTITUTE(TRIM($K1971),"-","")," ",""),마스터시트!$A$2:$H$1946,5,FALSE),""))</f>
        <v/>
      </c>
      <c r="Q1971" s="18" t="str">
        <f>IF($K1971="","",IFERROR(VLOOKUP(--SUBSTITUTE(SUBSTITUTE(TRIM($K1971),"-","")," ",""),마스터시트!$A$2:$H$1946,6,FALSE),""))</f>
        <v/>
      </c>
      <c r="R1971" s="18" t="str">
        <f>IF($K1971="","",IFERROR(VLOOKUP(--SUBSTITUTE(SUBSTITUTE(TRIM($K1971),"-","")," ",""),마스터시트!$A$2:$H$1946,7,FALSE),""))</f>
        <v/>
      </c>
    </row>
    <row r="1972" spans="13:18" x14ac:dyDescent="0.3">
      <c r="M1972" s="18" t="str">
        <f>IF($K1972="","",IFERROR(VLOOKUP(--SUBSTITUTE(SUBSTITUTE(TRIM($K1972),"-","")," ",""),마스터시트!$A$2:$H$1946,2,FALSE),"미등록"))</f>
        <v/>
      </c>
      <c r="N1972" s="53" t="str">
        <f>IF($K1972="","",IFERROR(VLOOKUP(--SUBSTITUTE(SUBSTITUTE(TRIM($K1972),"-","")," ",""),마스터시트!$A$2:$H$1946,3,FALSE),"미등록"))</f>
        <v/>
      </c>
      <c r="O1972" s="18" t="str">
        <f>IF($K1972="","",IFERROR(VLOOKUP(--SUBSTITUTE(SUBSTITUTE(TRIM($K1972),"-","")," ",""),마스터시트!$A$2:$H$1946,4,FALSE),""))</f>
        <v/>
      </c>
      <c r="P1972" s="18" t="str">
        <f>IF($K1972="","",IFERROR(VLOOKUP(--SUBSTITUTE(SUBSTITUTE(TRIM($K1972),"-","")," ",""),마스터시트!$A$2:$H$1946,5,FALSE),""))</f>
        <v/>
      </c>
      <c r="Q1972" s="18" t="str">
        <f>IF($K1972="","",IFERROR(VLOOKUP(--SUBSTITUTE(SUBSTITUTE(TRIM($K1972),"-","")," ",""),마스터시트!$A$2:$H$1946,6,FALSE),""))</f>
        <v/>
      </c>
      <c r="R1972" s="18" t="str">
        <f>IF($K1972="","",IFERROR(VLOOKUP(--SUBSTITUTE(SUBSTITUTE(TRIM($K1972),"-","")," ",""),마스터시트!$A$2:$H$1946,7,FALSE),""))</f>
        <v/>
      </c>
    </row>
    <row r="1973" spans="13:18" x14ac:dyDescent="0.3">
      <c r="M1973" s="18" t="str">
        <f>IF($K1973="","",IFERROR(VLOOKUP(--SUBSTITUTE(SUBSTITUTE(TRIM($K1973),"-","")," ",""),마스터시트!$A$2:$H$1946,2,FALSE),"미등록"))</f>
        <v/>
      </c>
      <c r="N1973" s="53" t="str">
        <f>IF($K1973="","",IFERROR(VLOOKUP(--SUBSTITUTE(SUBSTITUTE(TRIM($K1973),"-","")," ",""),마스터시트!$A$2:$H$1946,3,FALSE),"미등록"))</f>
        <v/>
      </c>
      <c r="O1973" s="18" t="str">
        <f>IF($K1973="","",IFERROR(VLOOKUP(--SUBSTITUTE(SUBSTITUTE(TRIM($K1973),"-","")," ",""),마스터시트!$A$2:$H$1946,4,FALSE),""))</f>
        <v/>
      </c>
      <c r="P1973" s="18" t="str">
        <f>IF($K1973="","",IFERROR(VLOOKUP(--SUBSTITUTE(SUBSTITUTE(TRIM($K1973),"-","")," ",""),마스터시트!$A$2:$H$1946,5,FALSE),""))</f>
        <v/>
      </c>
      <c r="Q1973" s="18" t="str">
        <f>IF($K1973="","",IFERROR(VLOOKUP(--SUBSTITUTE(SUBSTITUTE(TRIM($K1973),"-","")," ",""),마스터시트!$A$2:$H$1946,6,FALSE),""))</f>
        <v/>
      </c>
      <c r="R1973" s="18" t="str">
        <f>IF($K1973="","",IFERROR(VLOOKUP(--SUBSTITUTE(SUBSTITUTE(TRIM($K1973),"-","")," ",""),마스터시트!$A$2:$H$1946,7,FALSE),""))</f>
        <v/>
      </c>
    </row>
    <row r="1974" spans="13:18" x14ac:dyDescent="0.3">
      <c r="M1974" s="18" t="str">
        <f>IF($K1974="","",IFERROR(VLOOKUP(--SUBSTITUTE(SUBSTITUTE(TRIM($K1974),"-","")," ",""),마스터시트!$A$2:$H$1946,2,FALSE),"미등록"))</f>
        <v/>
      </c>
      <c r="N1974" s="53" t="str">
        <f>IF($K1974="","",IFERROR(VLOOKUP(--SUBSTITUTE(SUBSTITUTE(TRIM($K1974),"-","")," ",""),마스터시트!$A$2:$H$1946,3,FALSE),"미등록"))</f>
        <v/>
      </c>
      <c r="O1974" s="18" t="str">
        <f>IF($K1974="","",IFERROR(VLOOKUP(--SUBSTITUTE(SUBSTITUTE(TRIM($K1974),"-","")," ",""),마스터시트!$A$2:$H$1946,4,FALSE),""))</f>
        <v/>
      </c>
      <c r="P1974" s="18" t="str">
        <f>IF($K1974="","",IFERROR(VLOOKUP(--SUBSTITUTE(SUBSTITUTE(TRIM($K1974),"-","")," ",""),마스터시트!$A$2:$H$1946,5,FALSE),""))</f>
        <v/>
      </c>
      <c r="Q1974" s="18" t="str">
        <f>IF($K1974="","",IFERROR(VLOOKUP(--SUBSTITUTE(SUBSTITUTE(TRIM($K1974),"-","")," ",""),마스터시트!$A$2:$H$1946,6,FALSE),""))</f>
        <v/>
      </c>
      <c r="R1974" s="18" t="str">
        <f>IF($K1974="","",IFERROR(VLOOKUP(--SUBSTITUTE(SUBSTITUTE(TRIM($K1974),"-","")," ",""),마스터시트!$A$2:$H$1946,7,FALSE),""))</f>
        <v/>
      </c>
    </row>
    <row r="1975" spans="13:18" x14ac:dyDescent="0.3">
      <c r="M1975" s="18" t="str">
        <f>IF($K1975="","",IFERROR(VLOOKUP(--SUBSTITUTE(SUBSTITUTE(TRIM($K1975),"-","")," ",""),마스터시트!$A$2:$H$1946,2,FALSE),"미등록"))</f>
        <v/>
      </c>
      <c r="N1975" s="53" t="str">
        <f>IF($K1975="","",IFERROR(VLOOKUP(--SUBSTITUTE(SUBSTITUTE(TRIM($K1975),"-","")," ",""),마스터시트!$A$2:$H$1946,3,FALSE),"미등록"))</f>
        <v/>
      </c>
      <c r="O1975" s="18" t="str">
        <f>IF($K1975="","",IFERROR(VLOOKUP(--SUBSTITUTE(SUBSTITUTE(TRIM($K1975),"-","")," ",""),마스터시트!$A$2:$H$1946,4,FALSE),""))</f>
        <v/>
      </c>
      <c r="P1975" s="18" t="str">
        <f>IF($K1975="","",IFERROR(VLOOKUP(--SUBSTITUTE(SUBSTITUTE(TRIM($K1975),"-","")," ",""),마스터시트!$A$2:$H$1946,5,FALSE),""))</f>
        <v/>
      </c>
      <c r="Q1975" s="18" t="str">
        <f>IF($K1975="","",IFERROR(VLOOKUP(--SUBSTITUTE(SUBSTITUTE(TRIM($K1975),"-","")," ",""),마스터시트!$A$2:$H$1946,6,FALSE),""))</f>
        <v/>
      </c>
      <c r="R1975" s="18" t="str">
        <f>IF($K1975="","",IFERROR(VLOOKUP(--SUBSTITUTE(SUBSTITUTE(TRIM($K1975),"-","")," ",""),마스터시트!$A$2:$H$1946,7,FALSE),""))</f>
        <v/>
      </c>
    </row>
    <row r="1976" spans="13:18" x14ac:dyDescent="0.3">
      <c r="M1976" s="18" t="str">
        <f>IF($K1976="","",IFERROR(VLOOKUP(--SUBSTITUTE(SUBSTITUTE(TRIM($K1976),"-","")," ",""),마스터시트!$A$2:$H$1946,2,FALSE),"미등록"))</f>
        <v/>
      </c>
      <c r="N1976" s="53" t="str">
        <f>IF($K1976="","",IFERROR(VLOOKUP(--SUBSTITUTE(SUBSTITUTE(TRIM($K1976),"-","")," ",""),마스터시트!$A$2:$H$1946,3,FALSE),"미등록"))</f>
        <v/>
      </c>
      <c r="O1976" s="18" t="str">
        <f>IF($K1976="","",IFERROR(VLOOKUP(--SUBSTITUTE(SUBSTITUTE(TRIM($K1976),"-","")," ",""),마스터시트!$A$2:$H$1946,4,FALSE),""))</f>
        <v/>
      </c>
      <c r="P1976" s="18" t="str">
        <f>IF($K1976="","",IFERROR(VLOOKUP(--SUBSTITUTE(SUBSTITUTE(TRIM($K1976),"-","")," ",""),마스터시트!$A$2:$H$1946,5,FALSE),""))</f>
        <v/>
      </c>
      <c r="Q1976" s="18" t="str">
        <f>IF($K1976="","",IFERROR(VLOOKUP(--SUBSTITUTE(SUBSTITUTE(TRIM($K1976),"-","")," ",""),마스터시트!$A$2:$H$1946,6,FALSE),""))</f>
        <v/>
      </c>
      <c r="R1976" s="18" t="str">
        <f>IF($K1976="","",IFERROR(VLOOKUP(--SUBSTITUTE(SUBSTITUTE(TRIM($K1976),"-","")," ",""),마스터시트!$A$2:$H$1946,7,FALSE),""))</f>
        <v/>
      </c>
    </row>
    <row r="1977" spans="13:18" x14ac:dyDescent="0.3">
      <c r="M1977" s="18" t="str">
        <f>IF($K1977="","",IFERROR(VLOOKUP(--SUBSTITUTE(SUBSTITUTE(TRIM($K1977),"-","")," ",""),마스터시트!$A$2:$H$1946,2,FALSE),"미등록"))</f>
        <v/>
      </c>
      <c r="N1977" s="53" t="str">
        <f>IF($K1977="","",IFERROR(VLOOKUP(--SUBSTITUTE(SUBSTITUTE(TRIM($K1977),"-","")," ",""),마스터시트!$A$2:$H$1946,3,FALSE),"미등록"))</f>
        <v/>
      </c>
      <c r="O1977" s="18" t="str">
        <f>IF($K1977="","",IFERROR(VLOOKUP(--SUBSTITUTE(SUBSTITUTE(TRIM($K1977),"-","")," ",""),마스터시트!$A$2:$H$1946,4,FALSE),""))</f>
        <v/>
      </c>
      <c r="P1977" s="18" t="str">
        <f>IF($K1977="","",IFERROR(VLOOKUP(--SUBSTITUTE(SUBSTITUTE(TRIM($K1977),"-","")," ",""),마스터시트!$A$2:$H$1946,5,FALSE),""))</f>
        <v/>
      </c>
      <c r="Q1977" s="18" t="str">
        <f>IF($K1977="","",IFERROR(VLOOKUP(--SUBSTITUTE(SUBSTITUTE(TRIM($K1977),"-","")," ",""),마스터시트!$A$2:$H$1946,6,FALSE),""))</f>
        <v/>
      </c>
      <c r="R1977" s="18" t="str">
        <f>IF($K1977="","",IFERROR(VLOOKUP(--SUBSTITUTE(SUBSTITUTE(TRIM($K1977),"-","")," ",""),마스터시트!$A$2:$H$1946,7,FALSE),""))</f>
        <v/>
      </c>
    </row>
    <row r="1978" spans="13:18" x14ac:dyDescent="0.3">
      <c r="M1978" s="18" t="str">
        <f>IF($K1978="","",IFERROR(VLOOKUP(--SUBSTITUTE(SUBSTITUTE(TRIM($K1978),"-","")," ",""),마스터시트!$A$2:$H$1946,2,FALSE),"미등록"))</f>
        <v/>
      </c>
      <c r="N1978" s="53" t="str">
        <f>IF($K1978="","",IFERROR(VLOOKUP(--SUBSTITUTE(SUBSTITUTE(TRIM($K1978),"-","")," ",""),마스터시트!$A$2:$H$1946,3,FALSE),"미등록"))</f>
        <v/>
      </c>
      <c r="O1978" s="18" t="str">
        <f>IF($K1978="","",IFERROR(VLOOKUP(--SUBSTITUTE(SUBSTITUTE(TRIM($K1978),"-","")," ",""),마스터시트!$A$2:$H$1946,4,FALSE),""))</f>
        <v/>
      </c>
      <c r="P1978" s="18" t="str">
        <f>IF($K1978="","",IFERROR(VLOOKUP(--SUBSTITUTE(SUBSTITUTE(TRIM($K1978),"-","")," ",""),마스터시트!$A$2:$H$1946,5,FALSE),""))</f>
        <v/>
      </c>
      <c r="Q1978" s="18" t="str">
        <f>IF($K1978="","",IFERROR(VLOOKUP(--SUBSTITUTE(SUBSTITUTE(TRIM($K1978),"-","")," ",""),마스터시트!$A$2:$H$1946,6,FALSE),""))</f>
        <v/>
      </c>
      <c r="R1978" s="18" t="str">
        <f>IF($K1978="","",IFERROR(VLOOKUP(--SUBSTITUTE(SUBSTITUTE(TRIM($K1978),"-","")," ",""),마스터시트!$A$2:$H$1946,7,FALSE),""))</f>
        <v/>
      </c>
    </row>
    <row r="1979" spans="13:18" x14ac:dyDescent="0.3">
      <c r="M1979" s="18" t="str">
        <f>IF($K1979="","",IFERROR(VLOOKUP(--SUBSTITUTE(SUBSTITUTE(TRIM($K1979),"-","")," ",""),마스터시트!$A$2:$H$1946,2,FALSE),"미등록"))</f>
        <v/>
      </c>
      <c r="N1979" s="53" t="str">
        <f>IF($K1979="","",IFERROR(VLOOKUP(--SUBSTITUTE(SUBSTITUTE(TRIM($K1979),"-","")," ",""),마스터시트!$A$2:$H$1946,3,FALSE),"미등록"))</f>
        <v/>
      </c>
      <c r="O1979" s="18" t="str">
        <f>IF($K1979="","",IFERROR(VLOOKUP(--SUBSTITUTE(SUBSTITUTE(TRIM($K1979),"-","")," ",""),마스터시트!$A$2:$H$1946,4,FALSE),""))</f>
        <v/>
      </c>
      <c r="P1979" s="18" t="str">
        <f>IF($K1979="","",IFERROR(VLOOKUP(--SUBSTITUTE(SUBSTITUTE(TRIM($K1979),"-","")," ",""),마스터시트!$A$2:$H$1946,5,FALSE),""))</f>
        <v/>
      </c>
      <c r="Q1979" s="18" t="str">
        <f>IF($K1979="","",IFERROR(VLOOKUP(--SUBSTITUTE(SUBSTITUTE(TRIM($K1979),"-","")," ",""),마스터시트!$A$2:$H$1946,6,FALSE),""))</f>
        <v/>
      </c>
      <c r="R1979" s="18" t="str">
        <f>IF($K1979="","",IFERROR(VLOOKUP(--SUBSTITUTE(SUBSTITUTE(TRIM($K1979),"-","")," ",""),마스터시트!$A$2:$H$1946,7,FALSE),""))</f>
        <v/>
      </c>
    </row>
    <row r="1980" spans="13:18" x14ac:dyDescent="0.3">
      <c r="M1980" s="18" t="str">
        <f>IF($K1980="","",IFERROR(VLOOKUP(--SUBSTITUTE(SUBSTITUTE(TRIM($K1980),"-","")," ",""),마스터시트!$A$2:$H$1946,2,FALSE),"미등록"))</f>
        <v/>
      </c>
      <c r="N1980" s="53" t="str">
        <f>IF($K1980="","",IFERROR(VLOOKUP(--SUBSTITUTE(SUBSTITUTE(TRIM($K1980),"-","")," ",""),마스터시트!$A$2:$H$1946,3,FALSE),"미등록"))</f>
        <v/>
      </c>
      <c r="O1980" s="18" t="str">
        <f>IF($K1980="","",IFERROR(VLOOKUP(--SUBSTITUTE(SUBSTITUTE(TRIM($K1980),"-","")," ",""),마스터시트!$A$2:$H$1946,4,FALSE),""))</f>
        <v/>
      </c>
      <c r="P1980" s="18" t="str">
        <f>IF($K1980="","",IFERROR(VLOOKUP(--SUBSTITUTE(SUBSTITUTE(TRIM($K1980),"-","")," ",""),마스터시트!$A$2:$H$1946,5,FALSE),""))</f>
        <v/>
      </c>
      <c r="Q1980" s="18" t="str">
        <f>IF($K1980="","",IFERROR(VLOOKUP(--SUBSTITUTE(SUBSTITUTE(TRIM($K1980),"-","")," ",""),마스터시트!$A$2:$H$1946,6,FALSE),""))</f>
        <v/>
      </c>
      <c r="R1980" s="18" t="str">
        <f>IF($K1980="","",IFERROR(VLOOKUP(--SUBSTITUTE(SUBSTITUTE(TRIM($K1980),"-","")," ",""),마스터시트!$A$2:$H$1946,7,FALSE),""))</f>
        <v/>
      </c>
    </row>
    <row r="1981" spans="13:18" x14ac:dyDescent="0.3">
      <c r="M1981" s="18" t="str">
        <f>IF($K1981="","",IFERROR(VLOOKUP(--SUBSTITUTE(SUBSTITUTE(TRIM($K1981),"-","")," ",""),마스터시트!$A$2:$H$1946,2,FALSE),"미등록"))</f>
        <v/>
      </c>
      <c r="N1981" s="53" t="str">
        <f>IF($K1981="","",IFERROR(VLOOKUP(--SUBSTITUTE(SUBSTITUTE(TRIM($K1981),"-","")," ",""),마스터시트!$A$2:$H$1946,3,FALSE),"미등록"))</f>
        <v/>
      </c>
      <c r="O1981" s="18" t="str">
        <f>IF($K1981="","",IFERROR(VLOOKUP(--SUBSTITUTE(SUBSTITUTE(TRIM($K1981),"-","")," ",""),마스터시트!$A$2:$H$1946,4,FALSE),""))</f>
        <v/>
      </c>
      <c r="P1981" s="18" t="str">
        <f>IF($K1981="","",IFERROR(VLOOKUP(--SUBSTITUTE(SUBSTITUTE(TRIM($K1981),"-","")," ",""),마스터시트!$A$2:$H$1946,5,FALSE),""))</f>
        <v/>
      </c>
      <c r="Q1981" s="18" t="str">
        <f>IF($K1981="","",IFERROR(VLOOKUP(--SUBSTITUTE(SUBSTITUTE(TRIM($K1981),"-","")," ",""),마스터시트!$A$2:$H$1946,6,FALSE),""))</f>
        <v/>
      </c>
      <c r="R1981" s="18" t="str">
        <f>IF($K1981="","",IFERROR(VLOOKUP(--SUBSTITUTE(SUBSTITUTE(TRIM($K1981),"-","")," ",""),마스터시트!$A$2:$H$1946,7,FALSE),""))</f>
        <v/>
      </c>
    </row>
    <row r="1982" spans="13:18" x14ac:dyDescent="0.3">
      <c r="M1982" s="18" t="str">
        <f>IF($K1982="","",IFERROR(VLOOKUP(--SUBSTITUTE(SUBSTITUTE(TRIM($K1982),"-","")," ",""),마스터시트!$A$2:$H$1946,2,FALSE),"미등록"))</f>
        <v/>
      </c>
      <c r="N1982" s="53" t="str">
        <f>IF($K1982="","",IFERROR(VLOOKUP(--SUBSTITUTE(SUBSTITUTE(TRIM($K1982),"-","")," ",""),마스터시트!$A$2:$H$1946,3,FALSE),"미등록"))</f>
        <v/>
      </c>
      <c r="O1982" s="18" t="str">
        <f>IF($K1982="","",IFERROR(VLOOKUP(--SUBSTITUTE(SUBSTITUTE(TRIM($K1982),"-","")," ",""),마스터시트!$A$2:$H$1946,4,FALSE),""))</f>
        <v/>
      </c>
      <c r="P1982" s="18" t="str">
        <f>IF($K1982="","",IFERROR(VLOOKUP(--SUBSTITUTE(SUBSTITUTE(TRIM($K1982),"-","")," ",""),마스터시트!$A$2:$H$1946,5,FALSE),""))</f>
        <v/>
      </c>
      <c r="Q1982" s="18" t="str">
        <f>IF($K1982="","",IFERROR(VLOOKUP(--SUBSTITUTE(SUBSTITUTE(TRIM($K1982),"-","")," ",""),마스터시트!$A$2:$H$1946,6,FALSE),""))</f>
        <v/>
      </c>
      <c r="R1982" s="18" t="str">
        <f>IF($K1982="","",IFERROR(VLOOKUP(--SUBSTITUTE(SUBSTITUTE(TRIM($K1982),"-","")," ",""),마스터시트!$A$2:$H$1946,7,FALSE),""))</f>
        <v/>
      </c>
    </row>
    <row r="1983" spans="13:18" x14ac:dyDescent="0.3">
      <c r="M1983" s="18" t="str">
        <f>IF($K1983="","",IFERROR(VLOOKUP(--SUBSTITUTE(SUBSTITUTE(TRIM($K1983),"-","")," ",""),마스터시트!$A$2:$H$1946,2,FALSE),"미등록"))</f>
        <v/>
      </c>
      <c r="N1983" s="53" t="str">
        <f>IF($K1983="","",IFERROR(VLOOKUP(--SUBSTITUTE(SUBSTITUTE(TRIM($K1983),"-","")," ",""),마스터시트!$A$2:$H$1946,3,FALSE),"미등록"))</f>
        <v/>
      </c>
      <c r="O1983" s="18" t="str">
        <f>IF($K1983="","",IFERROR(VLOOKUP(--SUBSTITUTE(SUBSTITUTE(TRIM($K1983),"-","")," ",""),마스터시트!$A$2:$H$1946,4,FALSE),""))</f>
        <v/>
      </c>
      <c r="P1983" s="18" t="str">
        <f>IF($K1983="","",IFERROR(VLOOKUP(--SUBSTITUTE(SUBSTITUTE(TRIM($K1983),"-","")," ",""),마스터시트!$A$2:$H$1946,5,FALSE),""))</f>
        <v/>
      </c>
      <c r="Q1983" s="18" t="str">
        <f>IF($K1983="","",IFERROR(VLOOKUP(--SUBSTITUTE(SUBSTITUTE(TRIM($K1983),"-","")," ",""),마스터시트!$A$2:$H$1946,6,FALSE),""))</f>
        <v/>
      </c>
      <c r="R1983" s="18" t="str">
        <f>IF($K1983="","",IFERROR(VLOOKUP(--SUBSTITUTE(SUBSTITUTE(TRIM($K1983),"-","")," ",""),마스터시트!$A$2:$H$1946,7,FALSE),""))</f>
        <v/>
      </c>
    </row>
    <row r="1984" spans="13:18" x14ac:dyDescent="0.3">
      <c r="M1984" s="18" t="str">
        <f>IF($K1984="","",IFERROR(VLOOKUP(--SUBSTITUTE(SUBSTITUTE(TRIM($K1984),"-","")," ",""),마스터시트!$A$2:$H$1946,2,FALSE),"미등록"))</f>
        <v/>
      </c>
      <c r="N1984" s="53" t="str">
        <f>IF($K1984="","",IFERROR(VLOOKUP(--SUBSTITUTE(SUBSTITUTE(TRIM($K1984),"-","")," ",""),마스터시트!$A$2:$H$1946,3,FALSE),"미등록"))</f>
        <v/>
      </c>
      <c r="O1984" s="18" t="str">
        <f>IF($K1984="","",IFERROR(VLOOKUP(--SUBSTITUTE(SUBSTITUTE(TRIM($K1984),"-","")," ",""),마스터시트!$A$2:$H$1946,4,FALSE),""))</f>
        <v/>
      </c>
      <c r="P1984" s="18" t="str">
        <f>IF($K1984="","",IFERROR(VLOOKUP(--SUBSTITUTE(SUBSTITUTE(TRIM($K1984),"-","")," ",""),마스터시트!$A$2:$H$1946,5,FALSE),""))</f>
        <v/>
      </c>
      <c r="Q1984" s="18" t="str">
        <f>IF($K1984="","",IFERROR(VLOOKUP(--SUBSTITUTE(SUBSTITUTE(TRIM($K1984),"-","")," ",""),마스터시트!$A$2:$H$1946,6,FALSE),""))</f>
        <v/>
      </c>
      <c r="R1984" s="18" t="str">
        <f>IF($K1984="","",IFERROR(VLOOKUP(--SUBSTITUTE(SUBSTITUTE(TRIM($K1984),"-","")," ",""),마스터시트!$A$2:$H$1946,7,FALSE),""))</f>
        <v/>
      </c>
    </row>
    <row r="1985" spans="13:18" x14ac:dyDescent="0.3">
      <c r="M1985" s="18" t="str">
        <f>IF($K1985="","",IFERROR(VLOOKUP(--SUBSTITUTE(SUBSTITUTE(TRIM($K1985),"-","")," ",""),마스터시트!$A$2:$H$1946,2,FALSE),"미등록"))</f>
        <v/>
      </c>
      <c r="N1985" s="53" t="str">
        <f>IF($K1985="","",IFERROR(VLOOKUP(--SUBSTITUTE(SUBSTITUTE(TRIM($K1985),"-","")," ",""),마스터시트!$A$2:$H$1946,3,FALSE),"미등록"))</f>
        <v/>
      </c>
      <c r="O1985" s="18" t="str">
        <f>IF($K1985="","",IFERROR(VLOOKUP(--SUBSTITUTE(SUBSTITUTE(TRIM($K1985),"-","")," ",""),마스터시트!$A$2:$H$1946,4,FALSE),""))</f>
        <v/>
      </c>
      <c r="P1985" s="18" t="str">
        <f>IF($K1985="","",IFERROR(VLOOKUP(--SUBSTITUTE(SUBSTITUTE(TRIM($K1985),"-","")," ",""),마스터시트!$A$2:$H$1946,5,FALSE),""))</f>
        <v/>
      </c>
      <c r="Q1985" s="18" t="str">
        <f>IF($K1985="","",IFERROR(VLOOKUP(--SUBSTITUTE(SUBSTITUTE(TRIM($K1985),"-","")," ",""),마스터시트!$A$2:$H$1946,6,FALSE),""))</f>
        <v/>
      </c>
      <c r="R1985" s="18" t="str">
        <f>IF($K1985="","",IFERROR(VLOOKUP(--SUBSTITUTE(SUBSTITUTE(TRIM($K1985),"-","")," ",""),마스터시트!$A$2:$H$1946,7,FALSE),""))</f>
        <v/>
      </c>
    </row>
    <row r="1986" spans="13:18" x14ac:dyDescent="0.3">
      <c r="M1986" s="18" t="str">
        <f>IF($K1986="","",IFERROR(VLOOKUP(--SUBSTITUTE(SUBSTITUTE(TRIM($K1986),"-","")," ",""),마스터시트!$A$2:$H$1946,2,FALSE),"미등록"))</f>
        <v/>
      </c>
      <c r="N1986" s="53" t="str">
        <f>IF($K1986="","",IFERROR(VLOOKUP(--SUBSTITUTE(SUBSTITUTE(TRIM($K1986),"-","")," ",""),마스터시트!$A$2:$H$1946,3,FALSE),"미등록"))</f>
        <v/>
      </c>
      <c r="O1986" s="18" t="str">
        <f>IF($K1986="","",IFERROR(VLOOKUP(--SUBSTITUTE(SUBSTITUTE(TRIM($K1986),"-","")," ",""),마스터시트!$A$2:$H$1946,4,FALSE),""))</f>
        <v/>
      </c>
      <c r="P1986" s="18" t="str">
        <f>IF($K1986="","",IFERROR(VLOOKUP(--SUBSTITUTE(SUBSTITUTE(TRIM($K1986),"-","")," ",""),마스터시트!$A$2:$H$1946,5,FALSE),""))</f>
        <v/>
      </c>
      <c r="Q1986" s="18" t="str">
        <f>IF($K1986="","",IFERROR(VLOOKUP(--SUBSTITUTE(SUBSTITUTE(TRIM($K1986),"-","")," ",""),마스터시트!$A$2:$H$1946,6,FALSE),""))</f>
        <v/>
      </c>
      <c r="R1986" s="18" t="str">
        <f>IF($K1986="","",IFERROR(VLOOKUP(--SUBSTITUTE(SUBSTITUTE(TRIM($K1986),"-","")," ",""),마스터시트!$A$2:$H$1946,7,FALSE),""))</f>
        <v/>
      </c>
    </row>
    <row r="1987" spans="13:18" x14ac:dyDescent="0.3">
      <c r="M1987" s="18" t="str">
        <f>IF($K1987="","",IFERROR(VLOOKUP(--SUBSTITUTE(SUBSTITUTE(TRIM($K1987),"-","")," ",""),마스터시트!$A$2:$H$1946,2,FALSE),"미등록"))</f>
        <v/>
      </c>
      <c r="N1987" s="53" t="str">
        <f>IF($K1987="","",IFERROR(VLOOKUP(--SUBSTITUTE(SUBSTITUTE(TRIM($K1987),"-","")," ",""),마스터시트!$A$2:$H$1946,3,FALSE),"미등록"))</f>
        <v/>
      </c>
      <c r="O1987" s="18" t="str">
        <f>IF($K1987="","",IFERROR(VLOOKUP(--SUBSTITUTE(SUBSTITUTE(TRIM($K1987),"-","")," ",""),마스터시트!$A$2:$H$1946,4,FALSE),""))</f>
        <v/>
      </c>
      <c r="P1987" s="18" t="str">
        <f>IF($K1987="","",IFERROR(VLOOKUP(--SUBSTITUTE(SUBSTITUTE(TRIM($K1987),"-","")," ",""),마스터시트!$A$2:$H$1946,5,FALSE),""))</f>
        <v/>
      </c>
      <c r="Q1987" s="18" t="str">
        <f>IF($K1987="","",IFERROR(VLOOKUP(--SUBSTITUTE(SUBSTITUTE(TRIM($K1987),"-","")," ",""),마스터시트!$A$2:$H$1946,6,FALSE),""))</f>
        <v/>
      </c>
      <c r="R1987" s="18" t="str">
        <f>IF($K1987="","",IFERROR(VLOOKUP(--SUBSTITUTE(SUBSTITUTE(TRIM($K1987),"-","")," ",""),마스터시트!$A$2:$H$1946,7,FALSE),""))</f>
        <v/>
      </c>
    </row>
    <row r="1988" spans="13:18" x14ac:dyDescent="0.3">
      <c r="M1988" s="18" t="str">
        <f>IF($K1988="","",IFERROR(VLOOKUP(--SUBSTITUTE(SUBSTITUTE(TRIM($K1988),"-","")," ",""),마스터시트!$A$2:$H$1946,2,FALSE),"미등록"))</f>
        <v/>
      </c>
      <c r="N1988" s="53" t="str">
        <f>IF($K1988="","",IFERROR(VLOOKUP(--SUBSTITUTE(SUBSTITUTE(TRIM($K1988),"-","")," ",""),마스터시트!$A$2:$H$1946,3,FALSE),"미등록"))</f>
        <v/>
      </c>
      <c r="O1988" s="18" t="str">
        <f>IF($K1988="","",IFERROR(VLOOKUP(--SUBSTITUTE(SUBSTITUTE(TRIM($K1988),"-","")," ",""),마스터시트!$A$2:$H$1946,4,FALSE),""))</f>
        <v/>
      </c>
      <c r="P1988" s="18" t="str">
        <f>IF($K1988="","",IFERROR(VLOOKUP(--SUBSTITUTE(SUBSTITUTE(TRIM($K1988),"-","")," ",""),마스터시트!$A$2:$H$1946,5,FALSE),""))</f>
        <v/>
      </c>
      <c r="Q1988" s="18" t="str">
        <f>IF($K1988="","",IFERROR(VLOOKUP(--SUBSTITUTE(SUBSTITUTE(TRIM($K1988),"-","")," ",""),마스터시트!$A$2:$H$1946,6,FALSE),""))</f>
        <v/>
      </c>
      <c r="R1988" s="18" t="str">
        <f>IF($K1988="","",IFERROR(VLOOKUP(--SUBSTITUTE(SUBSTITUTE(TRIM($K1988),"-","")," ",""),마스터시트!$A$2:$H$1946,7,FALSE),""))</f>
        <v/>
      </c>
    </row>
    <row r="1989" spans="13:18" x14ac:dyDescent="0.3">
      <c r="M1989" s="18" t="str">
        <f>IF($K1989="","",IFERROR(VLOOKUP(--SUBSTITUTE(SUBSTITUTE(TRIM($K1989),"-","")," ",""),마스터시트!$A$2:$H$1946,2,FALSE),"미등록"))</f>
        <v/>
      </c>
      <c r="N1989" s="53" t="str">
        <f>IF($K1989="","",IFERROR(VLOOKUP(--SUBSTITUTE(SUBSTITUTE(TRIM($K1989),"-","")," ",""),마스터시트!$A$2:$H$1946,3,FALSE),"미등록"))</f>
        <v/>
      </c>
      <c r="O1989" s="18" t="str">
        <f>IF($K1989="","",IFERROR(VLOOKUP(--SUBSTITUTE(SUBSTITUTE(TRIM($K1989),"-","")," ",""),마스터시트!$A$2:$H$1946,4,FALSE),""))</f>
        <v/>
      </c>
      <c r="P1989" s="18" t="str">
        <f>IF($K1989="","",IFERROR(VLOOKUP(--SUBSTITUTE(SUBSTITUTE(TRIM($K1989),"-","")," ",""),마스터시트!$A$2:$H$1946,5,FALSE),""))</f>
        <v/>
      </c>
      <c r="Q1989" s="18" t="str">
        <f>IF($K1989="","",IFERROR(VLOOKUP(--SUBSTITUTE(SUBSTITUTE(TRIM($K1989),"-","")," ",""),마스터시트!$A$2:$H$1946,6,FALSE),""))</f>
        <v/>
      </c>
      <c r="R1989" s="18" t="str">
        <f>IF($K1989="","",IFERROR(VLOOKUP(--SUBSTITUTE(SUBSTITUTE(TRIM($K1989),"-","")," ",""),마스터시트!$A$2:$H$1946,7,FALSE),""))</f>
        <v/>
      </c>
    </row>
    <row r="1990" spans="13:18" x14ac:dyDescent="0.3">
      <c r="M1990" s="18" t="str">
        <f>IF($K1990="","",IFERROR(VLOOKUP(--SUBSTITUTE(SUBSTITUTE(TRIM($K1990),"-","")," ",""),마스터시트!$A$2:$H$1946,2,FALSE),"미등록"))</f>
        <v/>
      </c>
      <c r="N1990" s="53" t="str">
        <f>IF($K1990="","",IFERROR(VLOOKUP(--SUBSTITUTE(SUBSTITUTE(TRIM($K1990),"-","")," ",""),마스터시트!$A$2:$H$1946,3,FALSE),"미등록"))</f>
        <v/>
      </c>
      <c r="O1990" s="18" t="str">
        <f>IF($K1990="","",IFERROR(VLOOKUP(--SUBSTITUTE(SUBSTITUTE(TRIM($K1990),"-","")," ",""),마스터시트!$A$2:$H$1946,4,FALSE),""))</f>
        <v/>
      </c>
      <c r="P1990" s="18" t="str">
        <f>IF($K1990="","",IFERROR(VLOOKUP(--SUBSTITUTE(SUBSTITUTE(TRIM($K1990),"-","")," ",""),마스터시트!$A$2:$H$1946,5,FALSE),""))</f>
        <v/>
      </c>
      <c r="Q1990" s="18" t="str">
        <f>IF($K1990="","",IFERROR(VLOOKUP(--SUBSTITUTE(SUBSTITUTE(TRIM($K1990),"-","")," ",""),마스터시트!$A$2:$H$1946,6,FALSE),""))</f>
        <v/>
      </c>
      <c r="R1990" s="18" t="str">
        <f>IF($K1990="","",IFERROR(VLOOKUP(--SUBSTITUTE(SUBSTITUTE(TRIM($K1990),"-","")," ",""),마스터시트!$A$2:$H$1946,7,FALSE),""))</f>
        <v/>
      </c>
    </row>
    <row r="1991" spans="13:18" x14ac:dyDescent="0.3">
      <c r="M1991" s="18" t="str">
        <f>IF($K1991="","",IFERROR(VLOOKUP(--SUBSTITUTE(SUBSTITUTE(TRIM($K1991),"-","")," ",""),마스터시트!$A$2:$H$1946,2,FALSE),"미등록"))</f>
        <v/>
      </c>
      <c r="N1991" s="53" t="str">
        <f>IF($K1991="","",IFERROR(VLOOKUP(--SUBSTITUTE(SUBSTITUTE(TRIM($K1991),"-","")," ",""),마스터시트!$A$2:$H$1946,3,FALSE),"미등록"))</f>
        <v/>
      </c>
      <c r="O1991" s="18" t="str">
        <f>IF($K1991="","",IFERROR(VLOOKUP(--SUBSTITUTE(SUBSTITUTE(TRIM($K1991),"-","")," ",""),마스터시트!$A$2:$H$1946,4,FALSE),""))</f>
        <v/>
      </c>
      <c r="P1991" s="18" t="str">
        <f>IF($K1991="","",IFERROR(VLOOKUP(--SUBSTITUTE(SUBSTITUTE(TRIM($K1991),"-","")," ",""),마스터시트!$A$2:$H$1946,5,FALSE),""))</f>
        <v/>
      </c>
      <c r="Q1991" s="18" t="str">
        <f>IF($K1991="","",IFERROR(VLOOKUP(--SUBSTITUTE(SUBSTITUTE(TRIM($K1991),"-","")," ",""),마스터시트!$A$2:$H$1946,6,FALSE),""))</f>
        <v/>
      </c>
      <c r="R1991" s="18" t="str">
        <f>IF($K1991="","",IFERROR(VLOOKUP(--SUBSTITUTE(SUBSTITUTE(TRIM($K1991),"-","")," ",""),마스터시트!$A$2:$H$1946,7,FALSE),""))</f>
        <v/>
      </c>
    </row>
    <row r="1992" spans="13:18" x14ac:dyDescent="0.3">
      <c r="M1992" s="18" t="str">
        <f>IF($K1992="","",IFERROR(VLOOKUP(--SUBSTITUTE(SUBSTITUTE(TRIM($K1992),"-","")," ",""),마스터시트!$A$2:$H$1946,2,FALSE),"미등록"))</f>
        <v/>
      </c>
      <c r="N1992" s="53" t="str">
        <f>IF($K1992="","",IFERROR(VLOOKUP(--SUBSTITUTE(SUBSTITUTE(TRIM($K1992),"-","")," ",""),마스터시트!$A$2:$H$1946,3,FALSE),"미등록"))</f>
        <v/>
      </c>
      <c r="O1992" s="18" t="str">
        <f>IF($K1992="","",IFERROR(VLOOKUP(--SUBSTITUTE(SUBSTITUTE(TRIM($K1992),"-","")," ",""),마스터시트!$A$2:$H$1946,4,FALSE),""))</f>
        <v/>
      </c>
      <c r="P1992" s="18" t="str">
        <f>IF($K1992="","",IFERROR(VLOOKUP(--SUBSTITUTE(SUBSTITUTE(TRIM($K1992),"-","")," ",""),마스터시트!$A$2:$H$1946,5,FALSE),""))</f>
        <v/>
      </c>
      <c r="Q1992" s="18" t="str">
        <f>IF($K1992="","",IFERROR(VLOOKUP(--SUBSTITUTE(SUBSTITUTE(TRIM($K1992),"-","")," ",""),마스터시트!$A$2:$H$1946,6,FALSE),""))</f>
        <v/>
      </c>
      <c r="R1992" s="18" t="str">
        <f>IF($K1992="","",IFERROR(VLOOKUP(--SUBSTITUTE(SUBSTITUTE(TRIM($K1992),"-","")," ",""),마스터시트!$A$2:$H$1946,7,FALSE),""))</f>
        <v/>
      </c>
    </row>
    <row r="1993" spans="13:18" x14ac:dyDescent="0.3">
      <c r="M1993" s="18" t="str">
        <f>IF($K1993="","",IFERROR(VLOOKUP(--SUBSTITUTE(SUBSTITUTE(TRIM($K1993),"-","")," ",""),마스터시트!$A$2:$H$1946,2,FALSE),"미등록"))</f>
        <v/>
      </c>
      <c r="N1993" s="53" t="str">
        <f>IF($K1993="","",IFERROR(VLOOKUP(--SUBSTITUTE(SUBSTITUTE(TRIM($K1993),"-","")," ",""),마스터시트!$A$2:$H$1946,3,FALSE),"미등록"))</f>
        <v/>
      </c>
      <c r="O1993" s="18" t="str">
        <f>IF($K1993="","",IFERROR(VLOOKUP(--SUBSTITUTE(SUBSTITUTE(TRIM($K1993),"-","")," ",""),마스터시트!$A$2:$H$1946,4,FALSE),""))</f>
        <v/>
      </c>
      <c r="P1993" s="18" t="str">
        <f>IF($K1993="","",IFERROR(VLOOKUP(--SUBSTITUTE(SUBSTITUTE(TRIM($K1993),"-","")," ",""),마스터시트!$A$2:$H$1946,5,FALSE),""))</f>
        <v/>
      </c>
      <c r="Q1993" s="18" t="str">
        <f>IF($K1993="","",IFERROR(VLOOKUP(--SUBSTITUTE(SUBSTITUTE(TRIM($K1993),"-","")," ",""),마스터시트!$A$2:$H$1946,6,FALSE),""))</f>
        <v/>
      </c>
      <c r="R1993" s="18" t="str">
        <f>IF($K1993="","",IFERROR(VLOOKUP(--SUBSTITUTE(SUBSTITUTE(TRIM($K1993),"-","")," ",""),마스터시트!$A$2:$H$1946,7,FALSE),""))</f>
        <v/>
      </c>
    </row>
    <row r="1994" spans="13:18" x14ac:dyDescent="0.3">
      <c r="M1994" s="18" t="str">
        <f>IF($K1994="","",IFERROR(VLOOKUP(--SUBSTITUTE(SUBSTITUTE(TRIM($K1994),"-","")," ",""),마스터시트!$A$2:$H$1946,2,FALSE),"미등록"))</f>
        <v/>
      </c>
      <c r="N1994" s="53" t="str">
        <f>IF($K1994="","",IFERROR(VLOOKUP(--SUBSTITUTE(SUBSTITUTE(TRIM($K1994),"-","")," ",""),마스터시트!$A$2:$H$1946,3,FALSE),"미등록"))</f>
        <v/>
      </c>
      <c r="O1994" s="18" t="str">
        <f>IF($K1994="","",IFERROR(VLOOKUP(--SUBSTITUTE(SUBSTITUTE(TRIM($K1994),"-","")," ",""),마스터시트!$A$2:$H$1946,4,FALSE),""))</f>
        <v/>
      </c>
      <c r="P1994" s="18" t="str">
        <f>IF($K1994="","",IFERROR(VLOOKUP(--SUBSTITUTE(SUBSTITUTE(TRIM($K1994),"-","")," ",""),마스터시트!$A$2:$H$1946,5,FALSE),""))</f>
        <v/>
      </c>
      <c r="Q1994" s="18" t="str">
        <f>IF($K1994="","",IFERROR(VLOOKUP(--SUBSTITUTE(SUBSTITUTE(TRIM($K1994),"-","")," ",""),마스터시트!$A$2:$H$1946,6,FALSE),""))</f>
        <v/>
      </c>
      <c r="R1994" s="18" t="str">
        <f>IF($K1994="","",IFERROR(VLOOKUP(--SUBSTITUTE(SUBSTITUTE(TRIM($K1994),"-","")," ",""),마스터시트!$A$2:$H$1946,7,FALSE),""))</f>
        <v/>
      </c>
    </row>
    <row r="1995" spans="13:18" x14ac:dyDescent="0.3">
      <c r="M1995" s="18" t="str">
        <f>IF($K1995="","",IFERROR(VLOOKUP(--SUBSTITUTE(SUBSTITUTE(TRIM($K1995),"-","")," ",""),마스터시트!$A$2:$H$1946,2,FALSE),"미등록"))</f>
        <v/>
      </c>
      <c r="N1995" s="53" t="str">
        <f>IF($K1995="","",IFERROR(VLOOKUP(--SUBSTITUTE(SUBSTITUTE(TRIM($K1995),"-","")," ",""),마스터시트!$A$2:$H$1946,3,FALSE),"미등록"))</f>
        <v/>
      </c>
      <c r="O1995" s="18" t="str">
        <f>IF($K1995="","",IFERROR(VLOOKUP(--SUBSTITUTE(SUBSTITUTE(TRIM($K1995),"-","")," ",""),마스터시트!$A$2:$H$1946,4,FALSE),""))</f>
        <v/>
      </c>
      <c r="P1995" s="18" t="str">
        <f>IF($K1995="","",IFERROR(VLOOKUP(--SUBSTITUTE(SUBSTITUTE(TRIM($K1995),"-","")," ",""),마스터시트!$A$2:$H$1946,5,FALSE),""))</f>
        <v/>
      </c>
      <c r="Q1995" s="18" t="str">
        <f>IF($K1995="","",IFERROR(VLOOKUP(--SUBSTITUTE(SUBSTITUTE(TRIM($K1995),"-","")," ",""),마스터시트!$A$2:$H$1946,6,FALSE),""))</f>
        <v/>
      </c>
      <c r="R1995" s="18" t="str">
        <f>IF($K1995="","",IFERROR(VLOOKUP(--SUBSTITUTE(SUBSTITUTE(TRIM($K1995),"-","")," ",""),마스터시트!$A$2:$H$1946,7,FALSE),""))</f>
        <v/>
      </c>
    </row>
    <row r="1996" spans="13:18" x14ac:dyDescent="0.3">
      <c r="M1996" s="18" t="str">
        <f>IF($K1996="","",IFERROR(VLOOKUP(--SUBSTITUTE(SUBSTITUTE(TRIM($K1996),"-","")," ",""),마스터시트!$A$2:$H$1946,2,FALSE),"미등록"))</f>
        <v/>
      </c>
      <c r="N1996" s="53" t="str">
        <f>IF($K1996="","",IFERROR(VLOOKUP(--SUBSTITUTE(SUBSTITUTE(TRIM($K1996),"-","")," ",""),마스터시트!$A$2:$H$1946,3,FALSE),"미등록"))</f>
        <v/>
      </c>
      <c r="O1996" s="18" t="str">
        <f>IF($K1996="","",IFERROR(VLOOKUP(--SUBSTITUTE(SUBSTITUTE(TRIM($K1996),"-","")," ",""),마스터시트!$A$2:$H$1946,4,FALSE),""))</f>
        <v/>
      </c>
      <c r="P1996" s="18" t="str">
        <f>IF($K1996="","",IFERROR(VLOOKUP(--SUBSTITUTE(SUBSTITUTE(TRIM($K1996),"-","")," ",""),마스터시트!$A$2:$H$1946,5,FALSE),""))</f>
        <v/>
      </c>
      <c r="Q1996" s="18" t="str">
        <f>IF($K1996="","",IFERROR(VLOOKUP(--SUBSTITUTE(SUBSTITUTE(TRIM($K1996),"-","")," ",""),마스터시트!$A$2:$H$1946,6,FALSE),""))</f>
        <v/>
      </c>
      <c r="R1996" s="18" t="str">
        <f>IF($K1996="","",IFERROR(VLOOKUP(--SUBSTITUTE(SUBSTITUTE(TRIM($K1996),"-","")," ",""),마스터시트!$A$2:$H$1946,7,FALSE),""))</f>
        <v/>
      </c>
    </row>
    <row r="1997" spans="13:18" x14ac:dyDescent="0.3">
      <c r="M1997" s="18" t="str">
        <f>IF($K1997="","",IFERROR(VLOOKUP(--SUBSTITUTE(SUBSTITUTE(TRIM($K1997),"-","")," ",""),마스터시트!$A$2:$H$1946,2,FALSE),"미등록"))</f>
        <v/>
      </c>
      <c r="N1997" s="53" t="str">
        <f>IF($K1997="","",IFERROR(VLOOKUP(--SUBSTITUTE(SUBSTITUTE(TRIM($K1997),"-","")," ",""),마스터시트!$A$2:$H$1946,3,FALSE),"미등록"))</f>
        <v/>
      </c>
      <c r="O1997" s="18" t="str">
        <f>IF($K1997="","",IFERROR(VLOOKUP(--SUBSTITUTE(SUBSTITUTE(TRIM($K1997),"-","")," ",""),마스터시트!$A$2:$H$1946,4,FALSE),""))</f>
        <v/>
      </c>
      <c r="P1997" s="18" t="str">
        <f>IF($K1997="","",IFERROR(VLOOKUP(--SUBSTITUTE(SUBSTITUTE(TRIM($K1997),"-","")," ",""),마스터시트!$A$2:$H$1946,5,FALSE),""))</f>
        <v/>
      </c>
      <c r="Q1997" s="18" t="str">
        <f>IF($K1997="","",IFERROR(VLOOKUP(--SUBSTITUTE(SUBSTITUTE(TRIM($K1997),"-","")," ",""),마스터시트!$A$2:$H$1946,6,FALSE),""))</f>
        <v/>
      </c>
      <c r="R1997" s="18" t="str">
        <f>IF($K1997="","",IFERROR(VLOOKUP(--SUBSTITUTE(SUBSTITUTE(TRIM($K1997),"-","")," ",""),마스터시트!$A$2:$H$1946,7,FALSE),""))</f>
        <v/>
      </c>
    </row>
    <row r="1998" spans="13:18" x14ac:dyDescent="0.3">
      <c r="M1998" s="18" t="str">
        <f>IF($K1998="","",IFERROR(VLOOKUP(--SUBSTITUTE(SUBSTITUTE(TRIM($K1998),"-","")," ",""),마스터시트!$A$2:$H$1946,2,FALSE),"미등록"))</f>
        <v/>
      </c>
      <c r="N1998" s="53" t="str">
        <f>IF($K1998="","",IFERROR(VLOOKUP(--SUBSTITUTE(SUBSTITUTE(TRIM($K1998),"-","")," ",""),마스터시트!$A$2:$H$1946,3,FALSE),"미등록"))</f>
        <v/>
      </c>
      <c r="O1998" s="18" t="str">
        <f>IF($K1998="","",IFERROR(VLOOKUP(--SUBSTITUTE(SUBSTITUTE(TRIM($K1998),"-","")," ",""),마스터시트!$A$2:$H$1946,4,FALSE),""))</f>
        <v/>
      </c>
      <c r="P1998" s="18" t="str">
        <f>IF($K1998="","",IFERROR(VLOOKUP(--SUBSTITUTE(SUBSTITUTE(TRIM($K1998),"-","")," ",""),마스터시트!$A$2:$H$1946,5,FALSE),""))</f>
        <v/>
      </c>
      <c r="Q1998" s="18" t="str">
        <f>IF($K1998="","",IFERROR(VLOOKUP(--SUBSTITUTE(SUBSTITUTE(TRIM($K1998),"-","")," ",""),마스터시트!$A$2:$H$1946,6,FALSE),""))</f>
        <v/>
      </c>
      <c r="R1998" s="18" t="str">
        <f>IF($K1998="","",IFERROR(VLOOKUP(--SUBSTITUTE(SUBSTITUTE(TRIM($K1998),"-","")," ",""),마스터시트!$A$2:$H$1946,7,FALSE),""))</f>
        <v/>
      </c>
    </row>
    <row r="1999" spans="13:18" x14ac:dyDescent="0.3">
      <c r="M1999" s="18" t="str">
        <f>IF($K1999="","",IFERROR(VLOOKUP(--SUBSTITUTE(SUBSTITUTE(TRIM($K1999),"-","")," ",""),마스터시트!$A$2:$H$1946,2,FALSE),"미등록"))</f>
        <v/>
      </c>
      <c r="N1999" s="53" t="str">
        <f>IF($K1999="","",IFERROR(VLOOKUP(--SUBSTITUTE(SUBSTITUTE(TRIM($K1999),"-","")," ",""),마스터시트!$A$2:$H$1946,3,FALSE),"미등록"))</f>
        <v/>
      </c>
      <c r="O1999" s="18" t="str">
        <f>IF($K1999="","",IFERROR(VLOOKUP(--SUBSTITUTE(SUBSTITUTE(TRIM($K1999),"-","")," ",""),마스터시트!$A$2:$H$1946,4,FALSE),""))</f>
        <v/>
      </c>
      <c r="P1999" s="18" t="str">
        <f>IF($K1999="","",IFERROR(VLOOKUP(--SUBSTITUTE(SUBSTITUTE(TRIM($K1999),"-","")," ",""),마스터시트!$A$2:$H$1946,5,FALSE),""))</f>
        <v/>
      </c>
      <c r="Q1999" s="18" t="str">
        <f>IF($K1999="","",IFERROR(VLOOKUP(--SUBSTITUTE(SUBSTITUTE(TRIM($K1999),"-","")," ",""),마스터시트!$A$2:$H$1946,6,FALSE),""))</f>
        <v/>
      </c>
      <c r="R1999" s="18" t="str">
        <f>IF($K1999="","",IFERROR(VLOOKUP(--SUBSTITUTE(SUBSTITUTE(TRIM($K1999),"-","")," ",""),마스터시트!$A$2:$H$1946,7,FALSE),""))</f>
        <v/>
      </c>
    </row>
    <row r="2000" spans="13:18" x14ac:dyDescent="0.3">
      <c r="M2000" s="18" t="str">
        <f>IF($K2000="","",IFERROR(VLOOKUP(--SUBSTITUTE(SUBSTITUTE(TRIM($K2000),"-","")," ",""),마스터시트!$A$2:$H$1946,2,FALSE),"미등록"))</f>
        <v/>
      </c>
      <c r="N2000" s="53" t="str">
        <f>IF($K2000="","",IFERROR(VLOOKUP(--SUBSTITUTE(SUBSTITUTE(TRIM($K2000),"-","")," ",""),마스터시트!$A$2:$H$1946,3,FALSE),"미등록"))</f>
        <v/>
      </c>
      <c r="O2000" s="18" t="str">
        <f>IF($K2000="","",IFERROR(VLOOKUP(--SUBSTITUTE(SUBSTITUTE(TRIM($K2000),"-","")," ",""),마스터시트!$A$2:$H$1946,4,FALSE),""))</f>
        <v/>
      </c>
      <c r="P2000" s="18" t="str">
        <f>IF($K2000="","",IFERROR(VLOOKUP(--SUBSTITUTE(SUBSTITUTE(TRIM($K2000),"-","")," ",""),마스터시트!$A$2:$H$1946,5,FALSE),""))</f>
        <v/>
      </c>
      <c r="Q2000" s="18" t="str">
        <f>IF($K2000="","",IFERROR(VLOOKUP(--SUBSTITUTE(SUBSTITUTE(TRIM($K2000),"-","")," ",""),마스터시트!$A$2:$H$1946,6,FALSE),""))</f>
        <v/>
      </c>
      <c r="R2000" s="18" t="str">
        <f>IF($K2000="","",IFERROR(VLOOKUP(--SUBSTITUTE(SUBSTITUTE(TRIM($K2000),"-","")," ",""),마스터시트!$A$2:$H$1946,7,FALSE),""))</f>
        <v/>
      </c>
    </row>
  </sheetData>
  <mergeCells count="5">
    <mergeCell ref="A2:L2"/>
    <mergeCell ref="A1:G1"/>
    <mergeCell ref="A5:L5"/>
    <mergeCell ref="A3:L3"/>
    <mergeCell ref="A4:L4"/>
  </mergeCells>
  <phoneticPr fontId="2" type="noConversion"/>
  <conditionalFormatting sqref="A4:L4">
    <cfRule type="expression" dxfId="43" priority="22">
      <formula>AND($K7&lt;&gt;"",$M7="")</formula>
    </cfRule>
  </conditionalFormatting>
  <conditionalFormatting sqref="M7:M106">
    <cfRule type="expression" dxfId="42" priority="16">
      <formula>$O7="확인"</formula>
    </cfRule>
    <cfRule type="expression" dxfId="41" priority="17">
      <formula>$P7="중복"</formula>
    </cfRule>
    <cfRule type="expression" dxfId="40" priority="18">
      <formula>$Q7="확인"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946"/>
  <sheetViews>
    <sheetView tabSelected="1" topLeftCell="A547" workbookViewId="0">
      <selection activeCell="D560" sqref="D560"/>
    </sheetView>
  </sheetViews>
  <sheetFormatPr defaultColWidth="9" defaultRowHeight="16.5" x14ac:dyDescent="0.3"/>
  <cols>
    <col min="1" max="1" width="25.625" style="36" bestFit="1" customWidth="1"/>
    <col min="2" max="2" width="19.25" style="20" customWidth="1"/>
    <col min="3" max="3" width="13.375" style="20" customWidth="1"/>
    <col min="4" max="4" width="45.5" style="20" customWidth="1"/>
    <col min="5" max="6" width="14" style="20" customWidth="1"/>
    <col min="7" max="8" width="22.75" style="20" customWidth="1"/>
    <col min="9" max="9" width="12.25" style="20" hidden="1" customWidth="1"/>
    <col min="10" max="11" width="14" style="20" hidden="1" customWidth="1"/>
    <col min="12" max="12" width="17.5" style="20" hidden="1" customWidth="1"/>
    <col min="13" max="13" width="15.75" style="20" customWidth="1"/>
    <col min="14" max="14" width="13.375" style="20" customWidth="1"/>
    <col min="15" max="15" width="14.875" style="20" customWidth="1"/>
    <col min="16" max="16" width="11.125" style="20" customWidth="1"/>
    <col min="17" max="17" width="10.5" style="20" customWidth="1"/>
    <col min="18" max="18" width="9" style="20" customWidth="1"/>
    <col min="19" max="16384" width="9" style="20"/>
  </cols>
  <sheetData>
    <row r="1" spans="1:17" ht="32.1" customHeight="1" x14ac:dyDescent="0.3">
      <c r="A1" s="6" t="s">
        <v>15</v>
      </c>
      <c r="B1" s="31" t="s">
        <v>64</v>
      </c>
      <c r="C1" s="31" t="s">
        <v>65</v>
      </c>
      <c r="D1" s="31" t="s">
        <v>66</v>
      </c>
      <c r="E1" s="31" t="s">
        <v>67</v>
      </c>
      <c r="F1" s="31" t="s">
        <v>68</v>
      </c>
      <c r="G1" s="31" t="s">
        <v>69</v>
      </c>
      <c r="H1" s="31" t="s">
        <v>70</v>
      </c>
      <c r="I1" s="31" t="s">
        <v>71</v>
      </c>
      <c r="J1" s="31" t="s">
        <v>72</v>
      </c>
      <c r="K1" s="31" t="s">
        <v>73</v>
      </c>
      <c r="L1" s="31" t="s">
        <v>74</v>
      </c>
      <c r="M1" s="31" t="s">
        <v>75</v>
      </c>
      <c r="N1" s="31" t="s">
        <v>76</v>
      </c>
      <c r="O1" s="31" t="s">
        <v>77</v>
      </c>
      <c r="P1" s="32" t="s">
        <v>78</v>
      </c>
      <c r="Q1" s="19" t="s">
        <v>79</v>
      </c>
    </row>
    <row r="2" spans="1:17" ht="20.100000000000001" customHeight="1" x14ac:dyDescent="0.3">
      <c r="A2" s="33">
        <v>5728600377</v>
      </c>
      <c r="B2" s="21" t="s">
        <v>80</v>
      </c>
      <c r="C2" s="21" t="s">
        <v>81</v>
      </c>
      <c r="D2" s="21" t="s">
        <v>82</v>
      </c>
      <c r="E2" s="21" t="s">
        <v>83</v>
      </c>
      <c r="F2" s="21" t="s">
        <v>84</v>
      </c>
      <c r="G2" s="21" t="s">
        <v>85</v>
      </c>
      <c r="H2" s="22"/>
      <c r="I2" s="22"/>
      <c r="J2" s="22"/>
      <c r="K2" s="22"/>
      <c r="L2" s="22"/>
      <c r="M2" s="22" t="s">
        <v>86</v>
      </c>
      <c r="N2" s="23">
        <v>46083</v>
      </c>
      <c r="O2" s="24" t="str">
        <f t="shared" ref="O2:O65" si="0">IF(A2="","",IFERROR(IF(AND(LEN(A2)=10,NOT(ISERROR(VALUE(A2)))),"OK","확인"),"확인"))</f>
        <v>OK</v>
      </c>
      <c r="P2" s="29" t="str">
        <f t="shared" ref="P2:P65" si="1">IF(A2="","",IF(COUNTIF($A$2:$A$1946,A2)&gt;1,"중복",""))</f>
        <v/>
      </c>
      <c r="Q2" s="24" t="str">
        <f t="shared" ref="Q2:Q65" si="2">IF(G2="","",IF(ISNUMBER(SEARCH("@",G2)),"","확인"))</f>
        <v/>
      </c>
    </row>
    <row r="3" spans="1:17" x14ac:dyDescent="0.3">
      <c r="A3" s="33">
        <v>2238119907</v>
      </c>
      <c r="B3" s="21" t="s">
        <v>87</v>
      </c>
      <c r="C3" s="21" t="s">
        <v>88</v>
      </c>
      <c r="D3" s="21" t="s">
        <v>89</v>
      </c>
      <c r="E3" s="21" t="s">
        <v>83</v>
      </c>
      <c r="F3" s="21" t="s">
        <v>90</v>
      </c>
      <c r="G3" s="21" t="s">
        <v>91</v>
      </c>
      <c r="H3" s="25"/>
      <c r="I3" s="25"/>
      <c r="J3" s="25"/>
      <c r="K3" s="25"/>
      <c r="L3" s="25"/>
      <c r="M3" s="22" t="s">
        <v>86</v>
      </c>
      <c r="N3" s="23">
        <v>46083</v>
      </c>
      <c r="O3" s="26" t="str">
        <f t="shared" si="0"/>
        <v>OK</v>
      </c>
      <c r="P3" s="30" t="str">
        <f t="shared" si="1"/>
        <v/>
      </c>
      <c r="Q3" s="26" t="str">
        <f t="shared" si="2"/>
        <v/>
      </c>
    </row>
    <row r="4" spans="1:17" x14ac:dyDescent="0.3">
      <c r="A4" s="33">
        <v>4018152976</v>
      </c>
      <c r="B4" s="21" t="s">
        <v>92</v>
      </c>
      <c r="C4" s="21" t="s">
        <v>93</v>
      </c>
      <c r="D4" s="21" t="s">
        <v>94</v>
      </c>
      <c r="E4" s="21" t="s">
        <v>95</v>
      </c>
      <c r="F4" s="21" t="s">
        <v>96</v>
      </c>
      <c r="G4" s="21" t="s">
        <v>97</v>
      </c>
      <c r="H4" s="25"/>
      <c r="I4" s="25"/>
      <c r="J4" s="25"/>
      <c r="K4" s="25"/>
      <c r="L4" s="25"/>
      <c r="M4" s="22" t="s">
        <v>86</v>
      </c>
      <c r="N4" s="23">
        <v>46083</v>
      </c>
      <c r="O4" s="26" t="str">
        <f t="shared" si="0"/>
        <v>OK</v>
      </c>
      <c r="P4" s="30" t="str">
        <f t="shared" si="1"/>
        <v/>
      </c>
      <c r="Q4" s="26" t="str">
        <f t="shared" si="2"/>
        <v/>
      </c>
    </row>
    <row r="5" spans="1:17" x14ac:dyDescent="0.3">
      <c r="A5" s="33">
        <v>3628700175</v>
      </c>
      <c r="B5" s="21" t="s">
        <v>98</v>
      </c>
      <c r="C5" s="21" t="s">
        <v>99</v>
      </c>
      <c r="D5" s="21" t="s">
        <v>100</v>
      </c>
      <c r="E5" s="21" t="s">
        <v>83</v>
      </c>
      <c r="F5" s="21" t="s">
        <v>101</v>
      </c>
      <c r="G5" s="21" t="s">
        <v>102</v>
      </c>
      <c r="H5" s="25"/>
      <c r="I5" s="25"/>
      <c r="J5" s="25"/>
      <c r="K5" s="25"/>
      <c r="L5" s="25"/>
      <c r="M5" s="22" t="s">
        <v>86</v>
      </c>
      <c r="N5" s="23">
        <v>46083</v>
      </c>
      <c r="O5" s="26" t="str">
        <f t="shared" si="0"/>
        <v>OK</v>
      </c>
      <c r="P5" s="30" t="str">
        <f t="shared" si="1"/>
        <v/>
      </c>
      <c r="Q5" s="26" t="str">
        <f t="shared" si="2"/>
        <v/>
      </c>
    </row>
    <row r="6" spans="1:17" x14ac:dyDescent="0.3">
      <c r="A6" s="33">
        <v>4188110256</v>
      </c>
      <c r="B6" s="21" t="s">
        <v>103</v>
      </c>
      <c r="C6" s="21" t="s">
        <v>104</v>
      </c>
      <c r="D6" s="21" t="s">
        <v>105</v>
      </c>
      <c r="E6" s="21" t="s">
        <v>83</v>
      </c>
      <c r="F6" s="21" t="s">
        <v>106</v>
      </c>
      <c r="G6" s="21" t="s">
        <v>107</v>
      </c>
      <c r="H6" s="25"/>
      <c r="I6" s="25"/>
      <c r="J6" s="25"/>
      <c r="K6" s="25"/>
      <c r="L6" s="25"/>
      <c r="M6" s="22" t="s">
        <v>86</v>
      </c>
      <c r="N6" s="23">
        <v>46083</v>
      </c>
      <c r="O6" s="26" t="str">
        <f t="shared" si="0"/>
        <v>OK</v>
      </c>
      <c r="P6" s="30" t="str">
        <f t="shared" si="1"/>
        <v/>
      </c>
      <c r="Q6" s="26" t="str">
        <f t="shared" si="2"/>
        <v/>
      </c>
    </row>
    <row r="7" spans="1:17" x14ac:dyDescent="0.3">
      <c r="A7" s="33">
        <v>3148139437</v>
      </c>
      <c r="B7" s="21" t="s">
        <v>108</v>
      </c>
      <c r="C7" s="21" t="s">
        <v>109</v>
      </c>
      <c r="D7" s="21" t="s">
        <v>110</v>
      </c>
      <c r="E7" s="21" t="s">
        <v>111</v>
      </c>
      <c r="F7" s="21" t="s">
        <v>112</v>
      </c>
      <c r="G7" s="21" t="s">
        <v>113</v>
      </c>
      <c r="H7" s="25"/>
      <c r="I7" s="25"/>
      <c r="J7" s="25"/>
      <c r="K7" s="25"/>
      <c r="L7" s="25"/>
      <c r="M7" s="22" t="s">
        <v>86</v>
      </c>
      <c r="N7" s="23">
        <v>46083</v>
      </c>
      <c r="O7" s="26" t="str">
        <f t="shared" si="0"/>
        <v>OK</v>
      </c>
      <c r="P7" s="30" t="str">
        <f t="shared" si="1"/>
        <v/>
      </c>
      <c r="Q7" s="26" t="str">
        <f t="shared" si="2"/>
        <v/>
      </c>
    </row>
    <row r="8" spans="1:17" x14ac:dyDescent="0.3">
      <c r="A8" s="33">
        <v>4038182030</v>
      </c>
      <c r="B8" s="21" t="s">
        <v>114</v>
      </c>
      <c r="C8" s="21" t="s">
        <v>115</v>
      </c>
      <c r="D8" s="21" t="s">
        <v>116</v>
      </c>
      <c r="E8" s="21" t="s">
        <v>117</v>
      </c>
      <c r="F8" s="21" t="s">
        <v>118</v>
      </c>
      <c r="G8" s="21" t="s">
        <v>119</v>
      </c>
      <c r="H8" s="25"/>
      <c r="I8" s="25"/>
      <c r="J8" s="25"/>
      <c r="K8" s="25"/>
      <c r="L8" s="25"/>
      <c r="M8" s="22" t="s">
        <v>86</v>
      </c>
      <c r="N8" s="23">
        <v>46083</v>
      </c>
      <c r="O8" s="26" t="str">
        <f t="shared" si="0"/>
        <v>OK</v>
      </c>
      <c r="P8" s="30" t="str">
        <f t="shared" si="1"/>
        <v/>
      </c>
      <c r="Q8" s="26" t="str">
        <f t="shared" si="2"/>
        <v/>
      </c>
    </row>
    <row r="9" spans="1:17" x14ac:dyDescent="0.3">
      <c r="A9" s="33">
        <v>1058768121</v>
      </c>
      <c r="B9" s="21" t="s">
        <v>120</v>
      </c>
      <c r="C9" s="21" t="s">
        <v>121</v>
      </c>
      <c r="D9" s="21" t="s">
        <v>122</v>
      </c>
      <c r="E9" s="21" t="s">
        <v>83</v>
      </c>
      <c r="F9" s="21" t="s">
        <v>123</v>
      </c>
      <c r="G9" s="21" t="s">
        <v>124</v>
      </c>
      <c r="H9" s="25"/>
      <c r="I9" s="25"/>
      <c r="J9" s="25"/>
      <c r="K9" s="25"/>
      <c r="L9" s="25"/>
      <c r="M9" s="22" t="s">
        <v>86</v>
      </c>
      <c r="N9" s="23">
        <v>46083</v>
      </c>
      <c r="O9" s="26" t="str">
        <f t="shared" si="0"/>
        <v>OK</v>
      </c>
      <c r="P9" s="30" t="str">
        <f t="shared" si="1"/>
        <v/>
      </c>
      <c r="Q9" s="26" t="str">
        <f t="shared" si="2"/>
        <v/>
      </c>
    </row>
    <row r="10" spans="1:17" x14ac:dyDescent="0.3">
      <c r="A10" s="33">
        <v>6148701041</v>
      </c>
      <c r="B10" s="21" t="s">
        <v>125</v>
      </c>
      <c r="C10" s="21" t="s">
        <v>126</v>
      </c>
      <c r="D10" s="21" t="s">
        <v>127</v>
      </c>
      <c r="E10" s="21" t="s">
        <v>83</v>
      </c>
      <c r="F10" s="21" t="s">
        <v>128</v>
      </c>
      <c r="G10" s="21" t="s">
        <v>129</v>
      </c>
      <c r="H10" s="25"/>
      <c r="I10" s="25"/>
      <c r="J10" s="25"/>
      <c r="K10" s="25"/>
      <c r="L10" s="25"/>
      <c r="M10" s="22" t="s">
        <v>86</v>
      </c>
      <c r="N10" s="23">
        <v>46083</v>
      </c>
      <c r="O10" s="26" t="str">
        <f t="shared" si="0"/>
        <v>OK</v>
      </c>
      <c r="P10" s="30" t="str">
        <f t="shared" si="1"/>
        <v/>
      </c>
      <c r="Q10" s="26" t="str">
        <f t="shared" si="2"/>
        <v/>
      </c>
    </row>
    <row r="11" spans="1:17" x14ac:dyDescent="0.3">
      <c r="A11" s="33">
        <v>5088140112</v>
      </c>
      <c r="B11" s="21" t="s">
        <v>130</v>
      </c>
      <c r="C11" s="21" t="s">
        <v>131</v>
      </c>
      <c r="D11" s="21" t="s">
        <v>132</v>
      </c>
      <c r="E11" s="21" t="s">
        <v>83</v>
      </c>
      <c r="F11" s="21" t="s">
        <v>133</v>
      </c>
      <c r="G11" s="21" t="s">
        <v>134</v>
      </c>
      <c r="H11" s="25"/>
      <c r="I11" s="25"/>
      <c r="J11" s="25"/>
      <c r="K11" s="25"/>
      <c r="L11" s="25"/>
      <c r="M11" s="22" t="s">
        <v>86</v>
      </c>
      <c r="N11" s="23">
        <v>46083</v>
      </c>
      <c r="O11" s="26" t="str">
        <f t="shared" si="0"/>
        <v>OK</v>
      </c>
      <c r="P11" s="30" t="str">
        <f t="shared" si="1"/>
        <v/>
      </c>
      <c r="Q11" s="26" t="str">
        <f t="shared" si="2"/>
        <v/>
      </c>
    </row>
    <row r="12" spans="1:17" x14ac:dyDescent="0.3">
      <c r="A12" s="33">
        <v>4188115265</v>
      </c>
      <c r="B12" s="21" t="s">
        <v>135</v>
      </c>
      <c r="C12" s="21" t="s">
        <v>136</v>
      </c>
      <c r="D12" s="21" t="s">
        <v>137</v>
      </c>
      <c r="E12" s="21" t="s">
        <v>83</v>
      </c>
      <c r="F12" s="21" t="s">
        <v>138</v>
      </c>
      <c r="G12" s="21" t="s">
        <v>139</v>
      </c>
      <c r="H12" s="25"/>
      <c r="I12" s="25"/>
      <c r="J12" s="25"/>
      <c r="K12" s="25"/>
      <c r="L12" s="25"/>
      <c r="M12" s="22" t="s">
        <v>86</v>
      </c>
      <c r="N12" s="23">
        <v>46083</v>
      </c>
      <c r="O12" s="26" t="str">
        <f t="shared" si="0"/>
        <v>OK</v>
      </c>
      <c r="P12" s="30" t="str">
        <f t="shared" si="1"/>
        <v/>
      </c>
      <c r="Q12" s="26" t="str">
        <f t="shared" si="2"/>
        <v/>
      </c>
    </row>
    <row r="13" spans="1:17" x14ac:dyDescent="0.3">
      <c r="A13" s="33">
        <v>7158800245</v>
      </c>
      <c r="B13" s="21" t="s">
        <v>140</v>
      </c>
      <c r="C13" s="21" t="s">
        <v>141</v>
      </c>
      <c r="D13" s="21" t="s">
        <v>142</v>
      </c>
      <c r="E13" s="21" t="s">
        <v>83</v>
      </c>
      <c r="F13" s="21" t="s">
        <v>143</v>
      </c>
      <c r="G13" s="21" t="s">
        <v>144</v>
      </c>
      <c r="H13" s="25"/>
      <c r="I13" s="25"/>
      <c r="J13" s="25"/>
      <c r="K13" s="25"/>
      <c r="L13" s="25"/>
      <c r="M13" s="22" t="s">
        <v>86</v>
      </c>
      <c r="N13" s="23">
        <v>46083</v>
      </c>
      <c r="O13" s="26" t="str">
        <f t="shared" si="0"/>
        <v>OK</v>
      </c>
      <c r="P13" s="30" t="str">
        <f t="shared" si="1"/>
        <v/>
      </c>
      <c r="Q13" s="26" t="str">
        <f t="shared" si="2"/>
        <v/>
      </c>
    </row>
    <row r="14" spans="1:17" x14ac:dyDescent="0.3">
      <c r="A14" s="33">
        <v>4038177269</v>
      </c>
      <c r="B14" s="21" t="s">
        <v>145</v>
      </c>
      <c r="C14" s="21" t="s">
        <v>146</v>
      </c>
      <c r="D14" s="21" t="s">
        <v>147</v>
      </c>
      <c r="E14" s="21" t="s">
        <v>83</v>
      </c>
      <c r="F14" s="21" t="s">
        <v>148</v>
      </c>
      <c r="G14" s="21" t="s">
        <v>149</v>
      </c>
      <c r="H14" s="25"/>
      <c r="I14" s="25"/>
      <c r="J14" s="25"/>
      <c r="K14" s="25"/>
      <c r="L14" s="25"/>
      <c r="M14" s="22" t="s">
        <v>86</v>
      </c>
      <c r="N14" s="23">
        <v>46083</v>
      </c>
      <c r="O14" s="26" t="str">
        <f t="shared" si="0"/>
        <v>OK</v>
      </c>
      <c r="P14" s="30" t="str">
        <f t="shared" si="1"/>
        <v/>
      </c>
      <c r="Q14" s="26" t="str">
        <f t="shared" si="2"/>
        <v/>
      </c>
    </row>
    <row r="15" spans="1:17" x14ac:dyDescent="0.3">
      <c r="A15" s="33">
        <v>6158192752</v>
      </c>
      <c r="B15" s="21" t="s">
        <v>150</v>
      </c>
      <c r="C15" s="21" t="s">
        <v>151</v>
      </c>
      <c r="D15" s="21" t="s">
        <v>152</v>
      </c>
      <c r="E15" s="21" t="s">
        <v>153</v>
      </c>
      <c r="F15" s="21" t="s">
        <v>154</v>
      </c>
      <c r="G15" s="21"/>
      <c r="H15" s="25"/>
      <c r="I15" s="25"/>
      <c r="J15" s="25"/>
      <c r="K15" s="25"/>
      <c r="L15" s="25"/>
      <c r="M15" s="22" t="s">
        <v>86</v>
      </c>
      <c r="N15" s="23">
        <v>46083</v>
      </c>
      <c r="O15" s="26" t="str">
        <f t="shared" si="0"/>
        <v>OK</v>
      </c>
      <c r="P15" s="30" t="str">
        <f t="shared" si="1"/>
        <v/>
      </c>
      <c r="Q15" s="26" t="str">
        <f t="shared" si="2"/>
        <v/>
      </c>
    </row>
    <row r="16" spans="1:17" x14ac:dyDescent="0.3">
      <c r="A16" s="33">
        <v>2208110950</v>
      </c>
      <c r="B16" s="21" t="s">
        <v>155</v>
      </c>
      <c r="C16" s="21" t="s">
        <v>156</v>
      </c>
      <c r="D16" s="21" t="s">
        <v>157</v>
      </c>
      <c r="E16" s="21" t="s">
        <v>83</v>
      </c>
      <c r="F16" s="21" t="s">
        <v>158</v>
      </c>
      <c r="G16" s="21" t="s">
        <v>159</v>
      </c>
      <c r="H16" s="21" t="s">
        <v>160</v>
      </c>
      <c r="I16" s="25"/>
      <c r="J16" s="25"/>
      <c r="K16" s="25"/>
      <c r="L16" s="25"/>
      <c r="M16" s="22" t="s">
        <v>86</v>
      </c>
      <c r="N16" s="23">
        <v>46083</v>
      </c>
      <c r="O16" s="26" t="str">
        <f t="shared" si="0"/>
        <v>OK</v>
      </c>
      <c r="P16" s="30" t="str">
        <f t="shared" si="1"/>
        <v/>
      </c>
      <c r="Q16" s="26" t="str">
        <f t="shared" si="2"/>
        <v/>
      </c>
    </row>
    <row r="17" spans="1:17" x14ac:dyDescent="0.3">
      <c r="A17" s="33">
        <v>1318178140</v>
      </c>
      <c r="B17" s="21" t="s">
        <v>161</v>
      </c>
      <c r="C17" s="21" t="s">
        <v>162</v>
      </c>
      <c r="D17" s="21" t="s">
        <v>163</v>
      </c>
      <c r="E17" s="21" t="s">
        <v>111</v>
      </c>
      <c r="F17" s="21" t="s">
        <v>164</v>
      </c>
      <c r="G17" s="21" t="s">
        <v>165</v>
      </c>
      <c r="H17" s="25"/>
      <c r="I17" s="25"/>
      <c r="J17" s="25"/>
      <c r="K17" s="25"/>
      <c r="L17" s="25"/>
      <c r="M17" s="22" t="s">
        <v>86</v>
      </c>
      <c r="N17" s="23">
        <v>46083</v>
      </c>
      <c r="O17" s="26" t="str">
        <f t="shared" si="0"/>
        <v>OK</v>
      </c>
      <c r="P17" s="30" t="str">
        <f t="shared" si="1"/>
        <v/>
      </c>
      <c r="Q17" s="26" t="str">
        <f t="shared" si="2"/>
        <v/>
      </c>
    </row>
    <row r="18" spans="1:17" x14ac:dyDescent="0.3">
      <c r="A18" s="33">
        <v>4028612142</v>
      </c>
      <c r="B18" s="21" t="s">
        <v>166</v>
      </c>
      <c r="C18" s="21" t="s">
        <v>167</v>
      </c>
      <c r="D18" s="21" t="s">
        <v>168</v>
      </c>
      <c r="E18" s="21" t="s">
        <v>83</v>
      </c>
      <c r="F18" s="21" t="s">
        <v>84</v>
      </c>
      <c r="G18" s="21" t="s">
        <v>169</v>
      </c>
      <c r="H18" s="25"/>
      <c r="I18" s="25"/>
      <c r="J18" s="25"/>
      <c r="K18" s="25"/>
      <c r="L18" s="25"/>
      <c r="M18" s="22" t="s">
        <v>86</v>
      </c>
      <c r="N18" s="23">
        <v>46083</v>
      </c>
      <c r="O18" s="26" t="str">
        <f t="shared" si="0"/>
        <v>OK</v>
      </c>
      <c r="P18" s="30" t="str">
        <f t="shared" si="1"/>
        <v/>
      </c>
      <c r="Q18" s="26" t="str">
        <f t="shared" si="2"/>
        <v/>
      </c>
    </row>
    <row r="19" spans="1:17" x14ac:dyDescent="0.3">
      <c r="A19" s="33">
        <v>3048701881</v>
      </c>
      <c r="B19" s="21" t="s">
        <v>170</v>
      </c>
      <c r="C19" s="21" t="s">
        <v>171</v>
      </c>
      <c r="D19" s="21" t="s">
        <v>172</v>
      </c>
      <c r="E19" s="21" t="s">
        <v>173</v>
      </c>
      <c r="F19" s="21" t="s">
        <v>174</v>
      </c>
      <c r="G19" s="21" t="s">
        <v>175</v>
      </c>
      <c r="H19" s="25"/>
      <c r="I19" s="25"/>
      <c r="J19" s="25"/>
      <c r="K19" s="25"/>
      <c r="L19" s="25"/>
      <c r="M19" s="22" t="s">
        <v>86</v>
      </c>
      <c r="N19" s="23">
        <v>46083</v>
      </c>
      <c r="O19" s="26" t="str">
        <f t="shared" si="0"/>
        <v>OK</v>
      </c>
      <c r="P19" s="30" t="str">
        <f t="shared" si="1"/>
        <v/>
      </c>
      <c r="Q19" s="26" t="str">
        <f t="shared" si="2"/>
        <v/>
      </c>
    </row>
    <row r="20" spans="1:17" x14ac:dyDescent="0.3">
      <c r="A20" s="33">
        <v>3478103657</v>
      </c>
      <c r="B20" s="21" t="s">
        <v>176</v>
      </c>
      <c r="C20" s="21" t="s">
        <v>177</v>
      </c>
      <c r="D20" s="21" t="s">
        <v>178</v>
      </c>
      <c r="E20" s="21" t="s">
        <v>179</v>
      </c>
      <c r="F20" s="21" t="s">
        <v>180</v>
      </c>
      <c r="G20" s="21" t="s">
        <v>181</v>
      </c>
      <c r="H20" s="25"/>
      <c r="I20" s="25"/>
      <c r="J20" s="25"/>
      <c r="K20" s="25"/>
      <c r="L20" s="25"/>
      <c r="M20" s="22" t="s">
        <v>86</v>
      </c>
      <c r="N20" s="23">
        <v>46083</v>
      </c>
      <c r="O20" s="26" t="str">
        <f t="shared" si="0"/>
        <v>OK</v>
      </c>
      <c r="P20" s="30" t="str">
        <f t="shared" si="1"/>
        <v/>
      </c>
      <c r="Q20" s="26" t="str">
        <f t="shared" si="2"/>
        <v/>
      </c>
    </row>
    <row r="21" spans="1:17" x14ac:dyDescent="0.3">
      <c r="A21" s="33">
        <v>1313115043</v>
      </c>
      <c r="B21" s="21" t="s">
        <v>182</v>
      </c>
      <c r="C21" s="21" t="s">
        <v>183</v>
      </c>
      <c r="D21" s="21" t="s">
        <v>184</v>
      </c>
      <c r="E21" s="21" t="s">
        <v>83</v>
      </c>
      <c r="F21" s="21" t="s">
        <v>185</v>
      </c>
      <c r="G21" s="21" t="s">
        <v>186</v>
      </c>
      <c r="H21" s="25"/>
      <c r="I21" s="25"/>
      <c r="J21" s="25"/>
      <c r="K21" s="25"/>
      <c r="L21" s="25"/>
      <c r="M21" s="22" t="s">
        <v>86</v>
      </c>
      <c r="N21" s="23">
        <v>46083</v>
      </c>
      <c r="O21" s="26" t="str">
        <f t="shared" si="0"/>
        <v>OK</v>
      </c>
      <c r="P21" s="30" t="str">
        <f t="shared" si="1"/>
        <v/>
      </c>
      <c r="Q21" s="26" t="str">
        <f t="shared" si="2"/>
        <v/>
      </c>
    </row>
    <row r="22" spans="1:17" x14ac:dyDescent="0.3">
      <c r="A22" s="33">
        <v>4181461597</v>
      </c>
      <c r="B22" s="21" t="s">
        <v>187</v>
      </c>
      <c r="C22" s="21" t="s">
        <v>188</v>
      </c>
      <c r="D22" s="21" t="s">
        <v>189</v>
      </c>
      <c r="E22" s="21" t="s">
        <v>190</v>
      </c>
      <c r="F22" s="21" t="s">
        <v>191</v>
      </c>
      <c r="G22" s="21" t="s">
        <v>192</v>
      </c>
      <c r="H22" s="25"/>
      <c r="I22" s="25"/>
      <c r="J22" s="25"/>
      <c r="K22" s="25"/>
      <c r="L22" s="25"/>
      <c r="M22" s="22" t="s">
        <v>86</v>
      </c>
      <c r="N22" s="23">
        <v>46083</v>
      </c>
      <c r="O22" s="26" t="str">
        <f t="shared" si="0"/>
        <v>OK</v>
      </c>
      <c r="P22" s="30" t="str">
        <f t="shared" si="1"/>
        <v/>
      </c>
      <c r="Q22" s="26" t="str">
        <f t="shared" si="2"/>
        <v/>
      </c>
    </row>
    <row r="23" spans="1:17" x14ac:dyDescent="0.3">
      <c r="A23" s="33">
        <v>2035006821</v>
      </c>
      <c r="B23" s="21" t="s">
        <v>193</v>
      </c>
      <c r="C23" s="21" t="s">
        <v>194</v>
      </c>
      <c r="D23" s="21" t="s">
        <v>195</v>
      </c>
      <c r="E23" s="21" t="s">
        <v>179</v>
      </c>
      <c r="F23" s="21" t="s">
        <v>196</v>
      </c>
      <c r="G23" s="21" t="s">
        <v>197</v>
      </c>
      <c r="H23" s="25"/>
      <c r="I23" s="25"/>
      <c r="J23" s="25"/>
      <c r="K23" s="25"/>
      <c r="L23" s="25"/>
      <c r="M23" s="22" t="s">
        <v>86</v>
      </c>
      <c r="N23" s="23">
        <v>46083</v>
      </c>
      <c r="O23" s="26" t="str">
        <f t="shared" si="0"/>
        <v>OK</v>
      </c>
      <c r="P23" s="30" t="str">
        <f t="shared" si="1"/>
        <v/>
      </c>
      <c r="Q23" s="26" t="str">
        <f t="shared" si="2"/>
        <v/>
      </c>
    </row>
    <row r="24" spans="1:17" x14ac:dyDescent="0.3">
      <c r="A24" s="33">
        <v>6431102441</v>
      </c>
      <c r="B24" s="21" t="s">
        <v>198</v>
      </c>
      <c r="C24" s="21" t="s">
        <v>199</v>
      </c>
      <c r="D24" s="21" t="s">
        <v>200</v>
      </c>
      <c r="E24" s="21"/>
      <c r="F24" s="21"/>
      <c r="G24" s="21"/>
      <c r="H24" s="25"/>
      <c r="I24" s="25"/>
      <c r="J24" s="25"/>
      <c r="K24" s="25"/>
      <c r="L24" s="25"/>
      <c r="M24" s="22" t="s">
        <v>86</v>
      </c>
      <c r="N24" s="23">
        <v>46083</v>
      </c>
      <c r="O24" s="26" t="str">
        <f t="shared" si="0"/>
        <v>OK</v>
      </c>
      <c r="P24" s="30" t="str">
        <f t="shared" si="1"/>
        <v/>
      </c>
      <c r="Q24" s="26" t="str">
        <f t="shared" si="2"/>
        <v/>
      </c>
    </row>
    <row r="25" spans="1:17" x14ac:dyDescent="0.3">
      <c r="A25" s="33">
        <v>4338701438</v>
      </c>
      <c r="B25" s="21" t="s">
        <v>201</v>
      </c>
      <c r="C25" s="21" t="s">
        <v>202</v>
      </c>
      <c r="D25" s="21" t="s">
        <v>203</v>
      </c>
      <c r="E25" s="21" t="s">
        <v>204</v>
      </c>
      <c r="F25" s="21" t="s">
        <v>205</v>
      </c>
      <c r="G25" s="21"/>
      <c r="H25" s="25"/>
      <c r="I25" s="25"/>
      <c r="J25" s="25"/>
      <c r="K25" s="25"/>
      <c r="L25" s="25"/>
      <c r="M25" s="22" t="s">
        <v>86</v>
      </c>
      <c r="N25" s="23">
        <v>46083</v>
      </c>
      <c r="O25" s="26" t="str">
        <f t="shared" si="0"/>
        <v>OK</v>
      </c>
      <c r="P25" s="30" t="str">
        <f t="shared" si="1"/>
        <v/>
      </c>
      <c r="Q25" s="26" t="str">
        <f t="shared" si="2"/>
        <v/>
      </c>
    </row>
    <row r="26" spans="1:17" x14ac:dyDescent="0.3">
      <c r="A26" s="33">
        <v>7244401166</v>
      </c>
      <c r="B26" s="21" t="s">
        <v>206</v>
      </c>
      <c r="C26" s="21" t="s">
        <v>207</v>
      </c>
      <c r="D26" s="21" t="s">
        <v>208</v>
      </c>
      <c r="E26" s="21" t="s">
        <v>83</v>
      </c>
      <c r="F26" s="21" t="s">
        <v>96</v>
      </c>
      <c r="G26" s="21" t="s">
        <v>209</v>
      </c>
      <c r="H26" s="25"/>
      <c r="I26" s="25"/>
      <c r="J26" s="25"/>
      <c r="K26" s="25"/>
      <c r="L26" s="25"/>
      <c r="M26" s="22" t="s">
        <v>86</v>
      </c>
      <c r="N26" s="23">
        <v>46083</v>
      </c>
      <c r="O26" s="26" t="str">
        <f t="shared" si="0"/>
        <v>OK</v>
      </c>
      <c r="P26" s="30" t="str">
        <f t="shared" si="1"/>
        <v/>
      </c>
      <c r="Q26" s="26" t="str">
        <f t="shared" si="2"/>
        <v/>
      </c>
    </row>
    <row r="27" spans="1:17" x14ac:dyDescent="0.3">
      <c r="A27" s="33">
        <v>3080789188</v>
      </c>
      <c r="B27" s="21" t="s">
        <v>210</v>
      </c>
      <c r="C27" s="21" t="s">
        <v>211</v>
      </c>
      <c r="D27" s="21" t="s">
        <v>212</v>
      </c>
      <c r="E27" s="21" t="s">
        <v>190</v>
      </c>
      <c r="F27" s="21" t="s">
        <v>213</v>
      </c>
      <c r="G27" s="21" t="s">
        <v>214</v>
      </c>
      <c r="H27" s="25"/>
      <c r="I27" s="25"/>
      <c r="J27" s="25"/>
      <c r="K27" s="25"/>
      <c r="L27" s="25"/>
      <c r="M27" s="22" t="s">
        <v>86</v>
      </c>
      <c r="N27" s="23">
        <v>46083</v>
      </c>
      <c r="O27" s="26" t="str">
        <f t="shared" si="0"/>
        <v>OK</v>
      </c>
      <c r="P27" s="30" t="str">
        <f t="shared" si="1"/>
        <v/>
      </c>
      <c r="Q27" s="26" t="str">
        <f t="shared" si="2"/>
        <v/>
      </c>
    </row>
    <row r="28" spans="1:17" x14ac:dyDescent="0.3">
      <c r="A28" s="33">
        <v>4030337411</v>
      </c>
      <c r="B28" s="21" t="s">
        <v>215</v>
      </c>
      <c r="C28" s="21" t="s">
        <v>216</v>
      </c>
      <c r="D28" s="21" t="s">
        <v>217</v>
      </c>
      <c r="E28" s="21" t="s">
        <v>218</v>
      </c>
      <c r="F28" s="21" t="s">
        <v>219</v>
      </c>
      <c r="G28" s="21"/>
      <c r="H28" s="25"/>
      <c r="I28" s="25"/>
      <c r="J28" s="25"/>
      <c r="K28" s="25"/>
      <c r="L28" s="25"/>
      <c r="M28" s="22" t="s">
        <v>86</v>
      </c>
      <c r="N28" s="23">
        <v>46083</v>
      </c>
      <c r="O28" s="26" t="str">
        <f t="shared" si="0"/>
        <v>OK</v>
      </c>
      <c r="P28" s="30" t="str">
        <f t="shared" si="1"/>
        <v/>
      </c>
      <c r="Q28" s="26" t="str">
        <f t="shared" si="2"/>
        <v/>
      </c>
    </row>
    <row r="29" spans="1:17" x14ac:dyDescent="0.3">
      <c r="A29" s="33">
        <v>3128634519</v>
      </c>
      <c r="B29" s="21" t="s">
        <v>220</v>
      </c>
      <c r="C29" s="21" t="s">
        <v>221</v>
      </c>
      <c r="D29" s="21" t="s">
        <v>222</v>
      </c>
      <c r="E29" s="21" t="s">
        <v>83</v>
      </c>
      <c r="F29" s="21" t="s">
        <v>223</v>
      </c>
      <c r="G29" s="21" t="s">
        <v>224</v>
      </c>
      <c r="H29" s="25"/>
      <c r="I29" s="25"/>
      <c r="J29" s="25"/>
      <c r="K29" s="25"/>
      <c r="L29" s="25"/>
      <c r="M29" s="22" t="s">
        <v>86</v>
      </c>
      <c r="N29" s="23">
        <v>46083</v>
      </c>
      <c r="O29" s="26" t="str">
        <f t="shared" si="0"/>
        <v>OK</v>
      </c>
      <c r="P29" s="30" t="str">
        <f t="shared" si="1"/>
        <v/>
      </c>
      <c r="Q29" s="26" t="str">
        <f t="shared" si="2"/>
        <v/>
      </c>
    </row>
    <row r="30" spans="1:17" x14ac:dyDescent="0.3">
      <c r="A30" s="33">
        <v>5724000286</v>
      </c>
      <c r="B30" s="21" t="s">
        <v>225</v>
      </c>
      <c r="C30" s="21" t="s">
        <v>226</v>
      </c>
      <c r="D30" s="21" t="s">
        <v>227</v>
      </c>
      <c r="E30" s="21" t="s">
        <v>190</v>
      </c>
      <c r="F30" s="21" t="s">
        <v>228</v>
      </c>
      <c r="G30" s="21"/>
      <c r="H30" s="25"/>
      <c r="I30" s="25"/>
      <c r="J30" s="25"/>
      <c r="K30" s="25"/>
      <c r="L30" s="25"/>
      <c r="M30" s="22" t="s">
        <v>86</v>
      </c>
      <c r="N30" s="23">
        <v>46083</v>
      </c>
      <c r="O30" s="26" t="str">
        <f t="shared" si="0"/>
        <v>OK</v>
      </c>
      <c r="P30" s="30" t="str">
        <f t="shared" si="1"/>
        <v/>
      </c>
      <c r="Q30" s="26" t="str">
        <f t="shared" si="2"/>
        <v/>
      </c>
    </row>
    <row r="31" spans="1:17" x14ac:dyDescent="0.3">
      <c r="A31" s="33">
        <v>1359619021</v>
      </c>
      <c r="B31" s="21" t="s">
        <v>229</v>
      </c>
      <c r="C31" s="21" t="s">
        <v>230</v>
      </c>
      <c r="D31" s="21" t="s">
        <v>231</v>
      </c>
      <c r="E31" s="21" t="s">
        <v>179</v>
      </c>
      <c r="F31" s="21" t="s">
        <v>232</v>
      </c>
      <c r="G31" s="21" t="s">
        <v>233</v>
      </c>
      <c r="H31" s="25"/>
      <c r="I31" s="25"/>
      <c r="J31" s="25"/>
      <c r="K31" s="25"/>
      <c r="L31" s="25"/>
      <c r="M31" s="22" t="s">
        <v>86</v>
      </c>
      <c r="N31" s="23">
        <v>46083</v>
      </c>
      <c r="O31" s="26" t="str">
        <f t="shared" si="0"/>
        <v>OK</v>
      </c>
      <c r="P31" s="30" t="str">
        <f t="shared" si="1"/>
        <v/>
      </c>
      <c r="Q31" s="26" t="str">
        <f t="shared" si="2"/>
        <v/>
      </c>
    </row>
    <row r="32" spans="1:17" x14ac:dyDescent="0.3">
      <c r="A32" s="33">
        <v>4030378294</v>
      </c>
      <c r="B32" s="21" t="s">
        <v>234</v>
      </c>
      <c r="C32" s="21" t="s">
        <v>235</v>
      </c>
      <c r="D32" s="21" t="s">
        <v>236</v>
      </c>
      <c r="E32" s="21" t="s">
        <v>190</v>
      </c>
      <c r="F32" s="21" t="s">
        <v>237</v>
      </c>
      <c r="G32" s="21" t="s">
        <v>238</v>
      </c>
      <c r="H32" s="25"/>
      <c r="I32" s="25"/>
      <c r="J32" s="25"/>
      <c r="K32" s="25"/>
      <c r="L32" s="25"/>
      <c r="M32" s="22" t="s">
        <v>86</v>
      </c>
      <c r="N32" s="23">
        <v>46083</v>
      </c>
      <c r="O32" s="26" t="str">
        <f t="shared" si="0"/>
        <v>OK</v>
      </c>
      <c r="P32" s="30" t="str">
        <f t="shared" si="1"/>
        <v/>
      </c>
      <c r="Q32" s="26" t="str">
        <f t="shared" si="2"/>
        <v/>
      </c>
    </row>
    <row r="33" spans="1:17" x14ac:dyDescent="0.3">
      <c r="A33" s="33">
        <v>1611900869</v>
      </c>
      <c r="B33" s="21" t="s">
        <v>239</v>
      </c>
      <c r="C33" s="21" t="s">
        <v>240</v>
      </c>
      <c r="D33" s="21" t="s">
        <v>241</v>
      </c>
      <c r="E33" s="21" t="s">
        <v>83</v>
      </c>
      <c r="F33" s="21" t="s">
        <v>242</v>
      </c>
      <c r="G33" s="21" t="s">
        <v>243</v>
      </c>
      <c r="H33" s="25"/>
      <c r="I33" s="25"/>
      <c r="J33" s="25"/>
      <c r="K33" s="25"/>
      <c r="L33" s="25"/>
      <c r="M33" s="22" t="s">
        <v>86</v>
      </c>
      <c r="N33" s="23">
        <v>46083</v>
      </c>
      <c r="O33" s="26" t="str">
        <f t="shared" si="0"/>
        <v>OK</v>
      </c>
      <c r="P33" s="30" t="str">
        <f t="shared" si="1"/>
        <v/>
      </c>
      <c r="Q33" s="26" t="str">
        <f t="shared" si="2"/>
        <v/>
      </c>
    </row>
    <row r="34" spans="1:17" x14ac:dyDescent="0.3">
      <c r="A34" s="33">
        <v>4030619675</v>
      </c>
      <c r="B34" s="21" t="s">
        <v>244</v>
      </c>
      <c r="C34" s="21" t="s">
        <v>245</v>
      </c>
      <c r="D34" s="21" t="s">
        <v>246</v>
      </c>
      <c r="E34" s="21" t="s">
        <v>247</v>
      </c>
      <c r="F34" s="21" t="s">
        <v>248</v>
      </c>
      <c r="G34" s="21"/>
      <c r="H34" s="25"/>
      <c r="I34" s="25"/>
      <c r="J34" s="25"/>
      <c r="K34" s="25"/>
      <c r="L34" s="25"/>
      <c r="M34" s="22" t="s">
        <v>86</v>
      </c>
      <c r="N34" s="23">
        <v>46083</v>
      </c>
      <c r="O34" s="26" t="str">
        <f t="shared" si="0"/>
        <v>OK</v>
      </c>
      <c r="P34" s="30" t="str">
        <f t="shared" si="1"/>
        <v/>
      </c>
      <c r="Q34" s="26" t="str">
        <f t="shared" si="2"/>
        <v/>
      </c>
    </row>
    <row r="35" spans="1:17" x14ac:dyDescent="0.3">
      <c r="A35" s="33">
        <v>1241173595</v>
      </c>
      <c r="B35" s="21" t="s">
        <v>249</v>
      </c>
      <c r="C35" s="21" t="s">
        <v>250</v>
      </c>
      <c r="D35" s="21" t="s">
        <v>251</v>
      </c>
      <c r="E35" s="21" t="s">
        <v>252</v>
      </c>
      <c r="F35" s="21" t="s">
        <v>253</v>
      </c>
      <c r="G35" s="21" t="s">
        <v>254</v>
      </c>
      <c r="H35" s="25"/>
      <c r="I35" s="25"/>
      <c r="J35" s="25"/>
      <c r="K35" s="25"/>
      <c r="L35" s="25"/>
      <c r="M35" s="22" t="s">
        <v>86</v>
      </c>
      <c r="N35" s="23">
        <v>46083</v>
      </c>
      <c r="O35" s="26" t="str">
        <f t="shared" si="0"/>
        <v>OK</v>
      </c>
      <c r="P35" s="30" t="str">
        <f t="shared" si="1"/>
        <v/>
      </c>
      <c r="Q35" s="26" t="str">
        <f t="shared" si="2"/>
        <v/>
      </c>
    </row>
    <row r="36" spans="1:17" x14ac:dyDescent="0.3">
      <c r="A36" s="33">
        <v>4031690793</v>
      </c>
      <c r="B36" s="21" t="s">
        <v>255</v>
      </c>
      <c r="C36" s="21" t="s">
        <v>256</v>
      </c>
      <c r="D36" s="21" t="s">
        <v>257</v>
      </c>
      <c r="E36" s="21" t="s">
        <v>179</v>
      </c>
      <c r="F36" s="21" t="s">
        <v>258</v>
      </c>
      <c r="G36" s="21" t="s">
        <v>259</v>
      </c>
      <c r="H36" s="25"/>
      <c r="I36" s="25"/>
      <c r="J36" s="25"/>
      <c r="K36" s="25"/>
      <c r="L36" s="25"/>
      <c r="M36" s="22" t="s">
        <v>86</v>
      </c>
      <c r="N36" s="23">
        <v>46083</v>
      </c>
      <c r="O36" s="26" t="str">
        <f t="shared" si="0"/>
        <v>OK</v>
      </c>
      <c r="P36" s="30" t="str">
        <f t="shared" si="1"/>
        <v/>
      </c>
      <c r="Q36" s="26" t="str">
        <f t="shared" si="2"/>
        <v/>
      </c>
    </row>
    <row r="37" spans="1:17" x14ac:dyDescent="0.3">
      <c r="A37" s="33">
        <v>4898802005</v>
      </c>
      <c r="B37" s="21" t="s">
        <v>260</v>
      </c>
      <c r="C37" s="21" t="s">
        <v>261</v>
      </c>
      <c r="D37" s="21" t="s">
        <v>262</v>
      </c>
      <c r="E37" s="21" t="s">
        <v>83</v>
      </c>
      <c r="F37" s="21" t="s">
        <v>263</v>
      </c>
      <c r="G37" s="21" t="s">
        <v>264</v>
      </c>
      <c r="H37" s="25"/>
      <c r="I37" s="25"/>
      <c r="J37" s="25"/>
      <c r="K37" s="25"/>
      <c r="L37" s="25"/>
      <c r="M37" s="22" t="s">
        <v>86</v>
      </c>
      <c r="N37" s="23">
        <v>46083</v>
      </c>
      <c r="O37" s="26" t="str">
        <f t="shared" si="0"/>
        <v>OK</v>
      </c>
      <c r="P37" s="30" t="str">
        <f t="shared" si="1"/>
        <v/>
      </c>
      <c r="Q37" s="26" t="str">
        <f t="shared" si="2"/>
        <v/>
      </c>
    </row>
    <row r="38" spans="1:17" x14ac:dyDescent="0.3">
      <c r="A38" s="33">
        <v>4108615761</v>
      </c>
      <c r="B38" s="21" t="s">
        <v>265</v>
      </c>
      <c r="C38" s="21" t="s">
        <v>266</v>
      </c>
      <c r="D38" s="21" t="s">
        <v>267</v>
      </c>
      <c r="E38" s="21" t="s">
        <v>83</v>
      </c>
      <c r="F38" s="21" t="s">
        <v>84</v>
      </c>
      <c r="G38" s="21" t="s">
        <v>268</v>
      </c>
      <c r="H38" s="25"/>
      <c r="I38" s="25"/>
      <c r="J38" s="25"/>
      <c r="K38" s="25"/>
      <c r="L38" s="25"/>
      <c r="M38" s="22" t="s">
        <v>86</v>
      </c>
      <c r="N38" s="23">
        <v>46083</v>
      </c>
      <c r="O38" s="26" t="str">
        <f t="shared" si="0"/>
        <v>OK</v>
      </c>
      <c r="P38" s="30" t="str">
        <f t="shared" si="1"/>
        <v/>
      </c>
      <c r="Q38" s="26" t="str">
        <f t="shared" si="2"/>
        <v/>
      </c>
    </row>
    <row r="39" spans="1:17" x14ac:dyDescent="0.3">
      <c r="A39" s="33">
        <v>5038198467</v>
      </c>
      <c r="B39" s="21" t="s">
        <v>269</v>
      </c>
      <c r="C39" s="21" t="s">
        <v>270</v>
      </c>
      <c r="D39" s="21" t="s">
        <v>271</v>
      </c>
      <c r="E39" s="21" t="s">
        <v>179</v>
      </c>
      <c r="F39" s="21" t="s">
        <v>272</v>
      </c>
      <c r="G39" s="21" t="s">
        <v>273</v>
      </c>
      <c r="H39" s="25"/>
      <c r="I39" s="25"/>
      <c r="J39" s="25"/>
      <c r="K39" s="25"/>
      <c r="L39" s="25"/>
      <c r="M39" s="22" t="s">
        <v>86</v>
      </c>
      <c r="N39" s="23">
        <v>46083</v>
      </c>
      <c r="O39" s="26" t="str">
        <f t="shared" si="0"/>
        <v>OK</v>
      </c>
      <c r="P39" s="30" t="str">
        <f t="shared" si="1"/>
        <v/>
      </c>
      <c r="Q39" s="26" t="str">
        <f t="shared" si="2"/>
        <v/>
      </c>
    </row>
    <row r="40" spans="1:17" x14ac:dyDescent="0.3">
      <c r="A40" s="34">
        <v>4030334243</v>
      </c>
      <c r="B40" s="21" t="s">
        <v>274</v>
      </c>
      <c r="C40" s="21" t="s">
        <v>275</v>
      </c>
      <c r="D40" s="21" t="s">
        <v>276</v>
      </c>
      <c r="E40" s="21" t="s">
        <v>247</v>
      </c>
      <c r="F40" s="21" t="s">
        <v>277</v>
      </c>
      <c r="G40" s="21" t="s">
        <v>278</v>
      </c>
      <c r="H40" s="25"/>
      <c r="I40" s="25"/>
      <c r="J40" s="25"/>
      <c r="K40" s="25"/>
      <c r="L40" s="25"/>
      <c r="M40" s="22" t="s">
        <v>86</v>
      </c>
      <c r="N40" s="23">
        <v>46083</v>
      </c>
      <c r="O40" s="26" t="str">
        <f t="shared" si="0"/>
        <v>OK</v>
      </c>
      <c r="P40" s="30" t="str">
        <f t="shared" si="1"/>
        <v/>
      </c>
      <c r="Q40" s="26" t="str">
        <f t="shared" si="2"/>
        <v/>
      </c>
    </row>
    <row r="41" spans="1:17" x14ac:dyDescent="0.3">
      <c r="A41" s="33">
        <v>4030997518</v>
      </c>
      <c r="B41" s="21" t="s">
        <v>279</v>
      </c>
      <c r="C41" s="21" t="s">
        <v>280</v>
      </c>
      <c r="D41" s="21" t="s">
        <v>281</v>
      </c>
      <c r="E41" s="21" t="s">
        <v>190</v>
      </c>
      <c r="F41" s="21" t="s">
        <v>282</v>
      </c>
      <c r="G41" s="21" t="s">
        <v>283</v>
      </c>
      <c r="H41" s="25"/>
      <c r="I41" s="25"/>
      <c r="J41" s="25"/>
      <c r="K41" s="25"/>
      <c r="L41" s="25"/>
      <c r="M41" s="22" t="s">
        <v>86</v>
      </c>
      <c r="N41" s="23">
        <v>46083</v>
      </c>
      <c r="O41" s="26" t="str">
        <f t="shared" si="0"/>
        <v>OK</v>
      </c>
      <c r="P41" s="30" t="str">
        <f t="shared" si="1"/>
        <v/>
      </c>
      <c r="Q41" s="26" t="str">
        <f t="shared" si="2"/>
        <v/>
      </c>
    </row>
    <row r="42" spans="1:17" x14ac:dyDescent="0.3">
      <c r="A42" s="33">
        <v>1461500329</v>
      </c>
      <c r="B42" s="21" t="s">
        <v>284</v>
      </c>
      <c r="C42" s="21" t="s">
        <v>285</v>
      </c>
      <c r="D42" s="21" t="s">
        <v>286</v>
      </c>
      <c r="E42" s="21" t="s">
        <v>287</v>
      </c>
      <c r="F42" s="21" t="s">
        <v>96</v>
      </c>
      <c r="G42" s="21" t="s">
        <v>288</v>
      </c>
      <c r="H42" s="25"/>
      <c r="I42" s="25"/>
      <c r="J42" s="25"/>
      <c r="K42" s="25"/>
      <c r="L42" s="25"/>
      <c r="M42" s="22" t="s">
        <v>86</v>
      </c>
      <c r="N42" s="23">
        <v>46083</v>
      </c>
      <c r="O42" s="26" t="str">
        <f t="shared" si="0"/>
        <v>OK</v>
      </c>
      <c r="P42" s="30" t="str">
        <f t="shared" si="1"/>
        <v/>
      </c>
      <c r="Q42" s="26" t="str">
        <f t="shared" si="2"/>
        <v/>
      </c>
    </row>
    <row r="43" spans="1:17" x14ac:dyDescent="0.3">
      <c r="A43" s="33">
        <v>4010382996</v>
      </c>
      <c r="B43" s="21" t="s">
        <v>289</v>
      </c>
      <c r="C43" s="21" t="s">
        <v>290</v>
      </c>
      <c r="D43" s="21" t="s">
        <v>291</v>
      </c>
      <c r="E43" s="21" t="s">
        <v>190</v>
      </c>
      <c r="F43" s="21" t="s">
        <v>111</v>
      </c>
      <c r="G43" s="21" t="s">
        <v>292</v>
      </c>
      <c r="H43" s="25"/>
      <c r="I43" s="25"/>
      <c r="J43" s="25"/>
      <c r="K43" s="25"/>
      <c r="L43" s="25"/>
      <c r="M43" s="22" t="s">
        <v>86</v>
      </c>
      <c r="N43" s="23">
        <v>46083</v>
      </c>
      <c r="O43" s="26" t="str">
        <f t="shared" si="0"/>
        <v>OK</v>
      </c>
      <c r="P43" s="30" t="str">
        <f t="shared" si="1"/>
        <v/>
      </c>
      <c r="Q43" s="26" t="str">
        <f t="shared" si="2"/>
        <v/>
      </c>
    </row>
    <row r="44" spans="1:17" x14ac:dyDescent="0.3">
      <c r="A44" s="33">
        <v>5375600625</v>
      </c>
      <c r="B44" s="21" t="s">
        <v>293</v>
      </c>
      <c r="C44" s="21" t="s">
        <v>294</v>
      </c>
      <c r="D44" s="21" t="s">
        <v>295</v>
      </c>
      <c r="E44" s="21" t="s">
        <v>296</v>
      </c>
      <c r="F44" s="21" t="s">
        <v>297</v>
      </c>
      <c r="G44" s="21" t="s">
        <v>298</v>
      </c>
      <c r="H44" s="25"/>
      <c r="I44" s="25"/>
      <c r="J44" s="25"/>
      <c r="K44" s="25"/>
      <c r="L44" s="25"/>
      <c r="M44" s="22" t="s">
        <v>86</v>
      </c>
      <c r="N44" s="23">
        <v>46083</v>
      </c>
      <c r="O44" s="26" t="str">
        <f t="shared" si="0"/>
        <v>OK</v>
      </c>
      <c r="P44" s="30" t="str">
        <f t="shared" si="1"/>
        <v/>
      </c>
      <c r="Q44" s="26" t="str">
        <f t="shared" si="2"/>
        <v/>
      </c>
    </row>
    <row r="45" spans="1:17" x14ac:dyDescent="0.3">
      <c r="A45" s="33">
        <v>4180851161</v>
      </c>
      <c r="B45" s="21" t="s">
        <v>299</v>
      </c>
      <c r="C45" s="21" t="s">
        <v>300</v>
      </c>
      <c r="D45" s="21" t="s">
        <v>301</v>
      </c>
      <c r="E45" s="21" t="s">
        <v>190</v>
      </c>
      <c r="F45" s="21" t="s">
        <v>191</v>
      </c>
      <c r="G45" s="21" t="s">
        <v>302</v>
      </c>
      <c r="H45" s="25"/>
      <c r="I45" s="25"/>
      <c r="J45" s="25"/>
      <c r="K45" s="25"/>
      <c r="L45" s="25"/>
      <c r="M45" s="22" t="s">
        <v>86</v>
      </c>
      <c r="N45" s="23">
        <v>46083</v>
      </c>
      <c r="O45" s="26" t="str">
        <f t="shared" si="0"/>
        <v>OK</v>
      </c>
      <c r="P45" s="30" t="str">
        <f t="shared" si="1"/>
        <v/>
      </c>
      <c r="Q45" s="26" t="str">
        <f t="shared" si="2"/>
        <v/>
      </c>
    </row>
    <row r="46" spans="1:17" x14ac:dyDescent="0.3">
      <c r="A46" s="33">
        <v>4011573428</v>
      </c>
      <c r="B46" s="21" t="s">
        <v>303</v>
      </c>
      <c r="C46" s="21" t="s">
        <v>304</v>
      </c>
      <c r="D46" s="21" t="s">
        <v>305</v>
      </c>
      <c r="E46" s="21" t="s">
        <v>190</v>
      </c>
      <c r="F46" s="21" t="s">
        <v>306</v>
      </c>
      <c r="G46" s="21" t="s">
        <v>307</v>
      </c>
      <c r="H46" s="25"/>
      <c r="I46" s="25"/>
      <c r="J46" s="25"/>
      <c r="K46" s="25"/>
      <c r="L46" s="25"/>
      <c r="M46" s="22" t="s">
        <v>86</v>
      </c>
      <c r="N46" s="23">
        <v>46083</v>
      </c>
      <c r="O46" s="26" t="str">
        <f t="shared" si="0"/>
        <v>OK</v>
      </c>
      <c r="P46" s="30" t="str">
        <f t="shared" si="1"/>
        <v/>
      </c>
      <c r="Q46" s="26" t="str">
        <f t="shared" si="2"/>
        <v/>
      </c>
    </row>
    <row r="47" spans="1:17" x14ac:dyDescent="0.3">
      <c r="A47" s="33">
        <v>5118116923</v>
      </c>
      <c r="B47" s="21" t="s">
        <v>308</v>
      </c>
      <c r="C47" s="21" t="s">
        <v>309</v>
      </c>
      <c r="D47" s="21" t="s">
        <v>310</v>
      </c>
      <c r="E47" s="21" t="s">
        <v>111</v>
      </c>
      <c r="F47" s="21" t="s">
        <v>84</v>
      </c>
      <c r="G47" s="21" t="s">
        <v>311</v>
      </c>
      <c r="H47" s="25"/>
      <c r="I47" s="25"/>
      <c r="J47" s="25"/>
      <c r="K47" s="25"/>
      <c r="L47" s="25"/>
      <c r="M47" s="22" t="s">
        <v>86</v>
      </c>
      <c r="N47" s="23">
        <v>46083</v>
      </c>
      <c r="O47" s="26" t="str">
        <f t="shared" si="0"/>
        <v>OK</v>
      </c>
      <c r="P47" s="30" t="str">
        <f t="shared" si="1"/>
        <v/>
      </c>
      <c r="Q47" s="26" t="str">
        <f t="shared" si="2"/>
        <v/>
      </c>
    </row>
    <row r="48" spans="1:17" x14ac:dyDescent="0.3">
      <c r="A48" s="33">
        <v>4030369698</v>
      </c>
      <c r="B48" s="21" t="s">
        <v>312</v>
      </c>
      <c r="C48" s="21" t="s">
        <v>313</v>
      </c>
      <c r="D48" s="21" t="s">
        <v>314</v>
      </c>
      <c r="E48" s="21" t="s">
        <v>190</v>
      </c>
      <c r="F48" s="21" t="s">
        <v>315</v>
      </c>
      <c r="G48" s="21"/>
      <c r="H48" s="25"/>
      <c r="I48" s="25"/>
      <c r="J48" s="25"/>
      <c r="K48" s="25"/>
      <c r="L48" s="25"/>
      <c r="M48" s="22" t="s">
        <v>86</v>
      </c>
      <c r="N48" s="23">
        <v>46083</v>
      </c>
      <c r="O48" s="26" t="str">
        <f t="shared" si="0"/>
        <v>OK</v>
      </c>
      <c r="P48" s="30" t="str">
        <f t="shared" si="1"/>
        <v/>
      </c>
      <c r="Q48" s="26" t="str">
        <f t="shared" si="2"/>
        <v/>
      </c>
    </row>
    <row r="49" spans="1:17" x14ac:dyDescent="0.3">
      <c r="A49" s="33">
        <v>4031349411</v>
      </c>
      <c r="B49" s="21" t="s">
        <v>316</v>
      </c>
      <c r="C49" s="21" t="s">
        <v>317</v>
      </c>
      <c r="D49" s="21" t="s">
        <v>318</v>
      </c>
      <c r="E49" s="21" t="s">
        <v>190</v>
      </c>
      <c r="F49" s="21" t="s">
        <v>319</v>
      </c>
      <c r="G49" s="21" t="s">
        <v>320</v>
      </c>
      <c r="H49" s="25"/>
      <c r="I49" s="25"/>
      <c r="J49" s="25"/>
      <c r="K49" s="25"/>
      <c r="L49" s="25"/>
      <c r="M49" s="22" t="s">
        <v>86</v>
      </c>
      <c r="N49" s="23">
        <v>46083</v>
      </c>
      <c r="O49" s="26" t="str">
        <f t="shared" si="0"/>
        <v>OK</v>
      </c>
      <c r="P49" s="30" t="str">
        <f t="shared" si="1"/>
        <v/>
      </c>
      <c r="Q49" s="26" t="str">
        <f t="shared" si="2"/>
        <v/>
      </c>
    </row>
    <row r="50" spans="1:17" x14ac:dyDescent="0.3">
      <c r="A50" s="33">
        <v>1161700787</v>
      </c>
      <c r="B50" s="21" t="s">
        <v>321</v>
      </c>
      <c r="C50" s="21" t="s">
        <v>322</v>
      </c>
      <c r="D50" s="21" t="s">
        <v>323</v>
      </c>
      <c r="E50" s="21" t="s">
        <v>190</v>
      </c>
      <c r="F50" s="21" t="s">
        <v>228</v>
      </c>
      <c r="G50" s="21" t="s">
        <v>324</v>
      </c>
      <c r="H50" s="25"/>
      <c r="I50" s="25"/>
      <c r="J50" s="25"/>
      <c r="K50" s="25"/>
      <c r="L50" s="25"/>
      <c r="M50" s="22" t="s">
        <v>86</v>
      </c>
      <c r="N50" s="23">
        <v>46083</v>
      </c>
      <c r="O50" s="26" t="str">
        <f t="shared" si="0"/>
        <v>OK</v>
      </c>
      <c r="P50" s="30" t="str">
        <f t="shared" si="1"/>
        <v/>
      </c>
      <c r="Q50" s="26" t="str">
        <f t="shared" si="2"/>
        <v/>
      </c>
    </row>
    <row r="51" spans="1:17" x14ac:dyDescent="0.3">
      <c r="A51" s="33">
        <v>6207700432</v>
      </c>
      <c r="B51" s="21" t="s">
        <v>325</v>
      </c>
      <c r="C51" s="21" t="s">
        <v>326</v>
      </c>
      <c r="D51" s="21" t="s">
        <v>327</v>
      </c>
      <c r="E51" s="21" t="s">
        <v>179</v>
      </c>
      <c r="F51" s="21" t="s">
        <v>328</v>
      </c>
      <c r="G51" s="21"/>
      <c r="H51" s="25"/>
      <c r="I51" s="25"/>
      <c r="J51" s="25"/>
      <c r="K51" s="25"/>
      <c r="L51" s="25"/>
      <c r="M51" s="22" t="s">
        <v>86</v>
      </c>
      <c r="N51" s="23">
        <v>46083</v>
      </c>
      <c r="O51" s="26" t="str">
        <f t="shared" si="0"/>
        <v>OK</v>
      </c>
      <c r="P51" s="30" t="str">
        <f t="shared" si="1"/>
        <v/>
      </c>
      <c r="Q51" s="26" t="str">
        <f t="shared" si="2"/>
        <v/>
      </c>
    </row>
    <row r="52" spans="1:17" x14ac:dyDescent="0.3">
      <c r="A52" s="33">
        <v>4031094929</v>
      </c>
      <c r="B52" s="21" t="s">
        <v>325</v>
      </c>
      <c r="C52" s="21" t="s">
        <v>329</v>
      </c>
      <c r="D52" s="21" t="s">
        <v>330</v>
      </c>
      <c r="E52" s="21" t="s">
        <v>179</v>
      </c>
      <c r="F52" s="21" t="s">
        <v>331</v>
      </c>
      <c r="G52" s="21" t="s">
        <v>332</v>
      </c>
      <c r="H52" s="25"/>
      <c r="I52" s="25"/>
      <c r="J52" s="25"/>
      <c r="K52" s="25"/>
      <c r="L52" s="25"/>
      <c r="M52" s="22" t="s">
        <v>86</v>
      </c>
      <c r="N52" s="23">
        <v>46083</v>
      </c>
      <c r="O52" s="26" t="str">
        <f t="shared" si="0"/>
        <v>OK</v>
      </c>
      <c r="P52" s="30" t="str">
        <f t="shared" si="1"/>
        <v/>
      </c>
      <c r="Q52" s="26" t="str">
        <f t="shared" si="2"/>
        <v/>
      </c>
    </row>
    <row r="53" spans="1:17" x14ac:dyDescent="0.3">
      <c r="A53" s="33">
        <v>4030433843</v>
      </c>
      <c r="B53" s="21" t="s">
        <v>333</v>
      </c>
      <c r="C53" s="21" t="s">
        <v>334</v>
      </c>
      <c r="D53" s="21" t="s">
        <v>335</v>
      </c>
      <c r="E53" s="21" t="s">
        <v>336</v>
      </c>
      <c r="F53" s="21" t="s">
        <v>228</v>
      </c>
      <c r="G53" s="21" t="s">
        <v>337</v>
      </c>
      <c r="H53" s="25"/>
      <c r="I53" s="25"/>
      <c r="J53" s="25"/>
      <c r="K53" s="25"/>
      <c r="L53" s="25"/>
      <c r="M53" s="22" t="s">
        <v>86</v>
      </c>
      <c r="N53" s="23">
        <v>46083</v>
      </c>
      <c r="O53" s="26" t="str">
        <f t="shared" si="0"/>
        <v>OK</v>
      </c>
      <c r="P53" s="30" t="str">
        <f t="shared" si="1"/>
        <v/>
      </c>
      <c r="Q53" s="26" t="str">
        <f t="shared" si="2"/>
        <v/>
      </c>
    </row>
    <row r="54" spans="1:17" x14ac:dyDescent="0.3">
      <c r="A54" s="33">
        <v>4031127830</v>
      </c>
      <c r="B54" s="21" t="s">
        <v>338</v>
      </c>
      <c r="C54" s="21" t="s">
        <v>339</v>
      </c>
      <c r="D54" s="21" t="s">
        <v>340</v>
      </c>
      <c r="E54" s="21" t="s">
        <v>190</v>
      </c>
      <c r="F54" s="21" t="s">
        <v>341</v>
      </c>
      <c r="G54" s="21" t="s">
        <v>342</v>
      </c>
      <c r="H54" s="25"/>
      <c r="I54" s="25"/>
      <c r="J54" s="25"/>
      <c r="K54" s="25"/>
      <c r="L54" s="25"/>
      <c r="M54" s="22" t="s">
        <v>86</v>
      </c>
      <c r="N54" s="23">
        <v>46083</v>
      </c>
      <c r="O54" s="26" t="str">
        <f t="shared" si="0"/>
        <v>OK</v>
      </c>
      <c r="P54" s="30" t="str">
        <f t="shared" si="1"/>
        <v/>
      </c>
      <c r="Q54" s="26" t="str">
        <f t="shared" si="2"/>
        <v/>
      </c>
    </row>
    <row r="55" spans="1:17" x14ac:dyDescent="0.3">
      <c r="A55" s="33">
        <v>1097200416</v>
      </c>
      <c r="B55" s="21" t="s">
        <v>343</v>
      </c>
      <c r="C55" s="21" t="s">
        <v>344</v>
      </c>
      <c r="D55" s="21" t="s">
        <v>345</v>
      </c>
      <c r="E55" s="21" t="s">
        <v>346</v>
      </c>
      <c r="F55" s="21" t="s">
        <v>347</v>
      </c>
      <c r="G55" s="21" t="s">
        <v>348</v>
      </c>
      <c r="H55" s="25"/>
      <c r="I55" s="25"/>
      <c r="J55" s="25"/>
      <c r="K55" s="25"/>
      <c r="L55" s="25"/>
      <c r="M55" s="22" t="s">
        <v>86</v>
      </c>
      <c r="N55" s="23">
        <v>46083</v>
      </c>
      <c r="O55" s="26" t="str">
        <f t="shared" si="0"/>
        <v>OK</v>
      </c>
      <c r="P55" s="30" t="str">
        <f t="shared" si="1"/>
        <v/>
      </c>
      <c r="Q55" s="26" t="str">
        <f t="shared" si="2"/>
        <v/>
      </c>
    </row>
    <row r="56" spans="1:17" x14ac:dyDescent="0.3">
      <c r="A56" s="33">
        <v>4038133859</v>
      </c>
      <c r="B56" s="21" t="s">
        <v>349</v>
      </c>
      <c r="C56" s="21" t="s">
        <v>350</v>
      </c>
      <c r="D56" s="21" t="s">
        <v>351</v>
      </c>
      <c r="E56" s="21" t="s">
        <v>179</v>
      </c>
      <c r="F56" s="21" t="s">
        <v>352</v>
      </c>
      <c r="G56" s="21" t="s">
        <v>353</v>
      </c>
      <c r="H56" s="25"/>
      <c r="I56" s="25"/>
      <c r="J56" s="25"/>
      <c r="K56" s="25"/>
      <c r="L56" s="25"/>
      <c r="M56" s="22" t="s">
        <v>86</v>
      </c>
      <c r="N56" s="23">
        <v>46083</v>
      </c>
      <c r="O56" s="26" t="str">
        <f t="shared" si="0"/>
        <v>OK</v>
      </c>
      <c r="P56" s="30" t="str">
        <f t="shared" si="1"/>
        <v/>
      </c>
      <c r="Q56" s="26" t="str">
        <f t="shared" si="2"/>
        <v/>
      </c>
    </row>
    <row r="57" spans="1:17" x14ac:dyDescent="0.3">
      <c r="A57" s="33">
        <v>4437500317</v>
      </c>
      <c r="B57" s="21" t="s">
        <v>354</v>
      </c>
      <c r="C57" s="21" t="s">
        <v>355</v>
      </c>
      <c r="D57" s="21" t="s">
        <v>356</v>
      </c>
      <c r="E57" s="21" t="s">
        <v>336</v>
      </c>
      <c r="F57" s="21" t="s">
        <v>357</v>
      </c>
      <c r="G57" s="21" t="s">
        <v>358</v>
      </c>
      <c r="H57" s="25"/>
      <c r="I57" s="25"/>
      <c r="J57" s="25"/>
      <c r="K57" s="25"/>
      <c r="L57" s="25"/>
      <c r="M57" s="22" t="s">
        <v>86</v>
      </c>
      <c r="N57" s="23">
        <v>46083</v>
      </c>
      <c r="O57" s="26" t="str">
        <f t="shared" si="0"/>
        <v>OK</v>
      </c>
      <c r="P57" s="30" t="str">
        <f t="shared" si="1"/>
        <v/>
      </c>
      <c r="Q57" s="26" t="str">
        <f t="shared" si="2"/>
        <v/>
      </c>
    </row>
    <row r="58" spans="1:17" x14ac:dyDescent="0.3">
      <c r="A58" s="33">
        <v>4030524638</v>
      </c>
      <c r="B58" s="21" t="s">
        <v>359</v>
      </c>
      <c r="C58" s="21" t="s">
        <v>360</v>
      </c>
      <c r="D58" s="21" t="s">
        <v>361</v>
      </c>
      <c r="E58" s="21"/>
      <c r="F58" s="21"/>
      <c r="G58" s="21" t="s">
        <v>362</v>
      </c>
      <c r="H58" s="25"/>
      <c r="I58" s="25"/>
      <c r="J58" s="25"/>
      <c r="K58" s="25"/>
      <c r="L58" s="25"/>
      <c r="M58" s="22" t="s">
        <v>86</v>
      </c>
      <c r="N58" s="23">
        <v>46083</v>
      </c>
      <c r="O58" s="26" t="str">
        <f t="shared" si="0"/>
        <v>OK</v>
      </c>
      <c r="P58" s="30" t="str">
        <f t="shared" si="1"/>
        <v/>
      </c>
      <c r="Q58" s="26" t="str">
        <f t="shared" si="2"/>
        <v/>
      </c>
    </row>
    <row r="59" spans="1:17" x14ac:dyDescent="0.3">
      <c r="A59" s="33">
        <v>4020641290</v>
      </c>
      <c r="B59" s="21" t="s">
        <v>363</v>
      </c>
      <c r="C59" s="21" t="s">
        <v>364</v>
      </c>
      <c r="D59" s="21" t="s">
        <v>365</v>
      </c>
      <c r="E59" s="21" t="s">
        <v>366</v>
      </c>
      <c r="F59" s="21" t="s">
        <v>367</v>
      </c>
      <c r="G59" s="21" t="s">
        <v>368</v>
      </c>
      <c r="H59" s="25"/>
      <c r="I59" s="25"/>
      <c r="J59" s="25"/>
      <c r="K59" s="25"/>
      <c r="L59" s="25"/>
      <c r="M59" s="22" t="s">
        <v>86</v>
      </c>
      <c r="N59" s="23">
        <v>46083</v>
      </c>
      <c r="O59" s="26" t="str">
        <f t="shared" si="0"/>
        <v>OK</v>
      </c>
      <c r="P59" s="30" t="str">
        <f t="shared" si="1"/>
        <v/>
      </c>
      <c r="Q59" s="26" t="str">
        <f t="shared" si="2"/>
        <v/>
      </c>
    </row>
    <row r="60" spans="1:17" x14ac:dyDescent="0.3">
      <c r="A60" s="33">
        <v>5031510127</v>
      </c>
      <c r="B60" s="21" t="s">
        <v>369</v>
      </c>
      <c r="C60" s="21" t="s">
        <v>370</v>
      </c>
      <c r="D60" s="21" t="s">
        <v>371</v>
      </c>
      <c r="E60" s="21" t="s">
        <v>83</v>
      </c>
      <c r="F60" s="21" t="s">
        <v>372</v>
      </c>
      <c r="G60" s="21" t="s">
        <v>373</v>
      </c>
      <c r="H60" s="25"/>
      <c r="I60" s="25"/>
      <c r="J60" s="25"/>
      <c r="K60" s="25"/>
      <c r="L60" s="25"/>
      <c r="M60" s="22" t="s">
        <v>86</v>
      </c>
      <c r="N60" s="23">
        <v>46083</v>
      </c>
      <c r="O60" s="26" t="str">
        <f t="shared" si="0"/>
        <v>OK</v>
      </c>
      <c r="P60" s="30" t="str">
        <f t="shared" si="1"/>
        <v/>
      </c>
      <c r="Q60" s="26" t="str">
        <f t="shared" si="2"/>
        <v/>
      </c>
    </row>
    <row r="61" spans="1:17" x14ac:dyDescent="0.3">
      <c r="A61" s="33">
        <v>2968101176</v>
      </c>
      <c r="B61" s="21" t="s">
        <v>374</v>
      </c>
      <c r="C61" s="21" t="s">
        <v>375</v>
      </c>
      <c r="D61" s="21" t="s">
        <v>376</v>
      </c>
      <c r="E61" s="21" t="s">
        <v>83</v>
      </c>
      <c r="F61" s="21" t="s">
        <v>377</v>
      </c>
      <c r="G61" s="21" t="s">
        <v>378</v>
      </c>
      <c r="H61" s="25"/>
      <c r="I61" s="25"/>
      <c r="J61" s="25"/>
      <c r="K61" s="25"/>
      <c r="L61" s="25"/>
      <c r="M61" s="22" t="s">
        <v>86</v>
      </c>
      <c r="N61" s="23">
        <v>46083</v>
      </c>
      <c r="O61" s="26" t="str">
        <f t="shared" si="0"/>
        <v>OK</v>
      </c>
      <c r="P61" s="30" t="str">
        <f t="shared" si="1"/>
        <v/>
      </c>
      <c r="Q61" s="26" t="str">
        <f t="shared" si="2"/>
        <v/>
      </c>
    </row>
    <row r="62" spans="1:17" x14ac:dyDescent="0.3">
      <c r="A62" s="33">
        <v>1218300616</v>
      </c>
      <c r="B62" s="21" t="s">
        <v>379</v>
      </c>
      <c r="C62" s="21" t="s">
        <v>380</v>
      </c>
      <c r="D62" s="21" t="s">
        <v>381</v>
      </c>
      <c r="E62" s="21"/>
      <c r="F62" s="21"/>
      <c r="G62" s="21" t="s">
        <v>382</v>
      </c>
      <c r="H62" s="25"/>
      <c r="I62" s="25"/>
      <c r="J62" s="25"/>
      <c r="K62" s="25"/>
      <c r="L62" s="25"/>
      <c r="M62" s="22" t="s">
        <v>86</v>
      </c>
      <c r="N62" s="23">
        <v>46083</v>
      </c>
      <c r="O62" s="26" t="str">
        <f t="shared" si="0"/>
        <v>OK</v>
      </c>
      <c r="P62" s="30" t="str">
        <f t="shared" si="1"/>
        <v/>
      </c>
      <c r="Q62" s="26" t="str">
        <f t="shared" si="2"/>
        <v/>
      </c>
    </row>
    <row r="63" spans="1:17" x14ac:dyDescent="0.3">
      <c r="A63" s="33">
        <v>4021978031</v>
      </c>
      <c r="B63" s="21" t="s">
        <v>383</v>
      </c>
      <c r="C63" s="21" t="s">
        <v>384</v>
      </c>
      <c r="D63" s="21" t="s">
        <v>385</v>
      </c>
      <c r="E63" s="21" t="s">
        <v>190</v>
      </c>
      <c r="F63" s="21" t="s">
        <v>191</v>
      </c>
      <c r="G63" s="21"/>
      <c r="H63" s="25"/>
      <c r="I63" s="25"/>
      <c r="J63" s="25"/>
      <c r="K63" s="25"/>
      <c r="L63" s="25"/>
      <c r="M63" s="22" t="s">
        <v>86</v>
      </c>
      <c r="N63" s="23">
        <v>46083</v>
      </c>
      <c r="O63" s="26" t="str">
        <f t="shared" si="0"/>
        <v>OK</v>
      </c>
      <c r="P63" s="30" t="str">
        <f t="shared" si="1"/>
        <v/>
      </c>
      <c r="Q63" s="26" t="str">
        <f t="shared" si="2"/>
        <v/>
      </c>
    </row>
    <row r="64" spans="1:17" x14ac:dyDescent="0.3">
      <c r="A64" s="33">
        <v>7593000526</v>
      </c>
      <c r="B64" s="21" t="s">
        <v>386</v>
      </c>
      <c r="C64" s="21" t="s">
        <v>387</v>
      </c>
      <c r="D64" s="21" t="s">
        <v>388</v>
      </c>
      <c r="E64" s="21" t="s">
        <v>173</v>
      </c>
      <c r="F64" s="21" t="s">
        <v>389</v>
      </c>
      <c r="G64" s="21" t="s">
        <v>390</v>
      </c>
      <c r="H64" s="25"/>
      <c r="I64" s="25"/>
      <c r="J64" s="25"/>
      <c r="K64" s="25"/>
      <c r="L64" s="25"/>
      <c r="M64" s="22" t="s">
        <v>86</v>
      </c>
      <c r="N64" s="23">
        <v>46083</v>
      </c>
      <c r="O64" s="26" t="str">
        <f t="shared" si="0"/>
        <v>OK</v>
      </c>
      <c r="P64" s="30" t="str">
        <f t="shared" si="1"/>
        <v/>
      </c>
      <c r="Q64" s="26" t="str">
        <f t="shared" si="2"/>
        <v/>
      </c>
    </row>
    <row r="65" spans="1:17" x14ac:dyDescent="0.3">
      <c r="A65" s="33">
        <v>4022392893</v>
      </c>
      <c r="B65" s="21" t="s">
        <v>391</v>
      </c>
      <c r="C65" s="21" t="s">
        <v>392</v>
      </c>
      <c r="D65" s="21" t="s">
        <v>393</v>
      </c>
      <c r="E65" s="21" t="s">
        <v>394</v>
      </c>
      <c r="F65" s="21" t="s">
        <v>395</v>
      </c>
      <c r="G65" s="21" t="s">
        <v>396</v>
      </c>
      <c r="H65" s="25"/>
      <c r="I65" s="25"/>
      <c r="J65" s="25"/>
      <c r="K65" s="25"/>
      <c r="L65" s="25"/>
      <c r="M65" s="22" t="s">
        <v>86</v>
      </c>
      <c r="N65" s="23">
        <v>46083</v>
      </c>
      <c r="O65" s="26" t="str">
        <f t="shared" si="0"/>
        <v>OK</v>
      </c>
      <c r="P65" s="30" t="str">
        <f t="shared" si="1"/>
        <v/>
      </c>
      <c r="Q65" s="26" t="str">
        <f t="shared" si="2"/>
        <v/>
      </c>
    </row>
    <row r="66" spans="1:17" x14ac:dyDescent="0.3">
      <c r="A66" s="33">
        <v>6188134746</v>
      </c>
      <c r="B66" s="21" t="s">
        <v>397</v>
      </c>
      <c r="C66" s="21" t="s">
        <v>398</v>
      </c>
      <c r="D66" s="21" t="s">
        <v>399</v>
      </c>
      <c r="E66" s="21" t="s">
        <v>83</v>
      </c>
      <c r="F66" s="21" t="s">
        <v>400</v>
      </c>
      <c r="G66" s="21" t="s">
        <v>401</v>
      </c>
      <c r="H66" s="25"/>
      <c r="I66" s="25"/>
      <c r="J66" s="25"/>
      <c r="K66" s="25"/>
      <c r="L66" s="25"/>
      <c r="M66" s="22" t="s">
        <v>86</v>
      </c>
      <c r="N66" s="23">
        <v>46083</v>
      </c>
      <c r="O66" s="26" t="str">
        <f t="shared" ref="O66:O129" si="3">IF(A66="","",IFERROR(IF(AND(LEN(A66)=10,NOT(ISERROR(VALUE(A66)))),"OK","확인"),"확인"))</f>
        <v>OK</v>
      </c>
      <c r="P66" s="30" t="str">
        <f t="shared" ref="P66:P129" si="4">IF(A66="","",IF(COUNTIF($A$2:$A$1946,A66)&gt;1,"중복",""))</f>
        <v/>
      </c>
      <c r="Q66" s="26" t="str">
        <f t="shared" ref="Q66:Q129" si="5">IF(G66="","",IF(ISNUMBER(SEARCH("@",G66)),"","확인"))</f>
        <v/>
      </c>
    </row>
    <row r="67" spans="1:17" x14ac:dyDescent="0.3">
      <c r="A67" s="33">
        <v>4030662982</v>
      </c>
      <c r="B67" s="21" t="s">
        <v>402</v>
      </c>
      <c r="C67" s="21" t="s">
        <v>403</v>
      </c>
      <c r="D67" s="21" t="s">
        <v>404</v>
      </c>
      <c r="E67" s="21" t="s">
        <v>405</v>
      </c>
      <c r="F67" s="21" t="s">
        <v>406</v>
      </c>
      <c r="G67" s="21" t="s">
        <v>407</v>
      </c>
      <c r="H67" s="25"/>
      <c r="I67" s="25"/>
      <c r="J67" s="25"/>
      <c r="K67" s="25"/>
      <c r="L67" s="25"/>
      <c r="M67" s="22" t="s">
        <v>86</v>
      </c>
      <c r="N67" s="23">
        <v>46083</v>
      </c>
      <c r="O67" s="26" t="str">
        <f t="shared" si="3"/>
        <v>OK</v>
      </c>
      <c r="P67" s="30" t="str">
        <f t="shared" si="4"/>
        <v/>
      </c>
      <c r="Q67" s="26" t="str">
        <f t="shared" si="5"/>
        <v/>
      </c>
    </row>
    <row r="68" spans="1:17" x14ac:dyDescent="0.3">
      <c r="A68" s="33">
        <v>4030573764</v>
      </c>
      <c r="B68" s="21" t="s">
        <v>408</v>
      </c>
      <c r="C68" s="21" t="s">
        <v>409</v>
      </c>
      <c r="D68" s="21" t="s">
        <v>410</v>
      </c>
      <c r="E68" s="21" t="s">
        <v>179</v>
      </c>
      <c r="F68" s="21" t="s">
        <v>191</v>
      </c>
      <c r="G68" s="21"/>
      <c r="H68" s="25"/>
      <c r="I68" s="25"/>
      <c r="J68" s="25"/>
      <c r="K68" s="25"/>
      <c r="L68" s="25"/>
      <c r="M68" s="22" t="s">
        <v>86</v>
      </c>
      <c r="N68" s="23">
        <v>46083</v>
      </c>
      <c r="O68" s="26" t="str">
        <f t="shared" si="3"/>
        <v>OK</v>
      </c>
      <c r="P68" s="30" t="str">
        <f t="shared" si="4"/>
        <v/>
      </c>
      <c r="Q68" s="26" t="str">
        <f t="shared" si="5"/>
        <v/>
      </c>
    </row>
    <row r="69" spans="1:17" x14ac:dyDescent="0.3">
      <c r="A69" s="33">
        <v>4030944438</v>
      </c>
      <c r="B69" s="21" t="s">
        <v>411</v>
      </c>
      <c r="C69" s="21" t="s">
        <v>412</v>
      </c>
      <c r="D69" s="21" t="s">
        <v>413</v>
      </c>
      <c r="E69" s="21" t="s">
        <v>414</v>
      </c>
      <c r="F69" s="21" t="s">
        <v>415</v>
      </c>
      <c r="G69" s="21" t="s">
        <v>416</v>
      </c>
      <c r="H69" s="25"/>
      <c r="I69" s="25"/>
      <c r="J69" s="25"/>
      <c r="K69" s="25"/>
      <c r="L69" s="25"/>
      <c r="M69" s="22" t="s">
        <v>86</v>
      </c>
      <c r="N69" s="23">
        <v>46083</v>
      </c>
      <c r="O69" s="26" t="str">
        <f t="shared" si="3"/>
        <v>OK</v>
      </c>
      <c r="P69" s="30" t="str">
        <f t="shared" si="4"/>
        <v/>
      </c>
      <c r="Q69" s="26" t="str">
        <f t="shared" si="5"/>
        <v/>
      </c>
    </row>
    <row r="70" spans="1:17" x14ac:dyDescent="0.3">
      <c r="A70" s="33">
        <v>2201301414</v>
      </c>
      <c r="B70" s="21" t="s">
        <v>417</v>
      </c>
      <c r="C70" s="21" t="s">
        <v>418</v>
      </c>
      <c r="D70" s="21" t="s">
        <v>419</v>
      </c>
      <c r="E70" s="21" t="s">
        <v>190</v>
      </c>
      <c r="F70" s="21" t="s">
        <v>420</v>
      </c>
      <c r="G70" s="21" t="s">
        <v>421</v>
      </c>
      <c r="H70" s="25"/>
      <c r="I70" s="25"/>
      <c r="J70" s="25"/>
      <c r="K70" s="25"/>
      <c r="L70" s="25"/>
      <c r="M70" s="22" t="s">
        <v>86</v>
      </c>
      <c r="N70" s="23">
        <v>46083</v>
      </c>
      <c r="O70" s="26" t="str">
        <f t="shared" si="3"/>
        <v>OK</v>
      </c>
      <c r="P70" s="30" t="str">
        <f t="shared" si="4"/>
        <v/>
      </c>
      <c r="Q70" s="26" t="str">
        <f t="shared" si="5"/>
        <v/>
      </c>
    </row>
    <row r="71" spans="1:17" x14ac:dyDescent="0.3">
      <c r="A71" s="33">
        <v>4022455672</v>
      </c>
      <c r="B71" s="21" t="s">
        <v>422</v>
      </c>
      <c r="C71" s="21" t="s">
        <v>423</v>
      </c>
      <c r="D71" s="21" t="s">
        <v>424</v>
      </c>
      <c r="E71" s="21" t="s">
        <v>394</v>
      </c>
      <c r="F71" s="21" t="s">
        <v>425</v>
      </c>
      <c r="G71" s="21" t="s">
        <v>426</v>
      </c>
      <c r="H71" s="25"/>
      <c r="I71" s="25"/>
      <c r="J71" s="25"/>
      <c r="K71" s="25"/>
      <c r="L71" s="25"/>
      <c r="M71" s="22" t="s">
        <v>86</v>
      </c>
      <c r="N71" s="23">
        <v>46083</v>
      </c>
      <c r="O71" s="26" t="str">
        <f t="shared" si="3"/>
        <v>OK</v>
      </c>
      <c r="P71" s="30" t="str">
        <f t="shared" si="4"/>
        <v/>
      </c>
      <c r="Q71" s="26" t="str">
        <f t="shared" si="5"/>
        <v/>
      </c>
    </row>
    <row r="72" spans="1:17" x14ac:dyDescent="0.3">
      <c r="A72" s="33">
        <v>4038143094</v>
      </c>
      <c r="B72" s="21" t="s">
        <v>427</v>
      </c>
      <c r="C72" s="21" t="s">
        <v>428</v>
      </c>
      <c r="D72" s="21" t="s">
        <v>429</v>
      </c>
      <c r="E72" s="21" t="s">
        <v>190</v>
      </c>
      <c r="F72" s="21" t="s">
        <v>430</v>
      </c>
      <c r="G72" s="21" t="s">
        <v>431</v>
      </c>
      <c r="H72" s="25"/>
      <c r="I72" s="25"/>
      <c r="J72" s="25"/>
      <c r="K72" s="25"/>
      <c r="L72" s="25"/>
      <c r="M72" s="22" t="s">
        <v>86</v>
      </c>
      <c r="N72" s="23">
        <v>46083</v>
      </c>
      <c r="O72" s="26" t="str">
        <f t="shared" si="3"/>
        <v>OK</v>
      </c>
      <c r="P72" s="30" t="str">
        <f t="shared" si="4"/>
        <v/>
      </c>
      <c r="Q72" s="26" t="str">
        <f t="shared" si="5"/>
        <v/>
      </c>
    </row>
    <row r="73" spans="1:17" x14ac:dyDescent="0.3">
      <c r="A73" s="33">
        <v>4038209977</v>
      </c>
      <c r="B73" s="21" t="s">
        <v>432</v>
      </c>
      <c r="C73" s="21" t="s">
        <v>433</v>
      </c>
      <c r="D73" s="21" t="s">
        <v>434</v>
      </c>
      <c r="E73" s="21" t="s">
        <v>435</v>
      </c>
      <c r="F73" s="21" t="s">
        <v>436</v>
      </c>
      <c r="G73" s="21" t="s">
        <v>437</v>
      </c>
      <c r="H73" s="25"/>
      <c r="I73" s="25"/>
      <c r="J73" s="25"/>
      <c r="K73" s="25"/>
      <c r="L73" s="25"/>
      <c r="M73" s="22" t="s">
        <v>86</v>
      </c>
      <c r="N73" s="23">
        <v>46083</v>
      </c>
      <c r="O73" s="26" t="str">
        <f t="shared" si="3"/>
        <v>OK</v>
      </c>
      <c r="P73" s="30" t="str">
        <f t="shared" si="4"/>
        <v/>
      </c>
      <c r="Q73" s="26" t="str">
        <f t="shared" si="5"/>
        <v/>
      </c>
    </row>
    <row r="74" spans="1:17" x14ac:dyDescent="0.3">
      <c r="A74" s="33">
        <v>1170625091</v>
      </c>
      <c r="B74" s="21" t="s">
        <v>438</v>
      </c>
      <c r="C74" s="21" t="s">
        <v>439</v>
      </c>
      <c r="D74" s="21" t="s">
        <v>440</v>
      </c>
      <c r="E74" s="21" t="s">
        <v>247</v>
      </c>
      <c r="F74" s="21" t="s">
        <v>228</v>
      </c>
      <c r="G74" s="21"/>
      <c r="H74" s="25"/>
      <c r="I74" s="25"/>
      <c r="J74" s="25"/>
      <c r="K74" s="25"/>
      <c r="L74" s="25"/>
      <c r="M74" s="22" t="s">
        <v>86</v>
      </c>
      <c r="N74" s="23">
        <v>46083</v>
      </c>
      <c r="O74" s="26" t="str">
        <f t="shared" si="3"/>
        <v>OK</v>
      </c>
      <c r="P74" s="30" t="str">
        <f t="shared" si="4"/>
        <v/>
      </c>
      <c r="Q74" s="26" t="str">
        <f t="shared" si="5"/>
        <v/>
      </c>
    </row>
    <row r="75" spans="1:17" x14ac:dyDescent="0.3">
      <c r="A75" s="33">
        <v>1138203385</v>
      </c>
      <c r="B75" s="21" t="s">
        <v>441</v>
      </c>
      <c r="C75" s="21" t="s">
        <v>442</v>
      </c>
      <c r="D75" s="21" t="s">
        <v>443</v>
      </c>
      <c r="E75" s="21" t="s">
        <v>444</v>
      </c>
      <c r="F75" s="21" t="s">
        <v>445</v>
      </c>
      <c r="G75" s="21" t="s">
        <v>446</v>
      </c>
      <c r="H75" s="25"/>
      <c r="I75" s="25"/>
      <c r="J75" s="25"/>
      <c r="K75" s="25"/>
      <c r="L75" s="25"/>
      <c r="M75" s="22" t="s">
        <v>86</v>
      </c>
      <c r="N75" s="23">
        <v>46083</v>
      </c>
      <c r="O75" s="26" t="str">
        <f t="shared" si="3"/>
        <v>OK</v>
      </c>
      <c r="P75" s="30" t="str">
        <f t="shared" si="4"/>
        <v/>
      </c>
      <c r="Q75" s="26" t="str">
        <f t="shared" si="5"/>
        <v/>
      </c>
    </row>
    <row r="76" spans="1:17" x14ac:dyDescent="0.3">
      <c r="A76" s="33">
        <v>4038178180</v>
      </c>
      <c r="B76" s="21" t="s">
        <v>447</v>
      </c>
      <c r="C76" s="21" t="s">
        <v>448</v>
      </c>
      <c r="D76" s="21" t="s">
        <v>449</v>
      </c>
      <c r="E76" s="21" t="s">
        <v>83</v>
      </c>
      <c r="F76" s="21" t="s">
        <v>450</v>
      </c>
      <c r="G76" s="21" t="s">
        <v>451</v>
      </c>
      <c r="H76" s="25"/>
      <c r="I76" s="25"/>
      <c r="J76" s="25"/>
      <c r="K76" s="25"/>
      <c r="L76" s="25"/>
      <c r="M76" s="22" t="s">
        <v>86</v>
      </c>
      <c r="N76" s="23">
        <v>46083</v>
      </c>
      <c r="O76" s="26" t="str">
        <f t="shared" si="3"/>
        <v>OK</v>
      </c>
      <c r="P76" s="30" t="str">
        <f t="shared" si="4"/>
        <v/>
      </c>
      <c r="Q76" s="26" t="str">
        <f t="shared" si="5"/>
        <v/>
      </c>
    </row>
    <row r="77" spans="1:17" x14ac:dyDescent="0.3">
      <c r="A77" s="33">
        <v>4030220887</v>
      </c>
      <c r="B77" s="21" t="s">
        <v>452</v>
      </c>
      <c r="C77" s="21" t="s">
        <v>453</v>
      </c>
      <c r="D77" s="21" t="s">
        <v>454</v>
      </c>
      <c r="E77" s="21" t="s">
        <v>455</v>
      </c>
      <c r="F77" s="21" t="s">
        <v>164</v>
      </c>
      <c r="G77" s="21" t="s">
        <v>456</v>
      </c>
      <c r="H77" s="25"/>
      <c r="I77" s="25"/>
      <c r="J77" s="25"/>
      <c r="K77" s="25"/>
      <c r="L77" s="25"/>
      <c r="M77" s="22" t="s">
        <v>86</v>
      </c>
      <c r="N77" s="23">
        <v>46083</v>
      </c>
      <c r="O77" s="26" t="str">
        <f t="shared" si="3"/>
        <v>OK</v>
      </c>
      <c r="P77" s="30" t="str">
        <f t="shared" si="4"/>
        <v/>
      </c>
      <c r="Q77" s="26" t="str">
        <f t="shared" si="5"/>
        <v/>
      </c>
    </row>
    <row r="78" spans="1:17" x14ac:dyDescent="0.3">
      <c r="A78" s="33">
        <v>4010399293</v>
      </c>
      <c r="B78" s="21" t="s">
        <v>457</v>
      </c>
      <c r="C78" s="21" t="s">
        <v>458</v>
      </c>
      <c r="D78" s="21" t="s">
        <v>459</v>
      </c>
      <c r="E78" s="21" t="s">
        <v>190</v>
      </c>
      <c r="F78" s="21" t="s">
        <v>460</v>
      </c>
      <c r="G78" s="21"/>
      <c r="H78" s="25"/>
      <c r="I78" s="25"/>
      <c r="J78" s="25"/>
      <c r="K78" s="25"/>
      <c r="L78" s="25"/>
      <c r="M78" s="22" t="s">
        <v>86</v>
      </c>
      <c r="N78" s="23">
        <v>46083</v>
      </c>
      <c r="O78" s="26" t="str">
        <f t="shared" si="3"/>
        <v>OK</v>
      </c>
      <c r="P78" s="30" t="str">
        <f t="shared" si="4"/>
        <v/>
      </c>
      <c r="Q78" s="26" t="str">
        <f t="shared" si="5"/>
        <v/>
      </c>
    </row>
    <row r="79" spans="1:17" x14ac:dyDescent="0.3">
      <c r="A79" s="33">
        <v>4031188308</v>
      </c>
      <c r="B79" s="21" t="s">
        <v>461</v>
      </c>
      <c r="C79" s="21" t="s">
        <v>462</v>
      </c>
      <c r="D79" s="21" t="s">
        <v>463</v>
      </c>
      <c r="E79" s="21" t="s">
        <v>179</v>
      </c>
      <c r="F79" s="21" t="s">
        <v>96</v>
      </c>
      <c r="G79" s="21" t="s">
        <v>464</v>
      </c>
      <c r="H79" s="25"/>
      <c r="I79" s="25"/>
      <c r="J79" s="25"/>
      <c r="K79" s="25"/>
      <c r="L79" s="25"/>
      <c r="M79" s="22" t="s">
        <v>86</v>
      </c>
      <c r="N79" s="23">
        <v>46083</v>
      </c>
      <c r="O79" s="26" t="str">
        <f t="shared" si="3"/>
        <v>OK</v>
      </c>
      <c r="P79" s="30" t="str">
        <f t="shared" si="4"/>
        <v/>
      </c>
      <c r="Q79" s="26" t="str">
        <f t="shared" si="5"/>
        <v/>
      </c>
    </row>
    <row r="80" spans="1:17" x14ac:dyDescent="0.3">
      <c r="A80" s="33">
        <v>4031498923</v>
      </c>
      <c r="B80" s="21" t="s">
        <v>465</v>
      </c>
      <c r="C80" s="21" t="s">
        <v>466</v>
      </c>
      <c r="D80" s="21" t="s">
        <v>467</v>
      </c>
      <c r="E80" s="21" t="s">
        <v>468</v>
      </c>
      <c r="F80" s="21" t="s">
        <v>469</v>
      </c>
      <c r="G80" s="21" t="s">
        <v>470</v>
      </c>
      <c r="H80" s="25"/>
      <c r="I80" s="25"/>
      <c r="J80" s="25"/>
      <c r="K80" s="25"/>
      <c r="L80" s="25"/>
      <c r="M80" s="22" t="s">
        <v>86</v>
      </c>
      <c r="N80" s="23">
        <v>46083</v>
      </c>
      <c r="O80" s="26" t="str">
        <f t="shared" si="3"/>
        <v>OK</v>
      </c>
      <c r="P80" s="30" t="str">
        <f t="shared" si="4"/>
        <v/>
      </c>
      <c r="Q80" s="26" t="str">
        <f t="shared" si="5"/>
        <v/>
      </c>
    </row>
    <row r="81" spans="1:17" x14ac:dyDescent="0.3">
      <c r="A81" s="33">
        <v>1118801573</v>
      </c>
      <c r="B81" s="21" t="s">
        <v>471</v>
      </c>
      <c r="C81" s="21" t="s">
        <v>472</v>
      </c>
      <c r="D81" s="21" t="s">
        <v>473</v>
      </c>
      <c r="E81" s="21" t="s">
        <v>83</v>
      </c>
      <c r="F81" s="21" t="s">
        <v>474</v>
      </c>
      <c r="G81" s="21" t="s">
        <v>475</v>
      </c>
      <c r="H81" s="25"/>
      <c r="I81" s="25"/>
      <c r="J81" s="25"/>
      <c r="K81" s="25"/>
      <c r="L81" s="25"/>
      <c r="M81" s="22" t="s">
        <v>86</v>
      </c>
      <c r="N81" s="23">
        <v>46083</v>
      </c>
      <c r="O81" s="26" t="str">
        <f t="shared" si="3"/>
        <v>OK</v>
      </c>
      <c r="P81" s="30" t="str">
        <f t="shared" si="4"/>
        <v/>
      </c>
      <c r="Q81" s="26" t="str">
        <f t="shared" si="5"/>
        <v/>
      </c>
    </row>
    <row r="82" spans="1:17" x14ac:dyDescent="0.3">
      <c r="A82" s="33">
        <v>4018155333</v>
      </c>
      <c r="B82" s="21" t="s">
        <v>476</v>
      </c>
      <c r="C82" s="21" t="s">
        <v>477</v>
      </c>
      <c r="D82" s="21" t="s">
        <v>478</v>
      </c>
      <c r="E82" s="21"/>
      <c r="F82" s="21" t="s">
        <v>479</v>
      </c>
      <c r="G82" s="21" t="s">
        <v>480</v>
      </c>
      <c r="H82" s="25"/>
      <c r="I82" s="25"/>
      <c r="J82" s="25"/>
      <c r="K82" s="25"/>
      <c r="L82" s="25"/>
      <c r="M82" s="22" t="s">
        <v>86</v>
      </c>
      <c r="N82" s="23">
        <v>46083</v>
      </c>
      <c r="O82" s="26" t="str">
        <f t="shared" si="3"/>
        <v>OK</v>
      </c>
      <c r="P82" s="30" t="str">
        <f t="shared" si="4"/>
        <v/>
      </c>
      <c r="Q82" s="26" t="str">
        <f t="shared" si="5"/>
        <v/>
      </c>
    </row>
    <row r="83" spans="1:17" x14ac:dyDescent="0.3">
      <c r="A83" s="33">
        <v>3763700994</v>
      </c>
      <c r="B83" s="21" t="s">
        <v>481</v>
      </c>
      <c r="C83" s="21" t="s">
        <v>482</v>
      </c>
      <c r="D83" s="21" t="s">
        <v>483</v>
      </c>
      <c r="E83" s="21" t="s">
        <v>179</v>
      </c>
      <c r="F83" s="21" t="s">
        <v>484</v>
      </c>
      <c r="G83" s="21" t="s">
        <v>485</v>
      </c>
      <c r="H83" s="25"/>
      <c r="I83" s="25"/>
      <c r="J83" s="25"/>
      <c r="K83" s="25"/>
      <c r="L83" s="25"/>
      <c r="M83" s="22" t="s">
        <v>86</v>
      </c>
      <c r="N83" s="23">
        <v>46083</v>
      </c>
      <c r="O83" s="26" t="str">
        <f t="shared" si="3"/>
        <v>OK</v>
      </c>
      <c r="P83" s="30" t="str">
        <f t="shared" si="4"/>
        <v/>
      </c>
      <c r="Q83" s="26" t="str">
        <f t="shared" si="5"/>
        <v/>
      </c>
    </row>
    <row r="84" spans="1:17" x14ac:dyDescent="0.3">
      <c r="A84" s="33">
        <v>4010568270</v>
      </c>
      <c r="B84" s="21" t="s">
        <v>486</v>
      </c>
      <c r="C84" s="21" t="s">
        <v>487</v>
      </c>
      <c r="D84" s="21" t="s">
        <v>488</v>
      </c>
      <c r="E84" s="21" t="s">
        <v>190</v>
      </c>
      <c r="F84" s="21" t="s">
        <v>489</v>
      </c>
      <c r="G84" s="21" t="s">
        <v>490</v>
      </c>
      <c r="H84" s="25"/>
      <c r="I84" s="25"/>
      <c r="J84" s="25"/>
      <c r="K84" s="25"/>
      <c r="L84" s="25"/>
      <c r="M84" s="22" t="s">
        <v>86</v>
      </c>
      <c r="N84" s="23">
        <v>46083</v>
      </c>
      <c r="O84" s="26" t="str">
        <f t="shared" si="3"/>
        <v>OK</v>
      </c>
      <c r="P84" s="30" t="str">
        <f t="shared" si="4"/>
        <v/>
      </c>
      <c r="Q84" s="26" t="str">
        <f t="shared" si="5"/>
        <v/>
      </c>
    </row>
    <row r="85" spans="1:17" x14ac:dyDescent="0.3">
      <c r="A85" s="33">
        <v>1078107846</v>
      </c>
      <c r="B85" s="21" t="s">
        <v>491</v>
      </c>
      <c r="C85" s="21" t="s">
        <v>492</v>
      </c>
      <c r="D85" s="21" t="s">
        <v>493</v>
      </c>
      <c r="E85" s="21" t="s">
        <v>83</v>
      </c>
      <c r="F85" s="21" t="s">
        <v>494</v>
      </c>
      <c r="G85" s="21" t="s">
        <v>495</v>
      </c>
      <c r="H85" s="25"/>
      <c r="I85" s="25"/>
      <c r="J85" s="25"/>
      <c r="K85" s="25"/>
      <c r="L85" s="25"/>
      <c r="M85" s="22" t="s">
        <v>86</v>
      </c>
      <c r="N85" s="23">
        <v>46083</v>
      </c>
      <c r="O85" s="26" t="str">
        <f t="shared" si="3"/>
        <v>OK</v>
      </c>
      <c r="P85" s="30" t="str">
        <f t="shared" si="4"/>
        <v/>
      </c>
      <c r="Q85" s="26" t="str">
        <f t="shared" si="5"/>
        <v/>
      </c>
    </row>
    <row r="86" spans="1:17" x14ac:dyDescent="0.3">
      <c r="A86" s="33">
        <v>4211202606</v>
      </c>
      <c r="B86" s="21" t="s">
        <v>496</v>
      </c>
      <c r="C86" s="21" t="s">
        <v>497</v>
      </c>
      <c r="D86" s="21" t="s">
        <v>498</v>
      </c>
      <c r="E86" s="21" t="s">
        <v>499</v>
      </c>
      <c r="F86" s="21" t="s">
        <v>500</v>
      </c>
      <c r="G86" s="21" t="s">
        <v>501</v>
      </c>
      <c r="H86" s="25"/>
      <c r="I86" s="25"/>
      <c r="J86" s="25"/>
      <c r="K86" s="25"/>
      <c r="L86" s="25"/>
      <c r="M86" s="22" t="s">
        <v>86</v>
      </c>
      <c r="N86" s="23">
        <v>46083</v>
      </c>
      <c r="O86" s="26" t="str">
        <f t="shared" si="3"/>
        <v>OK</v>
      </c>
      <c r="P86" s="30" t="str">
        <f t="shared" si="4"/>
        <v/>
      </c>
      <c r="Q86" s="26" t="str">
        <f t="shared" si="5"/>
        <v/>
      </c>
    </row>
    <row r="87" spans="1:17" x14ac:dyDescent="0.3">
      <c r="A87" s="33">
        <v>4842000055</v>
      </c>
      <c r="B87" s="21" t="s">
        <v>502</v>
      </c>
      <c r="C87" s="21" t="s">
        <v>503</v>
      </c>
      <c r="D87" s="21" t="s">
        <v>504</v>
      </c>
      <c r="E87" s="21" t="s">
        <v>179</v>
      </c>
      <c r="F87" s="21" t="s">
        <v>505</v>
      </c>
      <c r="G87" s="21" t="s">
        <v>506</v>
      </c>
      <c r="H87" s="25"/>
      <c r="I87" s="25"/>
      <c r="J87" s="25"/>
      <c r="K87" s="25"/>
      <c r="L87" s="25"/>
      <c r="M87" s="22" t="s">
        <v>86</v>
      </c>
      <c r="N87" s="23">
        <v>46083</v>
      </c>
      <c r="O87" s="26" t="str">
        <f t="shared" si="3"/>
        <v>OK</v>
      </c>
      <c r="P87" s="30" t="str">
        <f t="shared" si="4"/>
        <v/>
      </c>
      <c r="Q87" s="26" t="str">
        <f t="shared" si="5"/>
        <v/>
      </c>
    </row>
    <row r="88" spans="1:17" x14ac:dyDescent="0.3">
      <c r="A88" s="33">
        <v>4020381535</v>
      </c>
      <c r="B88" s="21" t="s">
        <v>507</v>
      </c>
      <c r="C88" s="21" t="s">
        <v>508</v>
      </c>
      <c r="D88" s="21" t="s">
        <v>509</v>
      </c>
      <c r="E88" s="21" t="s">
        <v>190</v>
      </c>
      <c r="F88" s="21" t="s">
        <v>510</v>
      </c>
      <c r="G88" s="21" t="s">
        <v>511</v>
      </c>
      <c r="H88" s="25"/>
      <c r="I88" s="25"/>
      <c r="J88" s="25"/>
      <c r="K88" s="25"/>
      <c r="L88" s="25"/>
      <c r="M88" s="22" t="s">
        <v>86</v>
      </c>
      <c r="N88" s="23">
        <v>46083</v>
      </c>
      <c r="O88" s="26" t="str">
        <f t="shared" si="3"/>
        <v>OK</v>
      </c>
      <c r="P88" s="30" t="str">
        <f t="shared" si="4"/>
        <v/>
      </c>
      <c r="Q88" s="26" t="str">
        <f t="shared" si="5"/>
        <v/>
      </c>
    </row>
    <row r="89" spans="1:17" x14ac:dyDescent="0.3">
      <c r="A89" s="33">
        <v>8068602017</v>
      </c>
      <c r="B89" s="21" t="s">
        <v>512</v>
      </c>
      <c r="C89" s="21" t="s">
        <v>513</v>
      </c>
      <c r="D89" s="21" t="s">
        <v>514</v>
      </c>
      <c r="E89" s="21" t="s">
        <v>179</v>
      </c>
      <c r="F89" s="21" t="s">
        <v>515</v>
      </c>
      <c r="G89" s="21" t="s">
        <v>516</v>
      </c>
      <c r="H89" s="25"/>
      <c r="I89" s="25"/>
      <c r="J89" s="25"/>
      <c r="K89" s="25"/>
      <c r="L89" s="25"/>
      <c r="M89" s="22" t="s">
        <v>86</v>
      </c>
      <c r="N89" s="23">
        <v>46083</v>
      </c>
      <c r="O89" s="26" t="str">
        <f t="shared" si="3"/>
        <v>OK</v>
      </c>
      <c r="P89" s="30" t="str">
        <f t="shared" si="4"/>
        <v/>
      </c>
      <c r="Q89" s="26" t="str">
        <f t="shared" si="5"/>
        <v/>
      </c>
    </row>
    <row r="90" spans="1:17" x14ac:dyDescent="0.3">
      <c r="A90" s="33">
        <v>4030533011</v>
      </c>
      <c r="B90" s="21" t="s">
        <v>517</v>
      </c>
      <c r="C90" s="21" t="s">
        <v>518</v>
      </c>
      <c r="D90" s="21" t="s">
        <v>519</v>
      </c>
      <c r="E90" s="21" t="s">
        <v>520</v>
      </c>
      <c r="F90" s="21" t="s">
        <v>521</v>
      </c>
      <c r="G90" s="21" t="s">
        <v>522</v>
      </c>
      <c r="H90" s="25"/>
      <c r="I90" s="25"/>
      <c r="J90" s="25"/>
      <c r="K90" s="25"/>
      <c r="L90" s="25"/>
      <c r="M90" s="22" t="s">
        <v>86</v>
      </c>
      <c r="N90" s="23">
        <v>46083</v>
      </c>
      <c r="O90" s="26" t="str">
        <f t="shared" si="3"/>
        <v>OK</v>
      </c>
      <c r="P90" s="30" t="str">
        <f t="shared" si="4"/>
        <v/>
      </c>
      <c r="Q90" s="26" t="str">
        <f t="shared" si="5"/>
        <v/>
      </c>
    </row>
    <row r="91" spans="1:17" x14ac:dyDescent="0.3">
      <c r="A91" s="33">
        <v>4020733477</v>
      </c>
      <c r="B91" s="21" t="s">
        <v>523</v>
      </c>
      <c r="C91" s="21" t="s">
        <v>524</v>
      </c>
      <c r="D91" s="21" t="s">
        <v>525</v>
      </c>
      <c r="E91" s="21" t="s">
        <v>526</v>
      </c>
      <c r="F91" s="21" t="s">
        <v>527</v>
      </c>
      <c r="G91" s="21" t="s">
        <v>528</v>
      </c>
      <c r="H91" s="25"/>
      <c r="I91" s="25"/>
      <c r="J91" s="25"/>
      <c r="K91" s="25"/>
      <c r="L91" s="25"/>
      <c r="M91" s="22" t="s">
        <v>86</v>
      </c>
      <c r="N91" s="23">
        <v>46083</v>
      </c>
      <c r="O91" s="26" t="str">
        <f t="shared" si="3"/>
        <v>OK</v>
      </c>
      <c r="P91" s="30" t="str">
        <f t="shared" si="4"/>
        <v/>
      </c>
      <c r="Q91" s="26" t="str">
        <f t="shared" si="5"/>
        <v/>
      </c>
    </row>
    <row r="92" spans="1:17" x14ac:dyDescent="0.3">
      <c r="A92" s="33">
        <v>4030389393</v>
      </c>
      <c r="B92" s="21" t="s">
        <v>529</v>
      </c>
      <c r="C92" s="21" t="s">
        <v>530</v>
      </c>
      <c r="D92" s="21" t="s">
        <v>531</v>
      </c>
      <c r="E92" s="21" t="s">
        <v>532</v>
      </c>
      <c r="F92" s="21" t="s">
        <v>533</v>
      </c>
      <c r="G92" s="21" t="s">
        <v>534</v>
      </c>
      <c r="H92" s="25"/>
      <c r="I92" s="25"/>
      <c r="J92" s="25"/>
      <c r="K92" s="25"/>
      <c r="L92" s="25"/>
      <c r="M92" s="22" t="s">
        <v>86</v>
      </c>
      <c r="N92" s="23">
        <v>46083</v>
      </c>
      <c r="O92" s="26" t="str">
        <f t="shared" si="3"/>
        <v>OK</v>
      </c>
      <c r="P92" s="30" t="str">
        <f t="shared" si="4"/>
        <v/>
      </c>
      <c r="Q92" s="26" t="str">
        <f t="shared" si="5"/>
        <v/>
      </c>
    </row>
    <row r="93" spans="1:17" x14ac:dyDescent="0.3">
      <c r="A93" s="33">
        <v>4048109240</v>
      </c>
      <c r="B93" s="21" t="s">
        <v>535</v>
      </c>
      <c r="C93" s="21" t="s">
        <v>530</v>
      </c>
      <c r="D93" s="21" t="s">
        <v>536</v>
      </c>
      <c r="E93" s="21" t="s">
        <v>537</v>
      </c>
      <c r="F93" s="21" t="s">
        <v>538</v>
      </c>
      <c r="G93" s="21" t="s">
        <v>539</v>
      </c>
      <c r="H93" s="25"/>
      <c r="I93" s="25"/>
      <c r="J93" s="25"/>
      <c r="K93" s="25"/>
      <c r="L93" s="25"/>
      <c r="M93" s="22" t="s">
        <v>86</v>
      </c>
      <c r="N93" s="23">
        <v>46083</v>
      </c>
      <c r="O93" s="26" t="str">
        <f t="shared" si="3"/>
        <v>OK</v>
      </c>
      <c r="P93" s="30" t="str">
        <f t="shared" si="4"/>
        <v/>
      </c>
      <c r="Q93" s="26" t="str">
        <f t="shared" si="5"/>
        <v/>
      </c>
    </row>
    <row r="94" spans="1:17" x14ac:dyDescent="0.3">
      <c r="A94" s="33">
        <v>3148157186</v>
      </c>
      <c r="B94" s="21" t="s">
        <v>540</v>
      </c>
      <c r="C94" s="21" t="s">
        <v>541</v>
      </c>
      <c r="D94" s="21" t="s">
        <v>542</v>
      </c>
      <c r="E94" s="21" t="s">
        <v>111</v>
      </c>
      <c r="F94" s="21" t="s">
        <v>84</v>
      </c>
      <c r="G94" s="21" t="s">
        <v>543</v>
      </c>
      <c r="H94" s="25"/>
      <c r="I94" s="25"/>
      <c r="J94" s="25"/>
      <c r="K94" s="25"/>
      <c r="L94" s="25"/>
      <c r="M94" s="22" t="s">
        <v>86</v>
      </c>
      <c r="N94" s="23">
        <v>46083</v>
      </c>
      <c r="O94" s="26" t="str">
        <f t="shared" si="3"/>
        <v>OK</v>
      </c>
      <c r="P94" s="30" t="str">
        <f t="shared" si="4"/>
        <v/>
      </c>
      <c r="Q94" s="26" t="str">
        <f t="shared" si="5"/>
        <v/>
      </c>
    </row>
    <row r="95" spans="1:17" x14ac:dyDescent="0.3">
      <c r="A95" s="33">
        <v>3393000360</v>
      </c>
      <c r="B95" s="21" t="s">
        <v>544</v>
      </c>
      <c r="C95" s="21" t="s">
        <v>545</v>
      </c>
      <c r="D95" s="21" t="s">
        <v>546</v>
      </c>
      <c r="E95" s="21" t="s">
        <v>117</v>
      </c>
      <c r="F95" s="21" t="s">
        <v>547</v>
      </c>
      <c r="G95" s="21"/>
      <c r="H95" s="25"/>
      <c r="I95" s="25"/>
      <c r="J95" s="25"/>
      <c r="K95" s="25"/>
      <c r="L95" s="25"/>
      <c r="M95" s="22" t="s">
        <v>86</v>
      </c>
      <c r="N95" s="23">
        <v>46083</v>
      </c>
      <c r="O95" s="26" t="str">
        <f t="shared" si="3"/>
        <v>OK</v>
      </c>
      <c r="P95" s="30" t="str">
        <f t="shared" si="4"/>
        <v/>
      </c>
      <c r="Q95" s="26" t="str">
        <f t="shared" si="5"/>
        <v/>
      </c>
    </row>
    <row r="96" spans="1:17" x14ac:dyDescent="0.3">
      <c r="A96" s="33">
        <v>2201031746</v>
      </c>
      <c r="B96" s="21" t="s">
        <v>548</v>
      </c>
      <c r="C96" s="21" t="s">
        <v>549</v>
      </c>
      <c r="D96" s="21" t="s">
        <v>550</v>
      </c>
      <c r="E96" s="21" t="s">
        <v>83</v>
      </c>
      <c r="F96" s="21" t="s">
        <v>96</v>
      </c>
      <c r="G96" s="21" t="s">
        <v>551</v>
      </c>
      <c r="H96" s="25"/>
      <c r="I96" s="25"/>
      <c r="J96" s="25"/>
      <c r="K96" s="25"/>
      <c r="L96" s="25"/>
      <c r="M96" s="22" t="s">
        <v>86</v>
      </c>
      <c r="N96" s="23">
        <v>46083</v>
      </c>
      <c r="O96" s="26" t="str">
        <f t="shared" si="3"/>
        <v>OK</v>
      </c>
      <c r="P96" s="30" t="str">
        <f t="shared" si="4"/>
        <v/>
      </c>
      <c r="Q96" s="26" t="str">
        <f t="shared" si="5"/>
        <v/>
      </c>
    </row>
    <row r="97" spans="1:17" x14ac:dyDescent="0.3">
      <c r="A97" s="33">
        <v>2840900523</v>
      </c>
      <c r="B97" s="21" t="s">
        <v>552</v>
      </c>
      <c r="C97" s="21" t="s">
        <v>553</v>
      </c>
      <c r="D97" s="21" t="s">
        <v>554</v>
      </c>
      <c r="E97" s="21" t="s">
        <v>555</v>
      </c>
      <c r="F97" s="21" t="s">
        <v>556</v>
      </c>
      <c r="G97" s="21"/>
      <c r="H97" s="25"/>
      <c r="I97" s="25"/>
      <c r="J97" s="25"/>
      <c r="K97" s="25"/>
      <c r="L97" s="25"/>
      <c r="M97" s="22" t="s">
        <v>86</v>
      </c>
      <c r="N97" s="23">
        <v>46083</v>
      </c>
      <c r="O97" s="26" t="str">
        <f t="shared" si="3"/>
        <v>OK</v>
      </c>
      <c r="P97" s="30" t="str">
        <f t="shared" si="4"/>
        <v/>
      </c>
      <c r="Q97" s="26" t="str">
        <f t="shared" si="5"/>
        <v/>
      </c>
    </row>
    <row r="98" spans="1:17" x14ac:dyDescent="0.3">
      <c r="A98" s="33">
        <v>4030842582</v>
      </c>
      <c r="B98" s="21" t="s">
        <v>557</v>
      </c>
      <c r="C98" s="21" t="s">
        <v>558</v>
      </c>
      <c r="D98" s="21" t="s">
        <v>559</v>
      </c>
      <c r="E98" s="21" t="s">
        <v>179</v>
      </c>
      <c r="F98" s="21" t="s">
        <v>560</v>
      </c>
      <c r="G98" s="21"/>
      <c r="H98" s="25"/>
      <c r="I98" s="25"/>
      <c r="J98" s="25"/>
      <c r="K98" s="25"/>
      <c r="L98" s="25"/>
      <c r="M98" s="22" t="s">
        <v>86</v>
      </c>
      <c r="N98" s="23">
        <v>46083</v>
      </c>
      <c r="O98" s="26" t="str">
        <f t="shared" si="3"/>
        <v>OK</v>
      </c>
      <c r="P98" s="30" t="str">
        <f t="shared" si="4"/>
        <v/>
      </c>
      <c r="Q98" s="26" t="str">
        <f t="shared" si="5"/>
        <v/>
      </c>
    </row>
    <row r="99" spans="1:17" x14ac:dyDescent="0.3">
      <c r="A99" s="33">
        <v>4031322727</v>
      </c>
      <c r="B99" s="21" t="s">
        <v>561</v>
      </c>
      <c r="C99" s="21" t="s">
        <v>562</v>
      </c>
      <c r="D99" s="21" t="s">
        <v>563</v>
      </c>
      <c r="E99" s="21" t="s">
        <v>179</v>
      </c>
      <c r="F99" s="21" t="s">
        <v>564</v>
      </c>
      <c r="G99" s="21"/>
      <c r="H99" s="25"/>
      <c r="I99" s="25"/>
      <c r="J99" s="25"/>
      <c r="K99" s="25"/>
      <c r="L99" s="25"/>
      <c r="M99" s="22" t="s">
        <v>86</v>
      </c>
      <c r="N99" s="23">
        <v>46083</v>
      </c>
      <c r="O99" s="26" t="str">
        <f t="shared" si="3"/>
        <v>OK</v>
      </c>
      <c r="P99" s="30" t="str">
        <f t="shared" si="4"/>
        <v/>
      </c>
      <c r="Q99" s="26" t="str">
        <f t="shared" si="5"/>
        <v/>
      </c>
    </row>
    <row r="100" spans="1:17" x14ac:dyDescent="0.3">
      <c r="A100" s="33">
        <v>7948800670</v>
      </c>
      <c r="B100" s="21" t="s">
        <v>565</v>
      </c>
      <c r="C100" s="21" t="s">
        <v>566</v>
      </c>
      <c r="D100" s="21" t="s">
        <v>567</v>
      </c>
      <c r="E100" s="21" t="s">
        <v>179</v>
      </c>
      <c r="F100" s="21"/>
      <c r="G100" s="21" t="s">
        <v>568</v>
      </c>
      <c r="H100" s="25"/>
      <c r="I100" s="25"/>
      <c r="J100" s="25"/>
      <c r="K100" s="25"/>
      <c r="L100" s="25"/>
      <c r="M100" s="22" t="s">
        <v>86</v>
      </c>
      <c r="N100" s="23">
        <v>46083</v>
      </c>
      <c r="O100" s="26" t="str">
        <f t="shared" si="3"/>
        <v>OK</v>
      </c>
      <c r="P100" s="30" t="str">
        <f t="shared" si="4"/>
        <v/>
      </c>
      <c r="Q100" s="26" t="str">
        <f t="shared" si="5"/>
        <v/>
      </c>
    </row>
    <row r="101" spans="1:17" x14ac:dyDescent="0.3">
      <c r="A101" s="33">
        <v>6522500328</v>
      </c>
      <c r="B101" s="21" t="s">
        <v>569</v>
      </c>
      <c r="C101" s="21" t="s">
        <v>570</v>
      </c>
      <c r="D101" s="21" t="s">
        <v>571</v>
      </c>
      <c r="E101" s="21" t="s">
        <v>190</v>
      </c>
      <c r="F101" s="21" t="s">
        <v>191</v>
      </c>
      <c r="G101" s="21" t="s">
        <v>572</v>
      </c>
      <c r="H101" s="25"/>
      <c r="I101" s="25"/>
      <c r="J101" s="25"/>
      <c r="K101" s="25"/>
      <c r="L101" s="25"/>
      <c r="M101" s="22" t="s">
        <v>86</v>
      </c>
      <c r="N101" s="23">
        <v>46083</v>
      </c>
      <c r="O101" s="26" t="str">
        <f t="shared" si="3"/>
        <v>OK</v>
      </c>
      <c r="P101" s="30" t="str">
        <f t="shared" si="4"/>
        <v/>
      </c>
      <c r="Q101" s="26" t="str">
        <f t="shared" si="5"/>
        <v/>
      </c>
    </row>
    <row r="102" spans="1:17" x14ac:dyDescent="0.3">
      <c r="A102" s="33">
        <v>4030585635</v>
      </c>
      <c r="B102" s="21" t="s">
        <v>573</v>
      </c>
      <c r="C102" s="21" t="s">
        <v>574</v>
      </c>
      <c r="D102" s="21" t="s">
        <v>575</v>
      </c>
      <c r="E102" s="21" t="s">
        <v>190</v>
      </c>
      <c r="F102" s="21" t="s">
        <v>576</v>
      </c>
      <c r="G102" s="21" t="s">
        <v>577</v>
      </c>
      <c r="H102" s="25"/>
      <c r="I102" s="25"/>
      <c r="J102" s="25"/>
      <c r="K102" s="25"/>
      <c r="L102" s="25"/>
      <c r="M102" s="22" t="s">
        <v>86</v>
      </c>
      <c r="N102" s="23">
        <v>46083</v>
      </c>
      <c r="O102" s="26" t="str">
        <f t="shared" si="3"/>
        <v>OK</v>
      </c>
      <c r="P102" s="30" t="str">
        <f t="shared" si="4"/>
        <v/>
      </c>
      <c r="Q102" s="26" t="str">
        <f t="shared" si="5"/>
        <v/>
      </c>
    </row>
    <row r="103" spans="1:17" x14ac:dyDescent="0.3">
      <c r="A103" s="33">
        <v>4030177836</v>
      </c>
      <c r="B103" s="21" t="s">
        <v>578</v>
      </c>
      <c r="C103" s="21" t="s">
        <v>579</v>
      </c>
      <c r="D103" s="21" t="s">
        <v>580</v>
      </c>
      <c r="E103" s="21" t="s">
        <v>366</v>
      </c>
      <c r="F103" s="21" t="s">
        <v>581</v>
      </c>
      <c r="G103" s="21" t="s">
        <v>582</v>
      </c>
      <c r="H103" s="25"/>
      <c r="I103" s="25"/>
      <c r="J103" s="25"/>
      <c r="K103" s="25"/>
      <c r="L103" s="25"/>
      <c r="M103" s="22" t="s">
        <v>86</v>
      </c>
      <c r="N103" s="23">
        <v>46083</v>
      </c>
      <c r="O103" s="26" t="str">
        <f t="shared" si="3"/>
        <v>OK</v>
      </c>
      <c r="P103" s="30" t="str">
        <f t="shared" si="4"/>
        <v/>
      </c>
      <c r="Q103" s="26" t="str">
        <f t="shared" si="5"/>
        <v/>
      </c>
    </row>
    <row r="104" spans="1:17" x14ac:dyDescent="0.3">
      <c r="A104" s="33">
        <v>4038167795</v>
      </c>
      <c r="B104" s="21" t="s">
        <v>583</v>
      </c>
      <c r="C104" s="21" t="s">
        <v>584</v>
      </c>
      <c r="D104" s="21" t="s">
        <v>585</v>
      </c>
      <c r="E104" s="21" t="s">
        <v>179</v>
      </c>
      <c r="F104" s="21" t="s">
        <v>586</v>
      </c>
      <c r="G104" s="21" t="s">
        <v>587</v>
      </c>
      <c r="H104" s="25"/>
      <c r="I104" s="25"/>
      <c r="J104" s="25"/>
      <c r="K104" s="25"/>
      <c r="L104" s="25"/>
      <c r="M104" s="22" t="s">
        <v>86</v>
      </c>
      <c r="N104" s="23">
        <v>46083</v>
      </c>
      <c r="O104" s="26" t="str">
        <f t="shared" si="3"/>
        <v>OK</v>
      </c>
      <c r="P104" s="30" t="str">
        <f t="shared" si="4"/>
        <v/>
      </c>
      <c r="Q104" s="26" t="str">
        <f t="shared" si="5"/>
        <v/>
      </c>
    </row>
    <row r="105" spans="1:17" x14ac:dyDescent="0.3">
      <c r="A105" s="33">
        <v>4058108680</v>
      </c>
      <c r="B105" s="21" t="s">
        <v>588</v>
      </c>
      <c r="C105" s="21" t="s">
        <v>589</v>
      </c>
      <c r="D105" s="21" t="s">
        <v>590</v>
      </c>
      <c r="E105" s="21" t="s">
        <v>153</v>
      </c>
      <c r="F105" s="21" t="s">
        <v>591</v>
      </c>
      <c r="G105" s="21" t="s">
        <v>592</v>
      </c>
      <c r="H105" s="25"/>
      <c r="I105" s="25"/>
      <c r="J105" s="25"/>
      <c r="K105" s="25"/>
      <c r="L105" s="25"/>
      <c r="M105" s="22" t="s">
        <v>86</v>
      </c>
      <c r="N105" s="23">
        <v>46083</v>
      </c>
      <c r="O105" s="26" t="str">
        <f t="shared" si="3"/>
        <v>OK</v>
      </c>
      <c r="P105" s="30" t="str">
        <f t="shared" si="4"/>
        <v/>
      </c>
      <c r="Q105" s="26" t="str">
        <f t="shared" si="5"/>
        <v/>
      </c>
    </row>
    <row r="106" spans="1:17" x14ac:dyDescent="0.3">
      <c r="A106" s="33">
        <v>4010147414</v>
      </c>
      <c r="B106" s="21" t="s">
        <v>593</v>
      </c>
      <c r="C106" s="21" t="s">
        <v>594</v>
      </c>
      <c r="D106" s="21" t="s">
        <v>595</v>
      </c>
      <c r="E106" s="21" t="s">
        <v>190</v>
      </c>
      <c r="F106" s="21" t="s">
        <v>395</v>
      </c>
      <c r="G106" s="21" t="s">
        <v>596</v>
      </c>
      <c r="H106" s="25"/>
      <c r="I106" s="25"/>
      <c r="J106" s="25"/>
      <c r="K106" s="25"/>
      <c r="L106" s="25"/>
      <c r="M106" s="22" t="s">
        <v>86</v>
      </c>
      <c r="N106" s="23">
        <v>46083</v>
      </c>
      <c r="O106" s="26" t="str">
        <f t="shared" si="3"/>
        <v>OK</v>
      </c>
      <c r="P106" s="30" t="str">
        <f t="shared" si="4"/>
        <v/>
      </c>
      <c r="Q106" s="26" t="str">
        <f t="shared" si="5"/>
        <v/>
      </c>
    </row>
    <row r="107" spans="1:17" x14ac:dyDescent="0.3">
      <c r="A107" s="33">
        <v>4031081332</v>
      </c>
      <c r="B107" s="21" t="s">
        <v>597</v>
      </c>
      <c r="C107" s="21" t="s">
        <v>598</v>
      </c>
      <c r="D107" s="21" t="s">
        <v>599</v>
      </c>
      <c r="E107" s="21" t="s">
        <v>600</v>
      </c>
      <c r="F107" s="21" t="s">
        <v>601</v>
      </c>
      <c r="G107" s="21" t="s">
        <v>602</v>
      </c>
      <c r="H107" s="25"/>
      <c r="I107" s="25"/>
      <c r="J107" s="25"/>
      <c r="K107" s="25"/>
      <c r="L107" s="25"/>
      <c r="M107" s="22" t="s">
        <v>86</v>
      </c>
      <c r="N107" s="23">
        <v>46083</v>
      </c>
      <c r="O107" s="26" t="str">
        <f t="shared" si="3"/>
        <v>OK</v>
      </c>
      <c r="P107" s="30" t="str">
        <f t="shared" si="4"/>
        <v/>
      </c>
      <c r="Q107" s="26" t="str">
        <f t="shared" si="5"/>
        <v/>
      </c>
    </row>
    <row r="108" spans="1:17" x14ac:dyDescent="0.3">
      <c r="A108" s="33">
        <v>2068619004</v>
      </c>
      <c r="B108" s="21" t="s">
        <v>603</v>
      </c>
      <c r="C108" s="21" t="s">
        <v>604</v>
      </c>
      <c r="D108" s="21" t="s">
        <v>605</v>
      </c>
      <c r="E108" s="21" t="s">
        <v>83</v>
      </c>
      <c r="F108" s="21" t="s">
        <v>606</v>
      </c>
      <c r="G108" s="21" t="s">
        <v>607</v>
      </c>
      <c r="H108" s="25"/>
      <c r="I108" s="25"/>
      <c r="J108" s="25"/>
      <c r="K108" s="25"/>
      <c r="L108" s="25"/>
      <c r="M108" s="22" t="s">
        <v>86</v>
      </c>
      <c r="N108" s="23">
        <v>46083</v>
      </c>
      <c r="O108" s="26" t="str">
        <f t="shared" si="3"/>
        <v>OK</v>
      </c>
      <c r="P108" s="30" t="str">
        <f t="shared" si="4"/>
        <v/>
      </c>
      <c r="Q108" s="26" t="str">
        <f t="shared" si="5"/>
        <v/>
      </c>
    </row>
    <row r="109" spans="1:17" x14ac:dyDescent="0.3">
      <c r="A109" s="33">
        <v>6158147034</v>
      </c>
      <c r="B109" s="21" t="s">
        <v>608</v>
      </c>
      <c r="C109" s="21" t="s">
        <v>609</v>
      </c>
      <c r="D109" s="21" t="s">
        <v>610</v>
      </c>
      <c r="E109" s="21" t="s">
        <v>83</v>
      </c>
      <c r="F109" s="21" t="s">
        <v>611</v>
      </c>
      <c r="G109" s="21" t="s">
        <v>612</v>
      </c>
      <c r="H109" s="25"/>
      <c r="I109" s="25"/>
      <c r="J109" s="25"/>
      <c r="K109" s="25"/>
      <c r="L109" s="25"/>
      <c r="M109" s="22" t="s">
        <v>86</v>
      </c>
      <c r="N109" s="23">
        <v>46083</v>
      </c>
      <c r="O109" s="26" t="str">
        <f t="shared" si="3"/>
        <v>OK</v>
      </c>
      <c r="P109" s="30" t="str">
        <f t="shared" si="4"/>
        <v/>
      </c>
      <c r="Q109" s="26" t="str">
        <f t="shared" si="5"/>
        <v/>
      </c>
    </row>
    <row r="110" spans="1:17" x14ac:dyDescent="0.3">
      <c r="A110" s="33">
        <v>4180695807</v>
      </c>
      <c r="B110" s="21" t="s">
        <v>613</v>
      </c>
      <c r="C110" s="21" t="s">
        <v>614</v>
      </c>
      <c r="D110" s="21" t="s">
        <v>615</v>
      </c>
      <c r="E110" s="21" t="s">
        <v>190</v>
      </c>
      <c r="F110" s="21" t="s">
        <v>616</v>
      </c>
      <c r="G110" s="21" t="s">
        <v>617</v>
      </c>
      <c r="H110" s="25"/>
      <c r="I110" s="25"/>
      <c r="J110" s="25"/>
      <c r="K110" s="25"/>
      <c r="L110" s="25"/>
      <c r="M110" s="22" t="s">
        <v>86</v>
      </c>
      <c r="N110" s="23">
        <v>46083</v>
      </c>
      <c r="O110" s="26" t="str">
        <f t="shared" si="3"/>
        <v>OK</v>
      </c>
      <c r="P110" s="30" t="str">
        <f t="shared" si="4"/>
        <v/>
      </c>
      <c r="Q110" s="26" t="str">
        <f t="shared" si="5"/>
        <v/>
      </c>
    </row>
    <row r="111" spans="1:17" x14ac:dyDescent="0.3">
      <c r="A111" s="33">
        <v>4031588698</v>
      </c>
      <c r="B111" s="21" t="s">
        <v>618</v>
      </c>
      <c r="C111" s="21" t="s">
        <v>619</v>
      </c>
      <c r="D111" s="21" t="s">
        <v>620</v>
      </c>
      <c r="E111" s="21" t="s">
        <v>179</v>
      </c>
      <c r="F111" s="21" t="s">
        <v>621</v>
      </c>
      <c r="G111" s="21" t="s">
        <v>622</v>
      </c>
      <c r="H111" s="25"/>
      <c r="I111" s="25"/>
      <c r="J111" s="25"/>
      <c r="K111" s="25"/>
      <c r="L111" s="25"/>
      <c r="M111" s="22" t="s">
        <v>86</v>
      </c>
      <c r="N111" s="23">
        <v>46083</v>
      </c>
      <c r="O111" s="26" t="str">
        <f t="shared" si="3"/>
        <v>OK</v>
      </c>
      <c r="P111" s="30" t="str">
        <f t="shared" si="4"/>
        <v/>
      </c>
      <c r="Q111" s="26" t="str">
        <f t="shared" si="5"/>
        <v/>
      </c>
    </row>
    <row r="112" spans="1:17" x14ac:dyDescent="0.3">
      <c r="A112" s="33">
        <v>2088701619</v>
      </c>
      <c r="B112" s="21" t="s">
        <v>623</v>
      </c>
      <c r="C112" s="21" t="s">
        <v>624</v>
      </c>
      <c r="D112" s="21" t="s">
        <v>625</v>
      </c>
      <c r="E112" s="21" t="s">
        <v>83</v>
      </c>
      <c r="F112" s="21" t="s">
        <v>626</v>
      </c>
      <c r="G112" s="21" t="s">
        <v>627</v>
      </c>
      <c r="H112" s="25"/>
      <c r="I112" s="25"/>
      <c r="J112" s="25"/>
      <c r="K112" s="25"/>
      <c r="L112" s="25"/>
      <c r="M112" s="22" t="s">
        <v>86</v>
      </c>
      <c r="N112" s="23">
        <v>46083</v>
      </c>
      <c r="O112" s="26" t="str">
        <f t="shared" si="3"/>
        <v>OK</v>
      </c>
      <c r="P112" s="30" t="str">
        <f t="shared" si="4"/>
        <v/>
      </c>
      <c r="Q112" s="26" t="str">
        <f t="shared" si="5"/>
        <v/>
      </c>
    </row>
    <row r="113" spans="1:17" x14ac:dyDescent="0.3">
      <c r="A113" s="33">
        <v>6448801563</v>
      </c>
      <c r="B113" s="21" t="s">
        <v>628</v>
      </c>
      <c r="C113" s="21" t="s">
        <v>629</v>
      </c>
      <c r="D113" s="21" t="s">
        <v>630</v>
      </c>
      <c r="E113" s="21" t="s">
        <v>179</v>
      </c>
      <c r="F113" s="21" t="s">
        <v>631</v>
      </c>
      <c r="G113" s="21" t="s">
        <v>632</v>
      </c>
      <c r="H113" s="25"/>
      <c r="I113" s="25"/>
      <c r="J113" s="25"/>
      <c r="K113" s="25"/>
      <c r="L113" s="25"/>
      <c r="M113" s="22" t="s">
        <v>86</v>
      </c>
      <c r="N113" s="23">
        <v>46083</v>
      </c>
      <c r="O113" s="26" t="str">
        <f t="shared" si="3"/>
        <v>OK</v>
      </c>
      <c r="P113" s="30" t="str">
        <f t="shared" si="4"/>
        <v/>
      </c>
      <c r="Q113" s="26" t="str">
        <f t="shared" si="5"/>
        <v/>
      </c>
    </row>
    <row r="114" spans="1:17" x14ac:dyDescent="0.3">
      <c r="A114" s="33">
        <v>5565200711</v>
      </c>
      <c r="B114" s="21" t="s">
        <v>633</v>
      </c>
      <c r="C114" s="21" t="s">
        <v>634</v>
      </c>
      <c r="D114" s="21" t="s">
        <v>635</v>
      </c>
      <c r="E114" s="21" t="s">
        <v>83</v>
      </c>
      <c r="F114" s="21" t="s">
        <v>636</v>
      </c>
      <c r="G114" s="21" t="s">
        <v>637</v>
      </c>
      <c r="H114" s="25"/>
      <c r="I114" s="25"/>
      <c r="J114" s="25"/>
      <c r="K114" s="25"/>
      <c r="L114" s="25"/>
      <c r="M114" s="22" t="s">
        <v>86</v>
      </c>
      <c r="N114" s="23">
        <v>46083</v>
      </c>
      <c r="O114" s="26" t="str">
        <f t="shared" si="3"/>
        <v>OK</v>
      </c>
      <c r="P114" s="30" t="str">
        <f t="shared" si="4"/>
        <v/>
      </c>
      <c r="Q114" s="26" t="str">
        <f t="shared" si="5"/>
        <v/>
      </c>
    </row>
    <row r="115" spans="1:17" x14ac:dyDescent="0.3">
      <c r="A115" s="33">
        <v>4028188249</v>
      </c>
      <c r="B115" s="21" t="s">
        <v>638</v>
      </c>
      <c r="C115" s="21" t="s">
        <v>639</v>
      </c>
      <c r="D115" s="21" t="s">
        <v>640</v>
      </c>
      <c r="E115" s="21" t="s">
        <v>641</v>
      </c>
      <c r="F115" s="21" t="s">
        <v>642</v>
      </c>
      <c r="G115" s="21" t="s">
        <v>643</v>
      </c>
      <c r="H115" s="25"/>
      <c r="I115" s="25"/>
      <c r="J115" s="25"/>
      <c r="K115" s="25"/>
      <c r="L115" s="25"/>
      <c r="M115" s="22" t="s">
        <v>86</v>
      </c>
      <c r="N115" s="23">
        <v>46083</v>
      </c>
      <c r="O115" s="26" t="str">
        <f t="shared" si="3"/>
        <v>OK</v>
      </c>
      <c r="P115" s="30" t="str">
        <f t="shared" si="4"/>
        <v/>
      </c>
      <c r="Q115" s="26" t="str">
        <f t="shared" si="5"/>
        <v/>
      </c>
    </row>
    <row r="116" spans="1:17" x14ac:dyDescent="0.3">
      <c r="A116" s="33">
        <v>4088119186</v>
      </c>
      <c r="B116" s="21" t="s">
        <v>644</v>
      </c>
      <c r="C116" s="21" t="s">
        <v>645</v>
      </c>
      <c r="D116" s="21" t="s">
        <v>646</v>
      </c>
      <c r="E116" s="21" t="s">
        <v>647</v>
      </c>
      <c r="F116" s="21" t="s">
        <v>648</v>
      </c>
      <c r="G116" s="21" t="s">
        <v>649</v>
      </c>
      <c r="H116" s="25"/>
      <c r="I116" s="25"/>
      <c r="J116" s="25"/>
      <c r="K116" s="25"/>
      <c r="L116" s="25"/>
      <c r="M116" s="22" t="s">
        <v>86</v>
      </c>
      <c r="N116" s="23">
        <v>46083</v>
      </c>
      <c r="O116" s="26" t="str">
        <f t="shared" si="3"/>
        <v>OK</v>
      </c>
      <c r="P116" s="30" t="str">
        <f t="shared" si="4"/>
        <v/>
      </c>
      <c r="Q116" s="26" t="str">
        <f t="shared" si="5"/>
        <v/>
      </c>
    </row>
    <row r="117" spans="1:17" x14ac:dyDescent="0.3">
      <c r="A117" s="33">
        <v>7228502124</v>
      </c>
      <c r="B117" s="21" t="s">
        <v>650</v>
      </c>
      <c r="C117" s="21" t="s">
        <v>651</v>
      </c>
      <c r="D117" s="21" t="s">
        <v>652</v>
      </c>
      <c r="E117" s="21" t="s">
        <v>653</v>
      </c>
      <c r="F117" s="21" t="s">
        <v>654</v>
      </c>
      <c r="G117" s="21" t="s">
        <v>655</v>
      </c>
      <c r="H117" s="25"/>
      <c r="I117" s="25"/>
      <c r="J117" s="25"/>
      <c r="K117" s="25"/>
      <c r="L117" s="25"/>
      <c r="M117" s="22" t="s">
        <v>86</v>
      </c>
      <c r="N117" s="23">
        <v>46083</v>
      </c>
      <c r="O117" s="26" t="str">
        <f t="shared" si="3"/>
        <v>OK</v>
      </c>
      <c r="P117" s="30" t="str">
        <f t="shared" si="4"/>
        <v/>
      </c>
      <c r="Q117" s="26" t="str">
        <f t="shared" si="5"/>
        <v/>
      </c>
    </row>
    <row r="118" spans="1:17" x14ac:dyDescent="0.3">
      <c r="A118" s="33">
        <v>5922601584</v>
      </c>
      <c r="B118" s="21" t="s">
        <v>656</v>
      </c>
      <c r="C118" s="21" t="s">
        <v>657</v>
      </c>
      <c r="D118" s="21" t="s">
        <v>658</v>
      </c>
      <c r="E118" s="21" t="s">
        <v>117</v>
      </c>
      <c r="F118" s="21" t="s">
        <v>659</v>
      </c>
      <c r="G118" s="21" t="s">
        <v>660</v>
      </c>
      <c r="H118" s="25"/>
      <c r="I118" s="25"/>
      <c r="J118" s="25"/>
      <c r="K118" s="25"/>
      <c r="L118" s="25"/>
      <c r="M118" s="22" t="s">
        <v>86</v>
      </c>
      <c r="N118" s="23">
        <v>46083</v>
      </c>
      <c r="O118" s="26" t="str">
        <f t="shared" si="3"/>
        <v>OK</v>
      </c>
      <c r="P118" s="30" t="str">
        <f t="shared" si="4"/>
        <v/>
      </c>
      <c r="Q118" s="26" t="str">
        <f t="shared" si="5"/>
        <v/>
      </c>
    </row>
    <row r="119" spans="1:17" x14ac:dyDescent="0.3">
      <c r="A119" s="33">
        <v>4180379844</v>
      </c>
      <c r="B119" s="21" t="s">
        <v>661</v>
      </c>
      <c r="C119" s="21" t="s">
        <v>662</v>
      </c>
      <c r="D119" s="21" t="s">
        <v>663</v>
      </c>
      <c r="E119" s="21" t="s">
        <v>190</v>
      </c>
      <c r="F119" s="21" t="s">
        <v>664</v>
      </c>
      <c r="G119" s="21" t="s">
        <v>665</v>
      </c>
      <c r="H119" s="25"/>
      <c r="I119" s="25"/>
      <c r="J119" s="25"/>
      <c r="K119" s="25"/>
      <c r="L119" s="25"/>
      <c r="M119" s="22" t="s">
        <v>86</v>
      </c>
      <c r="N119" s="23">
        <v>46083</v>
      </c>
      <c r="O119" s="26" t="str">
        <f t="shared" si="3"/>
        <v>OK</v>
      </c>
      <c r="P119" s="30" t="str">
        <f t="shared" si="4"/>
        <v/>
      </c>
      <c r="Q119" s="26" t="str">
        <f t="shared" si="5"/>
        <v/>
      </c>
    </row>
    <row r="120" spans="1:17" x14ac:dyDescent="0.3">
      <c r="A120" s="33">
        <v>3541201312</v>
      </c>
      <c r="B120" s="21" t="s">
        <v>666</v>
      </c>
      <c r="C120" s="21" t="s">
        <v>667</v>
      </c>
      <c r="D120" s="21" t="s">
        <v>668</v>
      </c>
      <c r="E120" s="21" t="s">
        <v>669</v>
      </c>
      <c r="F120" s="21" t="s">
        <v>670</v>
      </c>
      <c r="G120" s="21" t="s">
        <v>671</v>
      </c>
      <c r="H120" s="25"/>
      <c r="I120" s="25"/>
      <c r="J120" s="25"/>
      <c r="K120" s="25"/>
      <c r="L120" s="25"/>
      <c r="M120" s="22" t="s">
        <v>86</v>
      </c>
      <c r="N120" s="23">
        <v>46083</v>
      </c>
      <c r="O120" s="26" t="str">
        <f t="shared" si="3"/>
        <v>OK</v>
      </c>
      <c r="P120" s="30" t="str">
        <f t="shared" si="4"/>
        <v/>
      </c>
      <c r="Q120" s="26" t="str">
        <f t="shared" si="5"/>
        <v/>
      </c>
    </row>
    <row r="121" spans="1:17" x14ac:dyDescent="0.3">
      <c r="A121" s="33">
        <v>8428701909</v>
      </c>
      <c r="B121" s="21" t="s">
        <v>672</v>
      </c>
      <c r="C121" s="21" t="s">
        <v>673</v>
      </c>
      <c r="D121" s="21" t="s">
        <v>674</v>
      </c>
      <c r="E121" s="21" t="s">
        <v>83</v>
      </c>
      <c r="F121" s="21" t="s">
        <v>675</v>
      </c>
      <c r="G121" s="21"/>
      <c r="H121" s="25"/>
      <c r="I121" s="25"/>
      <c r="J121" s="25"/>
      <c r="K121" s="25"/>
      <c r="L121" s="25"/>
      <c r="M121" s="22" t="s">
        <v>86</v>
      </c>
      <c r="N121" s="23">
        <v>46083</v>
      </c>
      <c r="O121" s="26" t="str">
        <f t="shared" si="3"/>
        <v>OK</v>
      </c>
      <c r="P121" s="30" t="str">
        <f t="shared" si="4"/>
        <v/>
      </c>
      <c r="Q121" s="26" t="str">
        <f t="shared" si="5"/>
        <v/>
      </c>
    </row>
    <row r="122" spans="1:17" x14ac:dyDescent="0.3">
      <c r="A122" s="33">
        <v>1401900391</v>
      </c>
      <c r="B122" s="21" t="s">
        <v>676</v>
      </c>
      <c r="C122" s="21" t="s">
        <v>677</v>
      </c>
      <c r="D122" s="21" t="s">
        <v>678</v>
      </c>
      <c r="E122" s="21" t="s">
        <v>252</v>
      </c>
      <c r="F122" s="21" t="s">
        <v>679</v>
      </c>
      <c r="G122" s="21" t="s">
        <v>680</v>
      </c>
      <c r="H122" s="25"/>
      <c r="I122" s="25"/>
      <c r="J122" s="25"/>
      <c r="K122" s="25"/>
      <c r="L122" s="25"/>
      <c r="M122" s="22" t="s">
        <v>86</v>
      </c>
      <c r="N122" s="23">
        <v>46083</v>
      </c>
      <c r="O122" s="26" t="str">
        <f t="shared" si="3"/>
        <v>OK</v>
      </c>
      <c r="P122" s="30" t="str">
        <f t="shared" si="4"/>
        <v/>
      </c>
      <c r="Q122" s="26" t="str">
        <f t="shared" si="5"/>
        <v/>
      </c>
    </row>
    <row r="123" spans="1:17" x14ac:dyDescent="0.3">
      <c r="A123" s="33">
        <v>6648600297</v>
      </c>
      <c r="B123" s="21" t="s">
        <v>681</v>
      </c>
      <c r="C123" s="21" t="s">
        <v>682</v>
      </c>
      <c r="D123" s="21" t="s">
        <v>683</v>
      </c>
      <c r="E123" s="21" t="s">
        <v>83</v>
      </c>
      <c r="F123" s="21" t="s">
        <v>684</v>
      </c>
      <c r="G123" s="21" t="s">
        <v>685</v>
      </c>
      <c r="H123" s="25"/>
      <c r="I123" s="25"/>
      <c r="J123" s="25"/>
      <c r="K123" s="25"/>
      <c r="L123" s="25"/>
      <c r="M123" s="22" t="s">
        <v>86</v>
      </c>
      <c r="N123" s="23">
        <v>46083</v>
      </c>
      <c r="O123" s="26" t="str">
        <f t="shared" si="3"/>
        <v>OK</v>
      </c>
      <c r="P123" s="30" t="str">
        <f t="shared" si="4"/>
        <v/>
      </c>
      <c r="Q123" s="26" t="str">
        <f t="shared" si="5"/>
        <v/>
      </c>
    </row>
    <row r="124" spans="1:17" x14ac:dyDescent="0.3">
      <c r="A124" s="33">
        <v>4020656022</v>
      </c>
      <c r="B124" s="21" t="s">
        <v>686</v>
      </c>
      <c r="C124" s="21" t="s">
        <v>687</v>
      </c>
      <c r="D124" s="21" t="s">
        <v>688</v>
      </c>
      <c r="E124" s="21" t="s">
        <v>117</v>
      </c>
      <c r="F124" s="21" t="s">
        <v>689</v>
      </c>
      <c r="G124" s="21" t="s">
        <v>690</v>
      </c>
      <c r="H124" s="25"/>
      <c r="I124" s="25"/>
      <c r="J124" s="25"/>
      <c r="K124" s="25"/>
      <c r="L124" s="25"/>
      <c r="M124" s="22" t="s">
        <v>86</v>
      </c>
      <c r="N124" s="23">
        <v>46083</v>
      </c>
      <c r="O124" s="26" t="str">
        <f t="shared" si="3"/>
        <v>OK</v>
      </c>
      <c r="P124" s="30" t="str">
        <f t="shared" si="4"/>
        <v/>
      </c>
      <c r="Q124" s="26" t="str">
        <f t="shared" si="5"/>
        <v/>
      </c>
    </row>
    <row r="125" spans="1:17" x14ac:dyDescent="0.3">
      <c r="A125" s="33">
        <v>8598602836</v>
      </c>
      <c r="B125" s="21" t="s">
        <v>691</v>
      </c>
      <c r="C125" s="21" t="s">
        <v>692</v>
      </c>
      <c r="D125" s="21" t="s">
        <v>693</v>
      </c>
      <c r="E125" s="21" t="s">
        <v>694</v>
      </c>
      <c r="F125" s="21" t="s">
        <v>695</v>
      </c>
      <c r="G125" s="21"/>
      <c r="H125" s="25"/>
      <c r="I125" s="25"/>
      <c r="J125" s="25"/>
      <c r="K125" s="25"/>
      <c r="L125" s="25"/>
      <c r="M125" s="22" t="s">
        <v>86</v>
      </c>
      <c r="N125" s="23">
        <v>46083</v>
      </c>
      <c r="O125" s="26" t="str">
        <f t="shared" si="3"/>
        <v>OK</v>
      </c>
      <c r="P125" s="30" t="str">
        <f t="shared" si="4"/>
        <v/>
      </c>
      <c r="Q125" s="26" t="str">
        <f t="shared" si="5"/>
        <v/>
      </c>
    </row>
    <row r="126" spans="1:17" x14ac:dyDescent="0.3">
      <c r="A126" s="33">
        <v>6457700391</v>
      </c>
      <c r="B126" s="21" t="s">
        <v>696</v>
      </c>
      <c r="C126" s="21" t="s">
        <v>697</v>
      </c>
      <c r="D126" s="21" t="s">
        <v>698</v>
      </c>
      <c r="E126" s="21" t="s">
        <v>247</v>
      </c>
      <c r="F126" s="21" t="s">
        <v>699</v>
      </c>
      <c r="G126" s="21" t="s">
        <v>700</v>
      </c>
      <c r="H126" s="25"/>
      <c r="I126" s="25"/>
      <c r="J126" s="25"/>
      <c r="K126" s="25"/>
      <c r="L126" s="25"/>
      <c r="M126" s="22" t="s">
        <v>86</v>
      </c>
      <c r="N126" s="23">
        <v>46083</v>
      </c>
      <c r="O126" s="26" t="str">
        <f t="shared" si="3"/>
        <v>OK</v>
      </c>
      <c r="P126" s="30" t="str">
        <f t="shared" si="4"/>
        <v/>
      </c>
      <c r="Q126" s="26" t="str">
        <f t="shared" si="5"/>
        <v/>
      </c>
    </row>
    <row r="127" spans="1:17" x14ac:dyDescent="0.3">
      <c r="A127" s="33">
        <v>6530302026</v>
      </c>
      <c r="B127" s="21" t="s">
        <v>701</v>
      </c>
      <c r="C127" s="21" t="s">
        <v>702</v>
      </c>
      <c r="D127" s="21" t="s">
        <v>703</v>
      </c>
      <c r="E127" s="21" t="s">
        <v>179</v>
      </c>
      <c r="F127" s="21" t="s">
        <v>704</v>
      </c>
      <c r="G127" s="21" t="s">
        <v>705</v>
      </c>
      <c r="H127" s="25"/>
      <c r="I127" s="25"/>
      <c r="J127" s="25"/>
      <c r="K127" s="25"/>
      <c r="L127" s="25"/>
      <c r="M127" s="22" t="s">
        <v>86</v>
      </c>
      <c r="N127" s="23">
        <v>46083</v>
      </c>
      <c r="O127" s="26" t="str">
        <f t="shared" si="3"/>
        <v>OK</v>
      </c>
      <c r="P127" s="30" t="str">
        <f t="shared" si="4"/>
        <v/>
      </c>
      <c r="Q127" s="26" t="str">
        <f t="shared" si="5"/>
        <v/>
      </c>
    </row>
    <row r="128" spans="1:17" x14ac:dyDescent="0.3">
      <c r="A128" s="33">
        <v>4180796313</v>
      </c>
      <c r="B128" s="21" t="s">
        <v>706</v>
      </c>
      <c r="C128" s="21" t="s">
        <v>707</v>
      </c>
      <c r="D128" s="21" t="s">
        <v>708</v>
      </c>
      <c r="E128" s="21" t="s">
        <v>179</v>
      </c>
      <c r="F128" s="21" t="s">
        <v>709</v>
      </c>
      <c r="G128" s="21" t="s">
        <v>710</v>
      </c>
      <c r="H128" s="25"/>
      <c r="I128" s="25"/>
      <c r="J128" s="25"/>
      <c r="K128" s="25"/>
      <c r="L128" s="25"/>
      <c r="M128" s="22" t="s">
        <v>86</v>
      </c>
      <c r="N128" s="23">
        <v>46083</v>
      </c>
      <c r="O128" s="26" t="str">
        <f t="shared" si="3"/>
        <v>OK</v>
      </c>
      <c r="P128" s="30" t="str">
        <f t="shared" si="4"/>
        <v/>
      </c>
      <c r="Q128" s="26" t="str">
        <f t="shared" si="5"/>
        <v/>
      </c>
    </row>
    <row r="129" spans="1:17" x14ac:dyDescent="0.3">
      <c r="A129" s="33">
        <v>4031498165</v>
      </c>
      <c r="B129" s="21" t="s">
        <v>711</v>
      </c>
      <c r="C129" s="21" t="s">
        <v>712</v>
      </c>
      <c r="D129" s="21" t="s">
        <v>713</v>
      </c>
      <c r="E129" s="21" t="s">
        <v>714</v>
      </c>
      <c r="F129" s="21" t="s">
        <v>715</v>
      </c>
      <c r="G129" s="21" t="s">
        <v>716</v>
      </c>
      <c r="H129" s="25"/>
      <c r="I129" s="25"/>
      <c r="J129" s="25"/>
      <c r="K129" s="25"/>
      <c r="L129" s="25"/>
      <c r="M129" s="22" t="s">
        <v>86</v>
      </c>
      <c r="N129" s="23">
        <v>46083</v>
      </c>
      <c r="O129" s="26" t="str">
        <f t="shared" si="3"/>
        <v>OK</v>
      </c>
      <c r="P129" s="30" t="str">
        <f t="shared" si="4"/>
        <v/>
      </c>
      <c r="Q129" s="26" t="str">
        <f t="shared" si="5"/>
        <v/>
      </c>
    </row>
    <row r="130" spans="1:17" x14ac:dyDescent="0.3">
      <c r="A130" s="33">
        <v>3652300435</v>
      </c>
      <c r="B130" s="21" t="s">
        <v>717</v>
      </c>
      <c r="C130" s="21" t="s">
        <v>718</v>
      </c>
      <c r="D130" s="21" t="s">
        <v>719</v>
      </c>
      <c r="E130" s="21" t="s">
        <v>179</v>
      </c>
      <c r="F130" s="21" t="s">
        <v>83</v>
      </c>
      <c r="G130" s="21" t="s">
        <v>720</v>
      </c>
      <c r="H130" s="25"/>
      <c r="I130" s="25"/>
      <c r="J130" s="25"/>
      <c r="K130" s="25"/>
      <c r="L130" s="25"/>
      <c r="M130" s="22" t="s">
        <v>86</v>
      </c>
      <c r="N130" s="23">
        <v>46083</v>
      </c>
      <c r="O130" s="26" t="str">
        <f t="shared" ref="O130:O193" si="6">IF(A130="","",IFERROR(IF(AND(LEN(A130)=10,NOT(ISERROR(VALUE(A130)))),"OK","확인"),"확인"))</f>
        <v>OK</v>
      </c>
      <c r="P130" s="30" t="str">
        <f t="shared" ref="P130:P193" si="7">IF(A130="","",IF(COUNTIF($A$2:$A$1946,A130)&gt;1,"중복",""))</f>
        <v/>
      </c>
      <c r="Q130" s="26" t="str">
        <f t="shared" ref="Q130:Q193" si="8">IF(G130="","",IF(ISNUMBER(SEARCH("@",G130)),"","확인"))</f>
        <v/>
      </c>
    </row>
    <row r="131" spans="1:17" x14ac:dyDescent="0.3">
      <c r="A131" s="33">
        <v>7111500837</v>
      </c>
      <c r="B131" s="21" t="s">
        <v>721</v>
      </c>
      <c r="C131" s="21" t="s">
        <v>722</v>
      </c>
      <c r="D131" s="21" t="s">
        <v>723</v>
      </c>
      <c r="E131" s="21" t="s">
        <v>179</v>
      </c>
      <c r="F131" s="21" t="s">
        <v>724</v>
      </c>
      <c r="G131" s="21"/>
      <c r="H131" s="25"/>
      <c r="I131" s="25"/>
      <c r="J131" s="25"/>
      <c r="K131" s="25"/>
      <c r="L131" s="25"/>
      <c r="M131" s="22" t="s">
        <v>86</v>
      </c>
      <c r="N131" s="23">
        <v>46083</v>
      </c>
      <c r="O131" s="26" t="str">
        <f t="shared" si="6"/>
        <v>OK</v>
      </c>
      <c r="P131" s="30" t="str">
        <f t="shared" si="7"/>
        <v/>
      </c>
      <c r="Q131" s="26" t="str">
        <f t="shared" si="8"/>
        <v/>
      </c>
    </row>
    <row r="132" spans="1:17" x14ac:dyDescent="0.3">
      <c r="A132" s="33">
        <v>4021772014</v>
      </c>
      <c r="B132" s="21" t="s">
        <v>725</v>
      </c>
      <c r="C132" s="21" t="s">
        <v>726</v>
      </c>
      <c r="D132" s="21" t="s">
        <v>727</v>
      </c>
      <c r="E132" s="21" t="s">
        <v>728</v>
      </c>
      <c r="F132" s="21" t="s">
        <v>729</v>
      </c>
      <c r="G132" s="21"/>
      <c r="H132" s="25"/>
      <c r="I132" s="25"/>
      <c r="J132" s="25"/>
      <c r="K132" s="25"/>
      <c r="L132" s="25"/>
      <c r="M132" s="22" t="s">
        <v>86</v>
      </c>
      <c r="N132" s="23">
        <v>46083</v>
      </c>
      <c r="O132" s="26" t="str">
        <f t="shared" si="6"/>
        <v>OK</v>
      </c>
      <c r="P132" s="30" t="str">
        <f t="shared" si="7"/>
        <v/>
      </c>
      <c r="Q132" s="26" t="str">
        <f t="shared" si="8"/>
        <v/>
      </c>
    </row>
    <row r="133" spans="1:17" x14ac:dyDescent="0.3">
      <c r="A133" s="33">
        <v>4038162918</v>
      </c>
      <c r="B133" s="21" t="s">
        <v>730</v>
      </c>
      <c r="C133" s="21" t="s">
        <v>731</v>
      </c>
      <c r="D133" s="21" t="s">
        <v>732</v>
      </c>
      <c r="E133" s="21" t="s">
        <v>83</v>
      </c>
      <c r="F133" s="21" t="s">
        <v>84</v>
      </c>
      <c r="G133" s="21" t="s">
        <v>733</v>
      </c>
      <c r="H133" s="25"/>
      <c r="I133" s="25"/>
      <c r="J133" s="25"/>
      <c r="K133" s="25"/>
      <c r="L133" s="25"/>
      <c r="M133" s="22" t="s">
        <v>86</v>
      </c>
      <c r="N133" s="23">
        <v>46083</v>
      </c>
      <c r="O133" s="26" t="str">
        <f t="shared" si="6"/>
        <v>OK</v>
      </c>
      <c r="P133" s="30" t="str">
        <f t="shared" si="7"/>
        <v/>
      </c>
      <c r="Q133" s="26" t="str">
        <f t="shared" si="8"/>
        <v/>
      </c>
    </row>
    <row r="134" spans="1:17" x14ac:dyDescent="0.3">
      <c r="A134" s="33">
        <v>4188100326</v>
      </c>
      <c r="B134" s="21" t="s">
        <v>734</v>
      </c>
      <c r="C134" s="21" t="s">
        <v>735</v>
      </c>
      <c r="D134" s="21" t="s">
        <v>736</v>
      </c>
      <c r="E134" s="21" t="s">
        <v>83</v>
      </c>
      <c r="F134" s="21" t="s">
        <v>737</v>
      </c>
      <c r="G134" s="21" t="s">
        <v>738</v>
      </c>
      <c r="H134" s="25"/>
      <c r="I134" s="25"/>
      <c r="J134" s="25"/>
      <c r="K134" s="25"/>
      <c r="L134" s="25"/>
      <c r="M134" s="22" t="s">
        <v>86</v>
      </c>
      <c r="N134" s="23">
        <v>46083</v>
      </c>
      <c r="O134" s="26" t="str">
        <f t="shared" si="6"/>
        <v>OK</v>
      </c>
      <c r="P134" s="30" t="str">
        <f t="shared" si="7"/>
        <v/>
      </c>
      <c r="Q134" s="26" t="str">
        <f t="shared" si="8"/>
        <v/>
      </c>
    </row>
    <row r="135" spans="1:17" x14ac:dyDescent="0.3">
      <c r="A135" s="33">
        <v>4181176217</v>
      </c>
      <c r="B135" s="21" t="s">
        <v>739</v>
      </c>
      <c r="C135" s="21" t="s">
        <v>740</v>
      </c>
      <c r="D135" s="21" t="s">
        <v>741</v>
      </c>
      <c r="E135" s="21"/>
      <c r="F135" s="21"/>
      <c r="G135" s="21"/>
      <c r="H135" s="25"/>
      <c r="I135" s="25"/>
      <c r="J135" s="25"/>
      <c r="K135" s="25"/>
      <c r="L135" s="25"/>
      <c r="M135" s="22" t="s">
        <v>86</v>
      </c>
      <c r="N135" s="23">
        <v>46083</v>
      </c>
      <c r="O135" s="26" t="str">
        <f t="shared" si="6"/>
        <v>OK</v>
      </c>
      <c r="P135" s="30" t="str">
        <f t="shared" si="7"/>
        <v/>
      </c>
      <c r="Q135" s="26" t="str">
        <f t="shared" si="8"/>
        <v/>
      </c>
    </row>
    <row r="136" spans="1:17" x14ac:dyDescent="0.3">
      <c r="A136" s="33">
        <v>4010972199</v>
      </c>
      <c r="B136" s="21" t="s">
        <v>742</v>
      </c>
      <c r="C136" s="21" t="s">
        <v>743</v>
      </c>
      <c r="D136" s="21" t="s">
        <v>744</v>
      </c>
      <c r="E136" s="21" t="s">
        <v>405</v>
      </c>
      <c r="F136" s="21" t="s">
        <v>745</v>
      </c>
      <c r="G136" s="21" t="s">
        <v>746</v>
      </c>
      <c r="H136" s="25"/>
      <c r="I136" s="25"/>
      <c r="J136" s="25"/>
      <c r="K136" s="25"/>
      <c r="L136" s="25"/>
      <c r="M136" s="22" t="s">
        <v>86</v>
      </c>
      <c r="N136" s="23">
        <v>46083</v>
      </c>
      <c r="O136" s="26" t="str">
        <f t="shared" si="6"/>
        <v>OK</v>
      </c>
      <c r="P136" s="30" t="str">
        <f t="shared" si="7"/>
        <v/>
      </c>
      <c r="Q136" s="26" t="str">
        <f t="shared" si="8"/>
        <v/>
      </c>
    </row>
    <row r="137" spans="1:17" x14ac:dyDescent="0.3">
      <c r="A137" s="33">
        <v>4532700180</v>
      </c>
      <c r="B137" s="21" t="s">
        <v>747</v>
      </c>
      <c r="C137" s="21" t="s">
        <v>748</v>
      </c>
      <c r="D137" s="21" t="s">
        <v>749</v>
      </c>
      <c r="E137" s="21" t="s">
        <v>336</v>
      </c>
      <c r="F137" s="21" t="s">
        <v>750</v>
      </c>
      <c r="G137" s="21" t="s">
        <v>751</v>
      </c>
      <c r="H137" s="25"/>
      <c r="I137" s="25"/>
      <c r="J137" s="25"/>
      <c r="K137" s="25"/>
      <c r="L137" s="25"/>
      <c r="M137" s="22" t="s">
        <v>86</v>
      </c>
      <c r="N137" s="23">
        <v>46083</v>
      </c>
      <c r="O137" s="26" t="str">
        <f t="shared" si="6"/>
        <v>OK</v>
      </c>
      <c r="P137" s="30" t="str">
        <f t="shared" si="7"/>
        <v/>
      </c>
      <c r="Q137" s="26" t="str">
        <f t="shared" si="8"/>
        <v/>
      </c>
    </row>
    <row r="138" spans="1:17" x14ac:dyDescent="0.3">
      <c r="A138" s="33">
        <v>4030683051</v>
      </c>
      <c r="B138" s="21" t="s">
        <v>752</v>
      </c>
      <c r="C138" s="21" t="s">
        <v>753</v>
      </c>
      <c r="D138" s="21" t="s">
        <v>754</v>
      </c>
      <c r="E138" s="21" t="s">
        <v>179</v>
      </c>
      <c r="F138" s="21" t="s">
        <v>755</v>
      </c>
      <c r="G138" s="21" t="s">
        <v>756</v>
      </c>
      <c r="H138" s="25"/>
      <c r="I138" s="25"/>
      <c r="J138" s="25"/>
      <c r="K138" s="25"/>
      <c r="L138" s="25"/>
      <c r="M138" s="22" t="s">
        <v>86</v>
      </c>
      <c r="N138" s="23">
        <v>46083</v>
      </c>
      <c r="O138" s="26" t="str">
        <f t="shared" si="6"/>
        <v>OK</v>
      </c>
      <c r="P138" s="30" t="str">
        <f t="shared" si="7"/>
        <v/>
      </c>
      <c r="Q138" s="26" t="str">
        <f t="shared" si="8"/>
        <v/>
      </c>
    </row>
    <row r="139" spans="1:17" x14ac:dyDescent="0.3">
      <c r="A139" s="33">
        <v>4028199877</v>
      </c>
      <c r="B139" s="21" t="s">
        <v>757</v>
      </c>
      <c r="C139" s="21" t="s">
        <v>758</v>
      </c>
      <c r="D139" s="21" t="s">
        <v>759</v>
      </c>
      <c r="E139" s="21" t="s">
        <v>83</v>
      </c>
      <c r="F139" s="21" t="s">
        <v>760</v>
      </c>
      <c r="G139" s="21" t="s">
        <v>761</v>
      </c>
      <c r="H139" s="25"/>
      <c r="I139" s="25"/>
      <c r="J139" s="25"/>
      <c r="K139" s="25"/>
      <c r="L139" s="25"/>
      <c r="M139" s="22" t="s">
        <v>86</v>
      </c>
      <c r="N139" s="23">
        <v>46083</v>
      </c>
      <c r="O139" s="26" t="str">
        <f t="shared" si="6"/>
        <v>OK</v>
      </c>
      <c r="P139" s="30" t="str">
        <f t="shared" si="7"/>
        <v/>
      </c>
      <c r="Q139" s="26" t="str">
        <f t="shared" si="8"/>
        <v/>
      </c>
    </row>
    <row r="140" spans="1:17" x14ac:dyDescent="0.3">
      <c r="A140" s="33">
        <v>4031529476</v>
      </c>
      <c r="B140" s="21" t="s">
        <v>762</v>
      </c>
      <c r="C140" s="21" t="s">
        <v>763</v>
      </c>
      <c r="D140" s="21" t="s">
        <v>764</v>
      </c>
      <c r="E140" s="21" t="s">
        <v>83</v>
      </c>
      <c r="F140" s="21" t="s">
        <v>96</v>
      </c>
      <c r="G140" s="21" t="s">
        <v>765</v>
      </c>
      <c r="H140" s="25"/>
      <c r="I140" s="25"/>
      <c r="J140" s="25"/>
      <c r="K140" s="25"/>
      <c r="L140" s="25"/>
      <c r="M140" s="22" t="s">
        <v>86</v>
      </c>
      <c r="N140" s="23">
        <v>46083</v>
      </c>
      <c r="O140" s="26" t="str">
        <f t="shared" si="6"/>
        <v>OK</v>
      </c>
      <c r="P140" s="30" t="str">
        <f t="shared" si="7"/>
        <v/>
      </c>
      <c r="Q140" s="26" t="str">
        <f t="shared" si="8"/>
        <v/>
      </c>
    </row>
    <row r="141" spans="1:17" x14ac:dyDescent="0.3">
      <c r="A141" s="34">
        <v>2644800396</v>
      </c>
      <c r="B141" s="21" t="s">
        <v>766</v>
      </c>
      <c r="C141" s="21" t="s">
        <v>767</v>
      </c>
      <c r="D141" s="21" t="s">
        <v>768</v>
      </c>
      <c r="E141" s="21" t="s">
        <v>179</v>
      </c>
      <c r="F141" s="21" t="s">
        <v>769</v>
      </c>
      <c r="G141" s="21" t="s">
        <v>770</v>
      </c>
      <c r="H141" s="25"/>
      <c r="I141" s="25"/>
      <c r="J141" s="25"/>
      <c r="K141" s="25"/>
      <c r="L141" s="25"/>
      <c r="M141" s="22" t="s">
        <v>86</v>
      </c>
      <c r="N141" s="23">
        <v>46083</v>
      </c>
      <c r="O141" s="26" t="str">
        <f t="shared" si="6"/>
        <v>OK</v>
      </c>
      <c r="P141" s="30" t="str">
        <f t="shared" si="7"/>
        <v/>
      </c>
      <c r="Q141" s="26" t="str">
        <f t="shared" si="8"/>
        <v/>
      </c>
    </row>
    <row r="142" spans="1:17" x14ac:dyDescent="0.3">
      <c r="A142" s="33">
        <v>4038159392</v>
      </c>
      <c r="B142" s="21" t="s">
        <v>771</v>
      </c>
      <c r="C142" s="21" t="s">
        <v>772</v>
      </c>
      <c r="D142" s="21" t="s">
        <v>773</v>
      </c>
      <c r="E142" s="21" t="s">
        <v>179</v>
      </c>
      <c r="F142" s="21" t="s">
        <v>774</v>
      </c>
      <c r="G142" s="21" t="s">
        <v>775</v>
      </c>
      <c r="H142" s="25"/>
      <c r="I142" s="25"/>
      <c r="J142" s="25"/>
      <c r="K142" s="25"/>
      <c r="L142" s="25"/>
      <c r="M142" s="22" t="s">
        <v>86</v>
      </c>
      <c r="N142" s="23">
        <v>46083</v>
      </c>
      <c r="O142" s="26" t="str">
        <f t="shared" si="6"/>
        <v>OK</v>
      </c>
      <c r="P142" s="30" t="str">
        <f t="shared" si="7"/>
        <v/>
      </c>
      <c r="Q142" s="26" t="str">
        <f t="shared" si="8"/>
        <v/>
      </c>
    </row>
    <row r="143" spans="1:17" x14ac:dyDescent="0.3">
      <c r="A143" s="33">
        <v>1288146356</v>
      </c>
      <c r="B143" s="21" t="s">
        <v>776</v>
      </c>
      <c r="C143" s="21" t="s">
        <v>777</v>
      </c>
      <c r="D143" s="21" t="s">
        <v>778</v>
      </c>
      <c r="E143" s="21" t="s">
        <v>111</v>
      </c>
      <c r="F143" s="21" t="s">
        <v>779</v>
      </c>
      <c r="G143" s="21" t="s">
        <v>780</v>
      </c>
      <c r="H143" s="25"/>
      <c r="I143" s="25"/>
      <c r="J143" s="25"/>
      <c r="K143" s="25"/>
      <c r="L143" s="25"/>
      <c r="M143" s="22" t="s">
        <v>86</v>
      </c>
      <c r="N143" s="23">
        <v>46083</v>
      </c>
      <c r="O143" s="26" t="str">
        <f t="shared" si="6"/>
        <v>OK</v>
      </c>
      <c r="P143" s="30" t="str">
        <f t="shared" si="7"/>
        <v/>
      </c>
      <c r="Q143" s="26" t="str">
        <f t="shared" si="8"/>
        <v/>
      </c>
    </row>
    <row r="144" spans="1:17" x14ac:dyDescent="0.3">
      <c r="A144" s="33">
        <v>5628701056</v>
      </c>
      <c r="B144" s="21" t="s">
        <v>781</v>
      </c>
      <c r="C144" s="21" t="s">
        <v>782</v>
      </c>
      <c r="D144" s="21" t="s">
        <v>783</v>
      </c>
      <c r="E144" s="21" t="s">
        <v>537</v>
      </c>
      <c r="F144" s="21" t="s">
        <v>148</v>
      </c>
      <c r="G144" s="21" t="s">
        <v>784</v>
      </c>
      <c r="H144" s="25"/>
      <c r="I144" s="25"/>
      <c r="J144" s="25"/>
      <c r="K144" s="25"/>
      <c r="L144" s="25"/>
      <c r="M144" s="22" t="s">
        <v>86</v>
      </c>
      <c r="N144" s="23">
        <v>46083</v>
      </c>
      <c r="O144" s="26" t="str">
        <f t="shared" si="6"/>
        <v>OK</v>
      </c>
      <c r="P144" s="30" t="str">
        <f t="shared" si="7"/>
        <v/>
      </c>
      <c r="Q144" s="26" t="str">
        <f t="shared" si="8"/>
        <v/>
      </c>
    </row>
    <row r="145" spans="1:17" x14ac:dyDescent="0.3">
      <c r="A145" s="33">
        <v>1978701075</v>
      </c>
      <c r="B145" s="21" t="s">
        <v>785</v>
      </c>
      <c r="C145" s="21" t="s">
        <v>786</v>
      </c>
      <c r="D145" s="21" t="s">
        <v>787</v>
      </c>
      <c r="E145" s="21" t="s">
        <v>788</v>
      </c>
      <c r="F145" s="21" t="s">
        <v>789</v>
      </c>
      <c r="G145" s="21" t="s">
        <v>790</v>
      </c>
      <c r="H145" s="25"/>
      <c r="I145" s="25"/>
      <c r="J145" s="25"/>
      <c r="K145" s="25"/>
      <c r="L145" s="25"/>
      <c r="M145" s="22" t="s">
        <v>86</v>
      </c>
      <c r="N145" s="23">
        <v>46083</v>
      </c>
      <c r="O145" s="26" t="str">
        <f t="shared" si="6"/>
        <v>OK</v>
      </c>
      <c r="P145" s="30" t="str">
        <f t="shared" si="7"/>
        <v/>
      </c>
      <c r="Q145" s="26" t="str">
        <f t="shared" si="8"/>
        <v/>
      </c>
    </row>
    <row r="146" spans="1:17" x14ac:dyDescent="0.3">
      <c r="A146" s="33">
        <v>5048616503</v>
      </c>
      <c r="B146" s="21" t="s">
        <v>791</v>
      </c>
      <c r="C146" s="21" t="s">
        <v>792</v>
      </c>
      <c r="D146" s="21" t="s">
        <v>793</v>
      </c>
      <c r="E146" s="21" t="s">
        <v>190</v>
      </c>
      <c r="F146" s="21" t="s">
        <v>794</v>
      </c>
      <c r="G146" s="21" t="s">
        <v>795</v>
      </c>
      <c r="H146" s="25"/>
      <c r="I146" s="25"/>
      <c r="J146" s="25"/>
      <c r="K146" s="25"/>
      <c r="L146" s="25"/>
      <c r="M146" s="22" t="s">
        <v>86</v>
      </c>
      <c r="N146" s="23">
        <v>46083</v>
      </c>
      <c r="O146" s="26" t="str">
        <f t="shared" si="6"/>
        <v>OK</v>
      </c>
      <c r="P146" s="30" t="str">
        <f t="shared" si="7"/>
        <v/>
      </c>
      <c r="Q146" s="26" t="str">
        <f t="shared" si="8"/>
        <v/>
      </c>
    </row>
    <row r="147" spans="1:17" x14ac:dyDescent="0.3">
      <c r="A147" s="33">
        <v>4188701671</v>
      </c>
      <c r="B147" s="21" t="s">
        <v>796</v>
      </c>
      <c r="C147" s="21" t="s">
        <v>797</v>
      </c>
      <c r="D147" s="21" t="s">
        <v>798</v>
      </c>
      <c r="E147" s="21" t="s">
        <v>179</v>
      </c>
      <c r="F147" s="21" t="s">
        <v>799</v>
      </c>
      <c r="G147" s="21" t="s">
        <v>800</v>
      </c>
      <c r="H147" s="25"/>
      <c r="I147" s="25"/>
      <c r="J147" s="25"/>
      <c r="K147" s="25"/>
      <c r="L147" s="25"/>
      <c r="M147" s="22" t="s">
        <v>86</v>
      </c>
      <c r="N147" s="23">
        <v>46083</v>
      </c>
      <c r="O147" s="26" t="str">
        <f t="shared" si="6"/>
        <v>OK</v>
      </c>
      <c r="P147" s="30" t="str">
        <f t="shared" si="7"/>
        <v/>
      </c>
      <c r="Q147" s="26" t="str">
        <f t="shared" si="8"/>
        <v/>
      </c>
    </row>
    <row r="148" spans="1:17" x14ac:dyDescent="0.3">
      <c r="A148" s="33">
        <v>6388702293</v>
      </c>
      <c r="B148" s="21" t="s">
        <v>801</v>
      </c>
      <c r="C148" s="21" t="s">
        <v>802</v>
      </c>
      <c r="D148" s="21" t="s">
        <v>803</v>
      </c>
      <c r="E148" s="21" t="s">
        <v>83</v>
      </c>
      <c r="F148" s="21" t="s">
        <v>84</v>
      </c>
      <c r="G148" s="21" t="s">
        <v>804</v>
      </c>
      <c r="H148" s="25"/>
      <c r="I148" s="25"/>
      <c r="J148" s="25"/>
      <c r="K148" s="25"/>
      <c r="L148" s="25"/>
      <c r="M148" s="22" t="s">
        <v>86</v>
      </c>
      <c r="N148" s="23">
        <v>46083</v>
      </c>
      <c r="O148" s="26" t="str">
        <f t="shared" si="6"/>
        <v>OK</v>
      </c>
      <c r="P148" s="30" t="str">
        <f t="shared" si="7"/>
        <v/>
      </c>
      <c r="Q148" s="26" t="str">
        <f t="shared" si="8"/>
        <v/>
      </c>
    </row>
    <row r="149" spans="1:17" x14ac:dyDescent="0.3">
      <c r="A149" s="33">
        <v>1348637288</v>
      </c>
      <c r="B149" s="21" t="s">
        <v>805</v>
      </c>
      <c r="C149" s="21" t="s">
        <v>806</v>
      </c>
      <c r="D149" s="21" t="s">
        <v>807</v>
      </c>
      <c r="E149" s="21" t="s">
        <v>83</v>
      </c>
      <c r="F149" s="21" t="s">
        <v>808</v>
      </c>
      <c r="G149" s="21" t="s">
        <v>809</v>
      </c>
      <c r="H149" s="25"/>
      <c r="I149" s="25"/>
      <c r="J149" s="25"/>
      <c r="K149" s="25"/>
      <c r="L149" s="25"/>
      <c r="M149" s="22" t="s">
        <v>86</v>
      </c>
      <c r="N149" s="23">
        <v>46083</v>
      </c>
      <c r="O149" s="26" t="str">
        <f t="shared" si="6"/>
        <v>OK</v>
      </c>
      <c r="P149" s="30" t="str">
        <f t="shared" si="7"/>
        <v/>
      </c>
      <c r="Q149" s="26" t="str">
        <f t="shared" si="8"/>
        <v/>
      </c>
    </row>
    <row r="150" spans="1:17" x14ac:dyDescent="0.3">
      <c r="A150" s="33">
        <v>6858600654</v>
      </c>
      <c r="B150" s="21" t="s">
        <v>810</v>
      </c>
      <c r="C150" s="21" t="s">
        <v>811</v>
      </c>
      <c r="D150" s="21" t="s">
        <v>812</v>
      </c>
      <c r="E150" s="21" t="s">
        <v>190</v>
      </c>
      <c r="F150" s="21" t="s">
        <v>813</v>
      </c>
      <c r="G150" s="21" t="s">
        <v>814</v>
      </c>
      <c r="H150" s="25"/>
      <c r="I150" s="25"/>
      <c r="J150" s="25"/>
      <c r="K150" s="25"/>
      <c r="L150" s="25"/>
      <c r="M150" s="22" t="s">
        <v>86</v>
      </c>
      <c r="N150" s="23">
        <v>46083</v>
      </c>
      <c r="O150" s="26" t="str">
        <f t="shared" si="6"/>
        <v>OK</v>
      </c>
      <c r="P150" s="30" t="str">
        <f t="shared" si="7"/>
        <v/>
      </c>
      <c r="Q150" s="26" t="str">
        <f t="shared" si="8"/>
        <v/>
      </c>
    </row>
    <row r="151" spans="1:17" x14ac:dyDescent="0.3">
      <c r="A151" s="33">
        <v>6778101133</v>
      </c>
      <c r="B151" s="21" t="s">
        <v>815</v>
      </c>
      <c r="C151" s="21" t="s">
        <v>816</v>
      </c>
      <c r="D151" s="21" t="s">
        <v>817</v>
      </c>
      <c r="E151" s="21" t="s">
        <v>83</v>
      </c>
      <c r="F151" s="21" t="s">
        <v>818</v>
      </c>
      <c r="G151" s="21" t="s">
        <v>819</v>
      </c>
      <c r="H151" s="25"/>
      <c r="I151" s="25"/>
      <c r="J151" s="25"/>
      <c r="K151" s="25"/>
      <c r="L151" s="25"/>
      <c r="M151" s="22" t="s">
        <v>86</v>
      </c>
      <c r="N151" s="23">
        <v>46083</v>
      </c>
      <c r="O151" s="26" t="str">
        <f t="shared" si="6"/>
        <v>OK</v>
      </c>
      <c r="P151" s="30" t="str">
        <f t="shared" si="7"/>
        <v/>
      </c>
      <c r="Q151" s="26" t="str">
        <f t="shared" si="8"/>
        <v/>
      </c>
    </row>
    <row r="152" spans="1:17" x14ac:dyDescent="0.3">
      <c r="A152" s="33">
        <v>1428115499</v>
      </c>
      <c r="B152" s="21" t="s">
        <v>820</v>
      </c>
      <c r="C152" s="21" t="s">
        <v>821</v>
      </c>
      <c r="D152" s="21" t="s">
        <v>822</v>
      </c>
      <c r="E152" s="21" t="s">
        <v>83</v>
      </c>
      <c r="F152" s="21" t="s">
        <v>823</v>
      </c>
      <c r="G152" s="21" t="s">
        <v>824</v>
      </c>
      <c r="H152" s="25"/>
      <c r="I152" s="25"/>
      <c r="J152" s="25"/>
      <c r="K152" s="25"/>
      <c r="L152" s="25"/>
      <c r="M152" s="22" t="s">
        <v>86</v>
      </c>
      <c r="N152" s="23">
        <v>46083</v>
      </c>
      <c r="O152" s="26" t="str">
        <f t="shared" si="6"/>
        <v>OK</v>
      </c>
      <c r="P152" s="30" t="str">
        <f t="shared" si="7"/>
        <v/>
      </c>
      <c r="Q152" s="26" t="str">
        <f t="shared" si="8"/>
        <v/>
      </c>
    </row>
    <row r="153" spans="1:17" x14ac:dyDescent="0.3">
      <c r="A153" s="33">
        <v>6698700019</v>
      </c>
      <c r="B153" s="21" t="s">
        <v>825</v>
      </c>
      <c r="C153" s="21" t="s">
        <v>826</v>
      </c>
      <c r="D153" s="21" t="s">
        <v>827</v>
      </c>
      <c r="E153" s="21" t="s">
        <v>83</v>
      </c>
      <c r="F153" s="21" t="s">
        <v>84</v>
      </c>
      <c r="G153" s="21" t="s">
        <v>828</v>
      </c>
      <c r="H153" s="25"/>
      <c r="I153" s="25"/>
      <c r="J153" s="25"/>
      <c r="K153" s="25"/>
      <c r="L153" s="25"/>
      <c r="M153" s="22" t="s">
        <v>86</v>
      </c>
      <c r="N153" s="23">
        <v>46083</v>
      </c>
      <c r="O153" s="26" t="str">
        <f t="shared" si="6"/>
        <v>OK</v>
      </c>
      <c r="P153" s="30" t="str">
        <f t="shared" si="7"/>
        <v/>
      </c>
      <c r="Q153" s="26" t="str">
        <f t="shared" si="8"/>
        <v/>
      </c>
    </row>
    <row r="154" spans="1:17" x14ac:dyDescent="0.3">
      <c r="A154" s="33">
        <v>4038171324</v>
      </c>
      <c r="B154" s="21" t="s">
        <v>829</v>
      </c>
      <c r="C154" s="21" t="s">
        <v>545</v>
      </c>
      <c r="D154" s="21" t="s">
        <v>531</v>
      </c>
      <c r="E154" s="21" t="s">
        <v>95</v>
      </c>
      <c r="F154" s="21" t="s">
        <v>830</v>
      </c>
      <c r="G154" s="21" t="s">
        <v>534</v>
      </c>
      <c r="H154" s="25"/>
      <c r="I154" s="25"/>
      <c r="J154" s="25"/>
      <c r="K154" s="25"/>
      <c r="L154" s="25"/>
      <c r="M154" s="22" t="s">
        <v>86</v>
      </c>
      <c r="N154" s="23">
        <v>46083</v>
      </c>
      <c r="O154" s="26" t="str">
        <f t="shared" si="6"/>
        <v>OK</v>
      </c>
      <c r="P154" s="30" t="str">
        <f t="shared" si="7"/>
        <v/>
      </c>
      <c r="Q154" s="26" t="str">
        <f t="shared" si="8"/>
        <v/>
      </c>
    </row>
    <row r="155" spans="1:17" x14ac:dyDescent="0.3">
      <c r="A155" s="33">
        <v>3348601662</v>
      </c>
      <c r="B155" s="21" t="s">
        <v>831</v>
      </c>
      <c r="C155" s="21" t="s">
        <v>832</v>
      </c>
      <c r="D155" s="21" t="s">
        <v>833</v>
      </c>
      <c r="E155" s="21" t="s">
        <v>83</v>
      </c>
      <c r="F155" s="21" t="s">
        <v>84</v>
      </c>
      <c r="G155" s="21" t="s">
        <v>834</v>
      </c>
      <c r="H155" s="25"/>
      <c r="I155" s="25"/>
      <c r="J155" s="25"/>
      <c r="K155" s="25"/>
      <c r="L155" s="25"/>
      <c r="M155" s="22" t="s">
        <v>86</v>
      </c>
      <c r="N155" s="23">
        <v>46083</v>
      </c>
      <c r="O155" s="26" t="str">
        <f t="shared" si="6"/>
        <v>OK</v>
      </c>
      <c r="P155" s="30" t="str">
        <f t="shared" si="7"/>
        <v/>
      </c>
      <c r="Q155" s="26" t="str">
        <f t="shared" si="8"/>
        <v/>
      </c>
    </row>
    <row r="156" spans="1:17" x14ac:dyDescent="0.3">
      <c r="A156" s="33">
        <v>2238104419</v>
      </c>
      <c r="B156" s="21" t="s">
        <v>835</v>
      </c>
      <c r="C156" s="21" t="s">
        <v>836</v>
      </c>
      <c r="D156" s="21" t="s">
        <v>837</v>
      </c>
      <c r="E156" s="21" t="s">
        <v>83</v>
      </c>
      <c r="F156" s="21" t="s">
        <v>838</v>
      </c>
      <c r="G156" s="21" t="s">
        <v>839</v>
      </c>
      <c r="H156" s="25"/>
      <c r="I156" s="25"/>
      <c r="J156" s="25"/>
      <c r="K156" s="25"/>
      <c r="L156" s="25"/>
      <c r="M156" s="22" t="s">
        <v>86</v>
      </c>
      <c r="N156" s="23">
        <v>46083</v>
      </c>
      <c r="O156" s="26" t="str">
        <f t="shared" si="6"/>
        <v>OK</v>
      </c>
      <c r="P156" s="30" t="str">
        <f t="shared" si="7"/>
        <v/>
      </c>
      <c r="Q156" s="26" t="str">
        <f t="shared" si="8"/>
        <v/>
      </c>
    </row>
    <row r="157" spans="1:17" x14ac:dyDescent="0.3">
      <c r="A157" s="33">
        <v>4038127487</v>
      </c>
      <c r="B157" s="21" t="s">
        <v>840</v>
      </c>
      <c r="C157" s="21" t="s">
        <v>841</v>
      </c>
      <c r="D157" s="21" t="s">
        <v>842</v>
      </c>
      <c r="E157" s="21" t="s">
        <v>83</v>
      </c>
      <c r="F157" s="21" t="s">
        <v>96</v>
      </c>
      <c r="G157" s="21" t="s">
        <v>843</v>
      </c>
      <c r="H157" s="25"/>
      <c r="I157" s="25"/>
      <c r="J157" s="25"/>
      <c r="K157" s="25"/>
      <c r="L157" s="25"/>
      <c r="M157" s="22" t="s">
        <v>86</v>
      </c>
      <c r="N157" s="23">
        <v>46083</v>
      </c>
      <c r="O157" s="26" t="str">
        <f t="shared" si="6"/>
        <v>OK</v>
      </c>
      <c r="P157" s="30" t="str">
        <f t="shared" si="7"/>
        <v/>
      </c>
      <c r="Q157" s="26" t="str">
        <f t="shared" si="8"/>
        <v/>
      </c>
    </row>
    <row r="158" spans="1:17" x14ac:dyDescent="0.3">
      <c r="A158" s="33">
        <v>3498801542</v>
      </c>
      <c r="B158" s="21" t="s">
        <v>844</v>
      </c>
      <c r="C158" s="21" t="s">
        <v>845</v>
      </c>
      <c r="D158" s="21" t="s">
        <v>846</v>
      </c>
      <c r="E158" s="21" t="s">
        <v>252</v>
      </c>
      <c r="F158" s="21" t="s">
        <v>847</v>
      </c>
      <c r="G158" s="21" t="s">
        <v>848</v>
      </c>
      <c r="H158" s="25"/>
      <c r="I158" s="25"/>
      <c r="J158" s="25"/>
      <c r="K158" s="25"/>
      <c r="L158" s="25"/>
      <c r="M158" s="22" t="s">
        <v>86</v>
      </c>
      <c r="N158" s="23">
        <v>46083</v>
      </c>
      <c r="O158" s="26" t="str">
        <f t="shared" si="6"/>
        <v>OK</v>
      </c>
      <c r="P158" s="30" t="str">
        <f t="shared" si="7"/>
        <v/>
      </c>
      <c r="Q158" s="26" t="str">
        <f t="shared" si="8"/>
        <v/>
      </c>
    </row>
    <row r="159" spans="1:17" x14ac:dyDescent="0.3">
      <c r="A159" s="33">
        <v>6158181895</v>
      </c>
      <c r="B159" s="21" t="s">
        <v>849</v>
      </c>
      <c r="C159" s="21" t="s">
        <v>3025</v>
      </c>
      <c r="D159" s="21" t="s">
        <v>3026</v>
      </c>
      <c r="E159" s="21" t="s">
        <v>83</v>
      </c>
      <c r="F159" s="21" t="s">
        <v>850</v>
      </c>
      <c r="G159" s="21" t="s">
        <v>851</v>
      </c>
      <c r="H159" s="25"/>
      <c r="I159" s="25"/>
      <c r="J159" s="25"/>
      <c r="K159" s="25"/>
      <c r="L159" s="25"/>
      <c r="M159" s="22" t="s">
        <v>86</v>
      </c>
      <c r="N159" s="23">
        <v>46083</v>
      </c>
      <c r="O159" s="26" t="str">
        <f t="shared" si="6"/>
        <v>OK</v>
      </c>
      <c r="P159" s="30" t="str">
        <f t="shared" si="7"/>
        <v/>
      </c>
      <c r="Q159" s="26" t="str">
        <f t="shared" si="8"/>
        <v/>
      </c>
    </row>
    <row r="160" spans="1:17" x14ac:dyDescent="0.3">
      <c r="A160" s="33">
        <v>4018131291</v>
      </c>
      <c r="B160" s="21" t="s">
        <v>852</v>
      </c>
      <c r="C160" s="21" t="s">
        <v>853</v>
      </c>
      <c r="D160" s="21" t="s">
        <v>854</v>
      </c>
      <c r="E160" s="21" t="s">
        <v>287</v>
      </c>
      <c r="F160" s="21" t="s">
        <v>855</v>
      </c>
      <c r="G160" s="21" t="s">
        <v>856</v>
      </c>
      <c r="H160" s="25"/>
      <c r="I160" s="25"/>
      <c r="J160" s="25"/>
      <c r="K160" s="25"/>
      <c r="L160" s="25"/>
      <c r="M160" s="22" t="s">
        <v>86</v>
      </c>
      <c r="N160" s="23">
        <v>46083</v>
      </c>
      <c r="O160" s="26" t="str">
        <f t="shared" si="6"/>
        <v>OK</v>
      </c>
      <c r="P160" s="30" t="str">
        <f t="shared" si="7"/>
        <v/>
      </c>
      <c r="Q160" s="26" t="str">
        <f t="shared" si="8"/>
        <v/>
      </c>
    </row>
    <row r="161" spans="1:17" x14ac:dyDescent="0.3">
      <c r="A161" s="33">
        <v>5118119110</v>
      </c>
      <c r="B161" s="21" t="s">
        <v>857</v>
      </c>
      <c r="C161" s="21" t="s">
        <v>858</v>
      </c>
      <c r="D161" s="21" t="s">
        <v>859</v>
      </c>
      <c r="E161" s="21" t="s">
        <v>83</v>
      </c>
      <c r="F161" s="21" t="s">
        <v>860</v>
      </c>
      <c r="G161" s="21" t="s">
        <v>861</v>
      </c>
      <c r="H161" s="25"/>
      <c r="I161" s="25"/>
      <c r="J161" s="25"/>
      <c r="K161" s="25"/>
      <c r="L161" s="25"/>
      <c r="M161" s="22" t="s">
        <v>86</v>
      </c>
      <c r="N161" s="23">
        <v>46083</v>
      </c>
      <c r="O161" s="26" t="str">
        <f t="shared" si="6"/>
        <v>OK</v>
      </c>
      <c r="P161" s="30" t="str">
        <f t="shared" si="7"/>
        <v/>
      </c>
      <c r="Q161" s="26" t="str">
        <f t="shared" si="8"/>
        <v/>
      </c>
    </row>
    <row r="162" spans="1:17" x14ac:dyDescent="0.3">
      <c r="A162" s="33">
        <v>8128601968</v>
      </c>
      <c r="B162" s="21" t="s">
        <v>862</v>
      </c>
      <c r="C162" s="21" t="s">
        <v>863</v>
      </c>
      <c r="D162" s="21" t="s">
        <v>864</v>
      </c>
      <c r="E162" s="21" t="s">
        <v>83</v>
      </c>
      <c r="F162" s="21" t="s">
        <v>84</v>
      </c>
      <c r="G162" s="21" t="s">
        <v>865</v>
      </c>
      <c r="H162" s="25"/>
      <c r="I162" s="25"/>
      <c r="J162" s="25"/>
      <c r="K162" s="25"/>
      <c r="L162" s="25"/>
      <c r="M162" s="22" t="s">
        <v>86</v>
      </c>
      <c r="N162" s="23">
        <v>46083</v>
      </c>
      <c r="O162" s="26" t="str">
        <f t="shared" si="6"/>
        <v>OK</v>
      </c>
      <c r="P162" s="30" t="str">
        <f t="shared" si="7"/>
        <v/>
      </c>
      <c r="Q162" s="26" t="str">
        <f t="shared" si="8"/>
        <v/>
      </c>
    </row>
    <row r="163" spans="1:17" x14ac:dyDescent="0.3">
      <c r="A163" s="33">
        <v>2068185436</v>
      </c>
      <c r="B163" s="21" t="s">
        <v>866</v>
      </c>
      <c r="C163" s="21" t="s">
        <v>867</v>
      </c>
      <c r="D163" s="21" t="s">
        <v>868</v>
      </c>
      <c r="E163" s="21" t="s">
        <v>394</v>
      </c>
      <c r="F163" s="21" t="s">
        <v>869</v>
      </c>
      <c r="G163" s="21" t="s">
        <v>870</v>
      </c>
      <c r="H163" s="25"/>
      <c r="I163" s="25"/>
      <c r="J163" s="25"/>
      <c r="K163" s="25"/>
      <c r="L163" s="25"/>
      <c r="M163" s="22" t="s">
        <v>86</v>
      </c>
      <c r="N163" s="23">
        <v>46083</v>
      </c>
      <c r="O163" s="26" t="str">
        <f t="shared" si="6"/>
        <v>OK</v>
      </c>
      <c r="P163" s="30" t="str">
        <f t="shared" si="7"/>
        <v/>
      </c>
      <c r="Q163" s="26" t="str">
        <f t="shared" si="8"/>
        <v/>
      </c>
    </row>
    <row r="164" spans="1:17" x14ac:dyDescent="0.3">
      <c r="A164" s="33">
        <v>8908601314</v>
      </c>
      <c r="B164" s="21" t="s">
        <v>871</v>
      </c>
      <c r="C164" s="21" t="s">
        <v>872</v>
      </c>
      <c r="D164" s="21" t="s">
        <v>873</v>
      </c>
      <c r="E164" s="21" t="s">
        <v>179</v>
      </c>
      <c r="F164" s="21" t="s">
        <v>874</v>
      </c>
      <c r="G164" s="21" t="s">
        <v>875</v>
      </c>
      <c r="H164" s="25"/>
      <c r="I164" s="25"/>
      <c r="J164" s="25"/>
      <c r="K164" s="25"/>
      <c r="L164" s="25"/>
      <c r="M164" s="22" t="s">
        <v>86</v>
      </c>
      <c r="N164" s="23">
        <v>46083</v>
      </c>
      <c r="O164" s="26" t="str">
        <f t="shared" si="6"/>
        <v>OK</v>
      </c>
      <c r="P164" s="30" t="str">
        <f t="shared" si="7"/>
        <v/>
      </c>
      <c r="Q164" s="26" t="str">
        <f t="shared" si="8"/>
        <v/>
      </c>
    </row>
    <row r="165" spans="1:17" x14ac:dyDescent="0.3">
      <c r="A165" s="33">
        <v>7748800114</v>
      </c>
      <c r="B165" s="21" t="s">
        <v>876</v>
      </c>
      <c r="C165" s="21" t="s">
        <v>877</v>
      </c>
      <c r="D165" s="21" t="s">
        <v>878</v>
      </c>
      <c r="E165" s="21" t="s">
        <v>83</v>
      </c>
      <c r="F165" s="21" t="s">
        <v>879</v>
      </c>
      <c r="G165" s="21" t="s">
        <v>880</v>
      </c>
      <c r="H165" s="25"/>
      <c r="I165" s="25"/>
      <c r="J165" s="25"/>
      <c r="K165" s="25"/>
      <c r="L165" s="25"/>
      <c r="M165" s="22" t="s">
        <v>86</v>
      </c>
      <c r="N165" s="23">
        <v>46083</v>
      </c>
      <c r="O165" s="26" t="str">
        <f t="shared" si="6"/>
        <v>OK</v>
      </c>
      <c r="P165" s="30" t="str">
        <f t="shared" si="7"/>
        <v/>
      </c>
      <c r="Q165" s="26" t="str">
        <f t="shared" si="8"/>
        <v/>
      </c>
    </row>
    <row r="166" spans="1:17" x14ac:dyDescent="0.3">
      <c r="A166" s="33">
        <v>4028159894</v>
      </c>
      <c r="B166" s="21" t="s">
        <v>881</v>
      </c>
      <c r="C166" s="21" t="s">
        <v>882</v>
      </c>
      <c r="D166" s="21" t="s">
        <v>883</v>
      </c>
      <c r="E166" s="21" t="s">
        <v>884</v>
      </c>
      <c r="F166" s="21" t="s">
        <v>133</v>
      </c>
      <c r="G166" s="21" t="s">
        <v>885</v>
      </c>
      <c r="H166" s="25"/>
      <c r="I166" s="25"/>
      <c r="J166" s="25"/>
      <c r="K166" s="25"/>
      <c r="L166" s="25"/>
      <c r="M166" s="22" t="s">
        <v>86</v>
      </c>
      <c r="N166" s="23">
        <v>46083</v>
      </c>
      <c r="O166" s="26" t="str">
        <f t="shared" si="6"/>
        <v>OK</v>
      </c>
      <c r="P166" s="30" t="str">
        <f t="shared" si="7"/>
        <v/>
      </c>
      <c r="Q166" s="26" t="str">
        <f t="shared" si="8"/>
        <v/>
      </c>
    </row>
    <row r="167" spans="1:17" x14ac:dyDescent="0.3">
      <c r="A167" s="33">
        <v>4018149753</v>
      </c>
      <c r="B167" s="21" t="s">
        <v>886</v>
      </c>
      <c r="C167" s="21" t="s">
        <v>887</v>
      </c>
      <c r="D167" s="21" t="s">
        <v>888</v>
      </c>
      <c r="E167" s="21" t="s">
        <v>83</v>
      </c>
      <c r="F167" s="21" t="s">
        <v>96</v>
      </c>
      <c r="G167" s="21" t="s">
        <v>889</v>
      </c>
      <c r="H167" s="25"/>
      <c r="I167" s="25"/>
      <c r="J167" s="25"/>
      <c r="K167" s="25"/>
      <c r="L167" s="25"/>
      <c r="M167" s="22" t="s">
        <v>86</v>
      </c>
      <c r="N167" s="23">
        <v>46083</v>
      </c>
      <c r="O167" s="26" t="str">
        <f t="shared" si="6"/>
        <v>OK</v>
      </c>
      <c r="P167" s="30" t="str">
        <f t="shared" si="7"/>
        <v/>
      </c>
      <c r="Q167" s="26" t="str">
        <f t="shared" si="8"/>
        <v/>
      </c>
    </row>
    <row r="168" spans="1:17" x14ac:dyDescent="0.3">
      <c r="A168" s="33">
        <v>4118169644</v>
      </c>
      <c r="B168" s="21" t="s">
        <v>890</v>
      </c>
      <c r="C168" s="21" t="s">
        <v>891</v>
      </c>
      <c r="D168" s="21" t="s">
        <v>892</v>
      </c>
      <c r="E168" s="21" t="s">
        <v>83</v>
      </c>
      <c r="F168" s="21" t="s">
        <v>84</v>
      </c>
      <c r="G168" s="21" t="s">
        <v>893</v>
      </c>
      <c r="H168" s="25"/>
      <c r="I168" s="25"/>
      <c r="J168" s="25"/>
      <c r="K168" s="25"/>
      <c r="L168" s="25"/>
      <c r="M168" s="22" t="s">
        <v>86</v>
      </c>
      <c r="N168" s="23">
        <v>46083</v>
      </c>
      <c r="O168" s="26" t="str">
        <f t="shared" si="6"/>
        <v>OK</v>
      </c>
      <c r="P168" s="30" t="str">
        <f t="shared" si="7"/>
        <v/>
      </c>
      <c r="Q168" s="26" t="str">
        <f t="shared" si="8"/>
        <v/>
      </c>
    </row>
    <row r="169" spans="1:17" x14ac:dyDescent="0.3">
      <c r="A169" s="33">
        <v>3868800260</v>
      </c>
      <c r="B169" s="21" t="s">
        <v>894</v>
      </c>
      <c r="C169" s="21" t="s">
        <v>895</v>
      </c>
      <c r="D169" s="21" t="s">
        <v>896</v>
      </c>
      <c r="E169" s="21" t="s">
        <v>83</v>
      </c>
      <c r="F169" s="21" t="s">
        <v>897</v>
      </c>
      <c r="G169" s="21" t="s">
        <v>898</v>
      </c>
      <c r="H169" s="25"/>
      <c r="I169" s="25"/>
      <c r="J169" s="25"/>
      <c r="K169" s="25"/>
      <c r="L169" s="25"/>
      <c r="M169" s="22" t="s">
        <v>86</v>
      </c>
      <c r="N169" s="23">
        <v>46083</v>
      </c>
      <c r="O169" s="26" t="str">
        <f t="shared" si="6"/>
        <v>OK</v>
      </c>
      <c r="P169" s="30" t="str">
        <f t="shared" si="7"/>
        <v/>
      </c>
      <c r="Q169" s="26" t="str">
        <f t="shared" si="8"/>
        <v/>
      </c>
    </row>
    <row r="170" spans="1:17" x14ac:dyDescent="0.3">
      <c r="A170" s="33">
        <v>1348145478</v>
      </c>
      <c r="B170" s="21" t="s">
        <v>899</v>
      </c>
      <c r="C170" s="21" t="s">
        <v>900</v>
      </c>
      <c r="D170" s="21" t="s">
        <v>901</v>
      </c>
      <c r="E170" s="21" t="s">
        <v>788</v>
      </c>
      <c r="F170" s="21" t="s">
        <v>902</v>
      </c>
      <c r="G170" s="21" t="s">
        <v>903</v>
      </c>
      <c r="H170" s="25"/>
      <c r="I170" s="25"/>
      <c r="J170" s="25"/>
      <c r="K170" s="25"/>
      <c r="L170" s="25"/>
      <c r="M170" s="22" t="s">
        <v>86</v>
      </c>
      <c r="N170" s="23">
        <v>46083</v>
      </c>
      <c r="O170" s="26" t="str">
        <f t="shared" si="6"/>
        <v>OK</v>
      </c>
      <c r="P170" s="30" t="str">
        <f t="shared" si="7"/>
        <v/>
      </c>
      <c r="Q170" s="26" t="str">
        <f t="shared" si="8"/>
        <v/>
      </c>
    </row>
    <row r="171" spans="1:17" x14ac:dyDescent="0.3">
      <c r="A171" s="33">
        <v>5448701081</v>
      </c>
      <c r="B171" s="21" t="s">
        <v>904</v>
      </c>
      <c r="C171" s="21" t="s">
        <v>905</v>
      </c>
      <c r="D171" s="21" t="s">
        <v>906</v>
      </c>
      <c r="E171" s="21" t="s">
        <v>83</v>
      </c>
      <c r="F171" s="21" t="s">
        <v>907</v>
      </c>
      <c r="G171" s="21" t="s">
        <v>908</v>
      </c>
      <c r="H171" s="25"/>
      <c r="I171" s="25"/>
      <c r="J171" s="25"/>
      <c r="K171" s="25"/>
      <c r="L171" s="25"/>
      <c r="M171" s="22" t="s">
        <v>86</v>
      </c>
      <c r="N171" s="23">
        <v>46083</v>
      </c>
      <c r="O171" s="26" t="str">
        <f t="shared" si="6"/>
        <v>OK</v>
      </c>
      <c r="P171" s="30" t="str">
        <f t="shared" si="7"/>
        <v/>
      </c>
      <c r="Q171" s="26" t="str">
        <f t="shared" si="8"/>
        <v/>
      </c>
    </row>
    <row r="172" spans="1:17" x14ac:dyDescent="0.3">
      <c r="A172" s="33">
        <v>5068701148</v>
      </c>
      <c r="B172" s="21" t="s">
        <v>909</v>
      </c>
      <c r="C172" s="21" t="s">
        <v>910</v>
      </c>
      <c r="D172" s="21" t="s">
        <v>911</v>
      </c>
      <c r="E172" s="21" t="s">
        <v>83</v>
      </c>
      <c r="F172" s="21" t="s">
        <v>912</v>
      </c>
      <c r="G172" s="21" t="s">
        <v>913</v>
      </c>
      <c r="H172" s="25"/>
      <c r="I172" s="25"/>
      <c r="J172" s="25"/>
      <c r="K172" s="25"/>
      <c r="L172" s="25"/>
      <c r="M172" s="22" t="s">
        <v>86</v>
      </c>
      <c r="N172" s="23">
        <v>46083</v>
      </c>
      <c r="O172" s="26" t="str">
        <f t="shared" si="6"/>
        <v>OK</v>
      </c>
      <c r="P172" s="30" t="str">
        <f t="shared" si="7"/>
        <v/>
      </c>
      <c r="Q172" s="26" t="str">
        <f t="shared" si="8"/>
        <v/>
      </c>
    </row>
    <row r="173" spans="1:17" x14ac:dyDescent="0.3">
      <c r="A173" s="33">
        <v>3948603755</v>
      </c>
      <c r="B173" s="21" t="s">
        <v>914</v>
      </c>
      <c r="C173" s="21" t="s">
        <v>915</v>
      </c>
      <c r="D173" s="21" t="s">
        <v>916</v>
      </c>
      <c r="E173" s="21" t="s">
        <v>83</v>
      </c>
      <c r="F173" s="21" t="s">
        <v>96</v>
      </c>
      <c r="G173" s="21" t="s">
        <v>917</v>
      </c>
      <c r="H173" s="25"/>
      <c r="I173" s="25"/>
      <c r="J173" s="25"/>
      <c r="K173" s="25"/>
      <c r="L173" s="25"/>
      <c r="M173" s="22" t="s">
        <v>86</v>
      </c>
      <c r="N173" s="23">
        <v>46083</v>
      </c>
      <c r="O173" s="26" t="str">
        <f t="shared" si="6"/>
        <v>OK</v>
      </c>
      <c r="P173" s="30" t="str">
        <f t="shared" si="7"/>
        <v/>
      </c>
      <c r="Q173" s="26" t="str">
        <f t="shared" si="8"/>
        <v/>
      </c>
    </row>
    <row r="174" spans="1:17" x14ac:dyDescent="0.3">
      <c r="A174" s="33">
        <v>8998800034</v>
      </c>
      <c r="B174" s="21" t="s">
        <v>918</v>
      </c>
      <c r="C174" s="21" t="s">
        <v>919</v>
      </c>
      <c r="D174" s="21" t="s">
        <v>920</v>
      </c>
      <c r="E174" s="21" t="s">
        <v>83</v>
      </c>
      <c r="F174" s="21" t="s">
        <v>84</v>
      </c>
      <c r="G174" s="21" t="s">
        <v>921</v>
      </c>
      <c r="H174" s="25"/>
      <c r="I174" s="25"/>
      <c r="J174" s="25"/>
      <c r="K174" s="25"/>
      <c r="L174" s="25"/>
      <c r="M174" s="22" t="s">
        <v>86</v>
      </c>
      <c r="N174" s="23">
        <v>46083</v>
      </c>
      <c r="O174" s="26" t="str">
        <f t="shared" si="6"/>
        <v>OK</v>
      </c>
      <c r="P174" s="30" t="str">
        <f t="shared" si="7"/>
        <v/>
      </c>
      <c r="Q174" s="26" t="str">
        <f t="shared" si="8"/>
        <v/>
      </c>
    </row>
    <row r="175" spans="1:17" x14ac:dyDescent="0.3">
      <c r="A175" s="33">
        <v>6458602839</v>
      </c>
      <c r="B175" s="21" t="s">
        <v>922</v>
      </c>
      <c r="C175" s="21" t="s">
        <v>923</v>
      </c>
      <c r="D175" s="21" t="s">
        <v>924</v>
      </c>
      <c r="E175" s="21" t="s">
        <v>173</v>
      </c>
      <c r="F175" s="21" t="s">
        <v>196</v>
      </c>
      <c r="G175" s="21"/>
      <c r="H175" s="25"/>
      <c r="I175" s="25"/>
      <c r="J175" s="25"/>
      <c r="K175" s="25"/>
      <c r="L175" s="25"/>
      <c r="M175" s="22" t="s">
        <v>86</v>
      </c>
      <c r="N175" s="23">
        <v>46083</v>
      </c>
      <c r="O175" s="26" t="str">
        <f t="shared" si="6"/>
        <v>OK</v>
      </c>
      <c r="P175" s="30" t="str">
        <f t="shared" si="7"/>
        <v/>
      </c>
      <c r="Q175" s="26" t="str">
        <f t="shared" si="8"/>
        <v/>
      </c>
    </row>
    <row r="176" spans="1:17" x14ac:dyDescent="0.3">
      <c r="A176" s="33">
        <v>1158601396</v>
      </c>
      <c r="B176" s="21" t="s">
        <v>925</v>
      </c>
      <c r="C176" s="21" t="s">
        <v>926</v>
      </c>
      <c r="D176" s="21" t="s">
        <v>927</v>
      </c>
      <c r="E176" s="21" t="s">
        <v>83</v>
      </c>
      <c r="F176" s="21" t="s">
        <v>928</v>
      </c>
      <c r="G176" s="21" t="s">
        <v>929</v>
      </c>
      <c r="H176" s="25"/>
      <c r="I176" s="25"/>
      <c r="J176" s="25"/>
      <c r="K176" s="25"/>
      <c r="L176" s="25"/>
      <c r="M176" s="22" t="s">
        <v>86</v>
      </c>
      <c r="N176" s="23">
        <v>46083</v>
      </c>
      <c r="O176" s="26" t="str">
        <f t="shared" si="6"/>
        <v>OK</v>
      </c>
      <c r="P176" s="30" t="str">
        <f t="shared" si="7"/>
        <v/>
      </c>
      <c r="Q176" s="26" t="str">
        <f t="shared" si="8"/>
        <v/>
      </c>
    </row>
    <row r="177" spans="1:17" x14ac:dyDescent="0.3">
      <c r="A177" s="33">
        <v>2148128547</v>
      </c>
      <c r="B177" s="21" t="s">
        <v>930</v>
      </c>
      <c r="C177" s="21" t="s">
        <v>931</v>
      </c>
      <c r="D177" s="21" t="s">
        <v>932</v>
      </c>
      <c r="E177" s="21" t="s">
        <v>111</v>
      </c>
      <c r="F177" s="21" t="s">
        <v>450</v>
      </c>
      <c r="G177" s="21" t="s">
        <v>933</v>
      </c>
      <c r="H177" s="25"/>
      <c r="I177" s="25"/>
      <c r="J177" s="25"/>
      <c r="K177" s="25"/>
      <c r="L177" s="25"/>
      <c r="M177" s="22" t="s">
        <v>86</v>
      </c>
      <c r="N177" s="23">
        <v>46083</v>
      </c>
      <c r="O177" s="26" t="str">
        <f t="shared" si="6"/>
        <v>OK</v>
      </c>
      <c r="P177" s="30" t="str">
        <f t="shared" si="7"/>
        <v/>
      </c>
      <c r="Q177" s="26" t="str">
        <f t="shared" si="8"/>
        <v/>
      </c>
    </row>
    <row r="178" spans="1:17" x14ac:dyDescent="0.3">
      <c r="A178" s="33">
        <v>4028134874</v>
      </c>
      <c r="B178" s="21" t="s">
        <v>934</v>
      </c>
      <c r="C178" s="21" t="s">
        <v>935</v>
      </c>
      <c r="D178" s="21" t="s">
        <v>936</v>
      </c>
      <c r="E178" s="21" t="s">
        <v>937</v>
      </c>
      <c r="F178" s="21" t="s">
        <v>938</v>
      </c>
      <c r="G178" s="21" t="s">
        <v>939</v>
      </c>
      <c r="H178" s="25"/>
      <c r="I178" s="25"/>
      <c r="J178" s="25"/>
      <c r="K178" s="25"/>
      <c r="L178" s="25"/>
      <c r="M178" s="22" t="s">
        <v>86</v>
      </c>
      <c r="N178" s="23">
        <v>46083</v>
      </c>
      <c r="O178" s="26" t="str">
        <f t="shared" si="6"/>
        <v>OK</v>
      </c>
      <c r="P178" s="30" t="str">
        <f t="shared" si="7"/>
        <v/>
      </c>
      <c r="Q178" s="26" t="str">
        <f t="shared" si="8"/>
        <v/>
      </c>
    </row>
    <row r="179" spans="1:17" x14ac:dyDescent="0.3">
      <c r="A179" s="33">
        <v>4038135084</v>
      </c>
      <c r="B179" s="21" t="s">
        <v>940</v>
      </c>
      <c r="C179" s="21" t="s">
        <v>941</v>
      </c>
      <c r="D179" s="21" t="s">
        <v>942</v>
      </c>
      <c r="E179" s="21" t="s">
        <v>111</v>
      </c>
      <c r="F179" s="21" t="s">
        <v>808</v>
      </c>
      <c r="G179" s="21" t="s">
        <v>943</v>
      </c>
      <c r="H179" s="25"/>
      <c r="I179" s="25"/>
      <c r="J179" s="25"/>
      <c r="K179" s="25"/>
      <c r="L179" s="25"/>
      <c r="M179" s="22" t="s">
        <v>86</v>
      </c>
      <c r="N179" s="23">
        <v>46083</v>
      </c>
      <c r="O179" s="26" t="str">
        <f t="shared" si="6"/>
        <v>OK</v>
      </c>
      <c r="P179" s="30" t="str">
        <f t="shared" si="7"/>
        <v/>
      </c>
      <c r="Q179" s="26" t="str">
        <f t="shared" si="8"/>
        <v/>
      </c>
    </row>
    <row r="180" spans="1:17" x14ac:dyDescent="0.3">
      <c r="A180" s="33">
        <v>6158157003</v>
      </c>
      <c r="B180" s="21" t="s">
        <v>944</v>
      </c>
      <c r="C180" s="21" t="s">
        <v>945</v>
      </c>
      <c r="D180" s="21" t="s">
        <v>946</v>
      </c>
      <c r="E180" s="21" t="s">
        <v>83</v>
      </c>
      <c r="F180" s="21" t="s">
        <v>737</v>
      </c>
      <c r="G180" s="21" t="s">
        <v>947</v>
      </c>
      <c r="H180" s="25"/>
      <c r="I180" s="25"/>
      <c r="J180" s="25"/>
      <c r="K180" s="25"/>
      <c r="L180" s="25"/>
      <c r="M180" s="22" t="s">
        <v>86</v>
      </c>
      <c r="N180" s="23">
        <v>46083</v>
      </c>
      <c r="O180" s="26" t="str">
        <f t="shared" si="6"/>
        <v>OK</v>
      </c>
      <c r="P180" s="30" t="str">
        <f t="shared" si="7"/>
        <v/>
      </c>
      <c r="Q180" s="26" t="str">
        <f t="shared" si="8"/>
        <v/>
      </c>
    </row>
    <row r="181" spans="1:17" x14ac:dyDescent="0.3">
      <c r="A181" s="33">
        <v>4028116411</v>
      </c>
      <c r="B181" s="21" t="s">
        <v>948</v>
      </c>
      <c r="C181" s="21" t="s">
        <v>949</v>
      </c>
      <c r="D181" s="21" t="s">
        <v>950</v>
      </c>
      <c r="E181" s="21" t="s">
        <v>83</v>
      </c>
      <c r="F181" s="21" t="s">
        <v>951</v>
      </c>
      <c r="G181" s="21" t="s">
        <v>612</v>
      </c>
      <c r="H181" s="25"/>
      <c r="I181" s="25"/>
      <c r="J181" s="25"/>
      <c r="K181" s="25"/>
      <c r="L181" s="25"/>
      <c r="M181" s="22" t="s">
        <v>86</v>
      </c>
      <c r="N181" s="23">
        <v>46083</v>
      </c>
      <c r="O181" s="26" t="str">
        <f t="shared" si="6"/>
        <v>OK</v>
      </c>
      <c r="P181" s="30" t="str">
        <f t="shared" si="7"/>
        <v/>
      </c>
      <c r="Q181" s="26" t="str">
        <f t="shared" si="8"/>
        <v/>
      </c>
    </row>
    <row r="182" spans="1:17" x14ac:dyDescent="0.3">
      <c r="A182" s="33">
        <v>2198702127</v>
      </c>
      <c r="B182" s="21" t="s">
        <v>952</v>
      </c>
      <c r="C182" s="21" t="s">
        <v>953</v>
      </c>
      <c r="D182" s="21" t="s">
        <v>954</v>
      </c>
      <c r="E182" s="21" t="s">
        <v>955</v>
      </c>
      <c r="F182" s="21" t="s">
        <v>956</v>
      </c>
      <c r="G182" s="21" t="s">
        <v>957</v>
      </c>
      <c r="H182" s="25"/>
      <c r="I182" s="25"/>
      <c r="J182" s="25"/>
      <c r="K182" s="25"/>
      <c r="L182" s="25"/>
      <c r="M182" s="22" t="s">
        <v>86</v>
      </c>
      <c r="N182" s="23">
        <v>46083</v>
      </c>
      <c r="O182" s="26" t="str">
        <f t="shared" si="6"/>
        <v>OK</v>
      </c>
      <c r="P182" s="30" t="str">
        <f t="shared" si="7"/>
        <v/>
      </c>
      <c r="Q182" s="26" t="str">
        <f t="shared" si="8"/>
        <v/>
      </c>
    </row>
    <row r="183" spans="1:17" x14ac:dyDescent="0.3">
      <c r="A183" s="33">
        <v>4208801050</v>
      </c>
      <c r="B183" s="21" t="s">
        <v>958</v>
      </c>
      <c r="C183" s="21" t="s">
        <v>959</v>
      </c>
      <c r="D183" s="21" t="s">
        <v>960</v>
      </c>
      <c r="E183" s="21" t="s">
        <v>95</v>
      </c>
      <c r="F183" s="21" t="s">
        <v>96</v>
      </c>
      <c r="G183" s="21" t="s">
        <v>961</v>
      </c>
      <c r="H183" s="25"/>
      <c r="I183" s="25"/>
      <c r="J183" s="25"/>
      <c r="K183" s="25"/>
      <c r="L183" s="25"/>
      <c r="M183" s="22" t="s">
        <v>86</v>
      </c>
      <c r="N183" s="23">
        <v>46083</v>
      </c>
      <c r="O183" s="26" t="str">
        <f t="shared" si="6"/>
        <v>OK</v>
      </c>
      <c r="P183" s="30" t="str">
        <f t="shared" si="7"/>
        <v/>
      </c>
      <c r="Q183" s="26" t="str">
        <f t="shared" si="8"/>
        <v/>
      </c>
    </row>
    <row r="184" spans="1:17" x14ac:dyDescent="0.3">
      <c r="A184" s="33">
        <v>8618801038</v>
      </c>
      <c r="B184" s="21" t="s">
        <v>962</v>
      </c>
      <c r="C184" s="21" t="s">
        <v>963</v>
      </c>
      <c r="D184" s="21" t="s">
        <v>964</v>
      </c>
      <c r="E184" s="21" t="s">
        <v>83</v>
      </c>
      <c r="F184" s="21" t="s">
        <v>606</v>
      </c>
      <c r="G184" s="21" t="s">
        <v>965</v>
      </c>
      <c r="H184" s="21" t="s">
        <v>966</v>
      </c>
      <c r="I184" s="25"/>
      <c r="J184" s="25"/>
      <c r="K184" s="25"/>
      <c r="L184" s="25"/>
      <c r="M184" s="22" t="s">
        <v>86</v>
      </c>
      <c r="N184" s="23">
        <v>46083</v>
      </c>
      <c r="O184" s="26" t="str">
        <f t="shared" si="6"/>
        <v>OK</v>
      </c>
      <c r="P184" s="30" t="str">
        <f t="shared" si="7"/>
        <v/>
      </c>
      <c r="Q184" s="26" t="str">
        <f t="shared" si="8"/>
        <v/>
      </c>
    </row>
    <row r="185" spans="1:17" x14ac:dyDescent="0.3">
      <c r="A185" s="33">
        <v>5878700449</v>
      </c>
      <c r="B185" s="21" t="s">
        <v>967</v>
      </c>
      <c r="C185" s="21" t="s">
        <v>968</v>
      </c>
      <c r="D185" s="21" t="s">
        <v>969</v>
      </c>
      <c r="E185" s="21" t="s">
        <v>455</v>
      </c>
      <c r="F185" s="21" t="s">
        <v>96</v>
      </c>
      <c r="G185" s="21" t="s">
        <v>970</v>
      </c>
      <c r="H185" s="25"/>
      <c r="I185" s="25"/>
      <c r="J185" s="25"/>
      <c r="K185" s="25"/>
      <c r="L185" s="25"/>
      <c r="M185" s="22" t="s">
        <v>86</v>
      </c>
      <c r="N185" s="23">
        <v>46083</v>
      </c>
      <c r="O185" s="26" t="str">
        <f t="shared" si="6"/>
        <v>OK</v>
      </c>
      <c r="P185" s="30" t="str">
        <f t="shared" si="7"/>
        <v/>
      </c>
      <c r="Q185" s="26" t="str">
        <f t="shared" si="8"/>
        <v/>
      </c>
    </row>
    <row r="186" spans="1:17" x14ac:dyDescent="0.3">
      <c r="A186" s="33">
        <v>4028199993</v>
      </c>
      <c r="B186" s="21" t="s">
        <v>971</v>
      </c>
      <c r="C186" s="21" t="s">
        <v>972</v>
      </c>
      <c r="D186" s="21" t="s">
        <v>973</v>
      </c>
      <c r="E186" s="21" t="s">
        <v>83</v>
      </c>
      <c r="F186" s="21" t="s">
        <v>84</v>
      </c>
      <c r="G186" s="21" t="s">
        <v>865</v>
      </c>
      <c r="H186" s="25"/>
      <c r="I186" s="25"/>
      <c r="J186" s="25"/>
      <c r="K186" s="25"/>
      <c r="L186" s="25"/>
      <c r="M186" s="22" t="s">
        <v>86</v>
      </c>
      <c r="N186" s="23">
        <v>46083</v>
      </c>
      <c r="O186" s="26" t="str">
        <f t="shared" si="6"/>
        <v>OK</v>
      </c>
      <c r="P186" s="30" t="str">
        <f t="shared" si="7"/>
        <v/>
      </c>
      <c r="Q186" s="26" t="str">
        <f t="shared" si="8"/>
        <v/>
      </c>
    </row>
    <row r="187" spans="1:17" x14ac:dyDescent="0.3">
      <c r="A187" s="33">
        <v>2448600491</v>
      </c>
      <c r="B187" s="21" t="s">
        <v>974</v>
      </c>
      <c r="C187" s="21" t="s">
        <v>975</v>
      </c>
      <c r="D187" s="21" t="s">
        <v>976</v>
      </c>
      <c r="E187" s="21" t="s">
        <v>83</v>
      </c>
      <c r="F187" s="21" t="s">
        <v>148</v>
      </c>
      <c r="G187" s="21" t="s">
        <v>977</v>
      </c>
      <c r="H187" s="21" t="s">
        <v>978</v>
      </c>
      <c r="I187" s="25"/>
      <c r="J187" s="25"/>
      <c r="K187" s="25"/>
      <c r="L187" s="25"/>
      <c r="M187" s="22" t="s">
        <v>86</v>
      </c>
      <c r="N187" s="23">
        <v>46083</v>
      </c>
      <c r="O187" s="26" t="str">
        <f t="shared" si="6"/>
        <v>OK</v>
      </c>
      <c r="P187" s="30" t="str">
        <f t="shared" si="7"/>
        <v/>
      </c>
      <c r="Q187" s="26" t="str">
        <f t="shared" si="8"/>
        <v/>
      </c>
    </row>
    <row r="188" spans="1:17" x14ac:dyDescent="0.3">
      <c r="A188" s="33">
        <v>4028605340</v>
      </c>
      <c r="B188" s="21" t="s">
        <v>979</v>
      </c>
      <c r="C188" s="21" t="s">
        <v>980</v>
      </c>
      <c r="D188" s="21" t="s">
        <v>981</v>
      </c>
      <c r="E188" s="21" t="s">
        <v>252</v>
      </c>
      <c r="F188" s="21" t="s">
        <v>982</v>
      </c>
      <c r="G188" s="21" t="s">
        <v>983</v>
      </c>
      <c r="H188" s="25"/>
      <c r="I188" s="25"/>
      <c r="J188" s="25"/>
      <c r="K188" s="25"/>
      <c r="L188" s="25"/>
      <c r="M188" s="22" t="s">
        <v>86</v>
      </c>
      <c r="N188" s="23">
        <v>46083</v>
      </c>
      <c r="O188" s="26" t="str">
        <f t="shared" si="6"/>
        <v>OK</v>
      </c>
      <c r="P188" s="30" t="str">
        <f t="shared" si="7"/>
        <v/>
      </c>
      <c r="Q188" s="26" t="str">
        <f t="shared" si="8"/>
        <v/>
      </c>
    </row>
    <row r="189" spans="1:17" x14ac:dyDescent="0.3">
      <c r="A189" s="33">
        <v>4038171377</v>
      </c>
      <c r="B189" s="21" t="s">
        <v>984</v>
      </c>
      <c r="C189" s="21" t="s">
        <v>985</v>
      </c>
      <c r="D189" s="21" t="s">
        <v>986</v>
      </c>
      <c r="E189" s="21" t="s">
        <v>532</v>
      </c>
      <c r="F189" s="21" t="s">
        <v>987</v>
      </c>
      <c r="G189" s="21" t="s">
        <v>988</v>
      </c>
      <c r="H189" s="25"/>
      <c r="I189" s="25"/>
      <c r="J189" s="25"/>
      <c r="K189" s="25"/>
      <c r="L189" s="25"/>
      <c r="M189" s="22" t="s">
        <v>86</v>
      </c>
      <c r="N189" s="23">
        <v>46083</v>
      </c>
      <c r="O189" s="26" t="str">
        <f t="shared" si="6"/>
        <v>OK</v>
      </c>
      <c r="P189" s="30" t="str">
        <f t="shared" si="7"/>
        <v/>
      </c>
      <c r="Q189" s="26" t="str">
        <f t="shared" si="8"/>
        <v/>
      </c>
    </row>
    <row r="190" spans="1:17" x14ac:dyDescent="0.3">
      <c r="A190" s="33">
        <v>5158106621</v>
      </c>
      <c r="B190" s="21" t="s">
        <v>989</v>
      </c>
      <c r="C190" s="21" t="s">
        <v>990</v>
      </c>
      <c r="D190" s="21" t="s">
        <v>991</v>
      </c>
      <c r="E190" s="21" t="s">
        <v>83</v>
      </c>
      <c r="F190" s="21" t="s">
        <v>992</v>
      </c>
      <c r="G190" s="21" t="s">
        <v>993</v>
      </c>
      <c r="H190" s="21" t="s">
        <v>994</v>
      </c>
      <c r="I190" s="25"/>
      <c r="J190" s="25"/>
      <c r="K190" s="25"/>
      <c r="L190" s="25"/>
      <c r="M190" s="22" t="s">
        <v>86</v>
      </c>
      <c r="N190" s="23">
        <v>46083</v>
      </c>
      <c r="O190" s="26" t="str">
        <f t="shared" si="6"/>
        <v>OK</v>
      </c>
      <c r="P190" s="30" t="str">
        <f t="shared" si="7"/>
        <v/>
      </c>
      <c r="Q190" s="26" t="str">
        <f t="shared" si="8"/>
        <v/>
      </c>
    </row>
    <row r="191" spans="1:17" x14ac:dyDescent="0.3">
      <c r="A191" s="33">
        <v>2148830983</v>
      </c>
      <c r="B191" s="21" t="s">
        <v>995</v>
      </c>
      <c r="C191" s="21" t="s">
        <v>996</v>
      </c>
      <c r="D191" s="21" t="s">
        <v>997</v>
      </c>
      <c r="E191" s="21" t="s">
        <v>153</v>
      </c>
      <c r="F191" s="21" t="s">
        <v>998</v>
      </c>
      <c r="G191" s="21" t="s">
        <v>999</v>
      </c>
      <c r="H191" s="25"/>
      <c r="I191" s="25"/>
      <c r="J191" s="25"/>
      <c r="K191" s="25"/>
      <c r="L191" s="25"/>
      <c r="M191" s="22" t="s">
        <v>86</v>
      </c>
      <c r="N191" s="23">
        <v>46083</v>
      </c>
      <c r="O191" s="26" t="str">
        <f t="shared" si="6"/>
        <v>OK</v>
      </c>
      <c r="P191" s="30" t="str">
        <f t="shared" si="7"/>
        <v/>
      </c>
      <c r="Q191" s="26" t="str">
        <f t="shared" si="8"/>
        <v/>
      </c>
    </row>
    <row r="192" spans="1:17" x14ac:dyDescent="0.3">
      <c r="A192" s="33">
        <v>1558102476</v>
      </c>
      <c r="B192" s="21" t="s">
        <v>1000</v>
      </c>
      <c r="C192" s="21" t="s">
        <v>1001</v>
      </c>
      <c r="D192" s="21" t="s">
        <v>1002</v>
      </c>
      <c r="E192" s="21" t="s">
        <v>1003</v>
      </c>
      <c r="F192" s="21" t="s">
        <v>1004</v>
      </c>
      <c r="G192" s="21" t="s">
        <v>1005</v>
      </c>
      <c r="H192" s="25"/>
      <c r="I192" s="25"/>
      <c r="J192" s="25"/>
      <c r="K192" s="25"/>
      <c r="L192" s="25"/>
      <c r="M192" s="22" t="s">
        <v>86</v>
      </c>
      <c r="N192" s="23">
        <v>46083</v>
      </c>
      <c r="O192" s="26" t="str">
        <f t="shared" si="6"/>
        <v>OK</v>
      </c>
      <c r="P192" s="30" t="str">
        <f t="shared" si="7"/>
        <v/>
      </c>
      <c r="Q192" s="26" t="str">
        <f t="shared" si="8"/>
        <v/>
      </c>
    </row>
    <row r="193" spans="1:17" x14ac:dyDescent="0.3">
      <c r="A193" s="33">
        <v>6168619803</v>
      </c>
      <c r="B193" s="21" t="s">
        <v>1006</v>
      </c>
      <c r="C193" s="21" t="s">
        <v>1007</v>
      </c>
      <c r="D193" s="21" t="s">
        <v>1008</v>
      </c>
      <c r="E193" s="21" t="s">
        <v>190</v>
      </c>
      <c r="F193" s="21" t="s">
        <v>874</v>
      </c>
      <c r="G193" s="21" t="s">
        <v>1009</v>
      </c>
      <c r="H193" s="25"/>
      <c r="I193" s="25"/>
      <c r="J193" s="25"/>
      <c r="K193" s="25"/>
      <c r="L193" s="25"/>
      <c r="M193" s="22" t="s">
        <v>86</v>
      </c>
      <c r="N193" s="23">
        <v>46083</v>
      </c>
      <c r="O193" s="26" t="str">
        <f t="shared" si="6"/>
        <v>OK</v>
      </c>
      <c r="P193" s="30" t="str">
        <f t="shared" si="7"/>
        <v/>
      </c>
      <c r="Q193" s="26" t="str">
        <f t="shared" si="8"/>
        <v/>
      </c>
    </row>
    <row r="194" spans="1:17" x14ac:dyDescent="0.3">
      <c r="A194" s="33">
        <v>3688101485</v>
      </c>
      <c r="B194" s="21" t="s">
        <v>1010</v>
      </c>
      <c r="C194" s="21" t="s">
        <v>1011</v>
      </c>
      <c r="D194" s="21" t="s">
        <v>1012</v>
      </c>
      <c r="E194" s="21" t="s">
        <v>83</v>
      </c>
      <c r="F194" s="21" t="s">
        <v>1013</v>
      </c>
      <c r="G194" s="21" t="s">
        <v>1014</v>
      </c>
      <c r="H194" s="25"/>
      <c r="I194" s="25"/>
      <c r="J194" s="25"/>
      <c r="K194" s="25"/>
      <c r="L194" s="25"/>
      <c r="M194" s="22" t="s">
        <v>86</v>
      </c>
      <c r="N194" s="23">
        <v>46083</v>
      </c>
      <c r="O194" s="26" t="str">
        <f t="shared" ref="O194:O257" si="9">IF(A194="","",IFERROR(IF(AND(LEN(A194)=10,NOT(ISERROR(VALUE(A194)))),"OK","확인"),"확인"))</f>
        <v>OK</v>
      </c>
      <c r="P194" s="30" t="str">
        <f t="shared" ref="P194:P257" si="10">IF(A194="","",IF(COUNTIF($A$2:$A$1946,A194)&gt;1,"중복",""))</f>
        <v/>
      </c>
      <c r="Q194" s="26" t="str">
        <f t="shared" ref="Q194:Q257" si="11">IF(G194="","",IF(ISNUMBER(SEARCH("@",G194)),"","확인"))</f>
        <v/>
      </c>
    </row>
    <row r="195" spans="1:17" x14ac:dyDescent="0.3">
      <c r="A195" s="33">
        <v>4408800171</v>
      </c>
      <c r="B195" s="21" t="s">
        <v>1015</v>
      </c>
      <c r="C195" s="21" t="s">
        <v>1016</v>
      </c>
      <c r="D195" s="21" t="s">
        <v>1017</v>
      </c>
      <c r="E195" s="21" t="s">
        <v>83</v>
      </c>
      <c r="F195" s="21" t="s">
        <v>84</v>
      </c>
      <c r="G195" s="21" t="s">
        <v>175</v>
      </c>
      <c r="H195" s="25"/>
      <c r="I195" s="25"/>
      <c r="J195" s="25"/>
      <c r="K195" s="25"/>
      <c r="L195" s="25"/>
      <c r="M195" s="22" t="s">
        <v>86</v>
      </c>
      <c r="N195" s="23">
        <v>46083</v>
      </c>
      <c r="O195" s="26" t="str">
        <f t="shared" si="9"/>
        <v>OK</v>
      </c>
      <c r="P195" s="30" t="str">
        <f t="shared" si="10"/>
        <v/>
      </c>
      <c r="Q195" s="26" t="str">
        <f t="shared" si="11"/>
        <v/>
      </c>
    </row>
    <row r="196" spans="1:17" x14ac:dyDescent="0.3">
      <c r="A196" s="33">
        <v>8848103364</v>
      </c>
      <c r="B196" s="21" t="s">
        <v>1018</v>
      </c>
      <c r="C196" s="21" t="s">
        <v>1019</v>
      </c>
      <c r="D196" s="21" t="s">
        <v>1020</v>
      </c>
      <c r="E196" s="21" t="s">
        <v>117</v>
      </c>
      <c r="F196" s="21" t="s">
        <v>1021</v>
      </c>
      <c r="G196" s="21" t="s">
        <v>1022</v>
      </c>
      <c r="H196" s="25"/>
      <c r="I196" s="25"/>
      <c r="J196" s="25"/>
      <c r="K196" s="25"/>
      <c r="L196" s="25"/>
      <c r="M196" s="22" t="s">
        <v>86</v>
      </c>
      <c r="N196" s="23">
        <v>46083</v>
      </c>
      <c r="O196" s="26" t="str">
        <f t="shared" si="9"/>
        <v>OK</v>
      </c>
      <c r="P196" s="30" t="str">
        <f t="shared" si="10"/>
        <v/>
      </c>
      <c r="Q196" s="26" t="str">
        <f t="shared" si="11"/>
        <v/>
      </c>
    </row>
    <row r="197" spans="1:17" x14ac:dyDescent="0.3">
      <c r="A197" s="33">
        <v>6408701905</v>
      </c>
      <c r="B197" s="21" t="s">
        <v>1023</v>
      </c>
      <c r="C197" s="21" t="s">
        <v>1024</v>
      </c>
      <c r="D197" s="21" t="s">
        <v>1025</v>
      </c>
      <c r="E197" s="21" t="s">
        <v>190</v>
      </c>
      <c r="F197" s="21" t="s">
        <v>1026</v>
      </c>
      <c r="G197" s="21" t="s">
        <v>1027</v>
      </c>
      <c r="H197" s="25"/>
      <c r="I197" s="25"/>
      <c r="J197" s="25"/>
      <c r="K197" s="25"/>
      <c r="L197" s="25"/>
      <c r="M197" s="22" t="s">
        <v>86</v>
      </c>
      <c r="N197" s="23">
        <v>46083</v>
      </c>
      <c r="O197" s="26" t="str">
        <f t="shared" si="9"/>
        <v>OK</v>
      </c>
      <c r="P197" s="30" t="str">
        <f t="shared" si="10"/>
        <v/>
      </c>
      <c r="Q197" s="26" t="str">
        <f t="shared" si="11"/>
        <v/>
      </c>
    </row>
    <row r="198" spans="1:17" x14ac:dyDescent="0.3">
      <c r="A198" s="33">
        <v>4458600304</v>
      </c>
      <c r="B198" s="21" t="s">
        <v>1028</v>
      </c>
      <c r="C198" s="21" t="s">
        <v>1029</v>
      </c>
      <c r="D198" s="21" t="s">
        <v>1030</v>
      </c>
      <c r="E198" s="21" t="s">
        <v>1031</v>
      </c>
      <c r="F198" s="21" t="s">
        <v>1032</v>
      </c>
      <c r="G198" s="21" t="s">
        <v>1033</v>
      </c>
      <c r="H198" s="25"/>
      <c r="I198" s="25"/>
      <c r="J198" s="25"/>
      <c r="K198" s="25"/>
      <c r="L198" s="25"/>
      <c r="M198" s="22" t="s">
        <v>86</v>
      </c>
      <c r="N198" s="23">
        <v>46083</v>
      </c>
      <c r="O198" s="26" t="str">
        <f t="shared" si="9"/>
        <v>OK</v>
      </c>
      <c r="P198" s="30" t="str">
        <f t="shared" si="10"/>
        <v/>
      </c>
      <c r="Q198" s="26" t="str">
        <f t="shared" si="11"/>
        <v/>
      </c>
    </row>
    <row r="199" spans="1:17" x14ac:dyDescent="0.3">
      <c r="A199" s="33">
        <v>4028197210</v>
      </c>
      <c r="B199" s="21" t="s">
        <v>1034</v>
      </c>
      <c r="C199" s="21" t="s">
        <v>1035</v>
      </c>
      <c r="D199" s="21" t="s">
        <v>1036</v>
      </c>
      <c r="E199" s="21" t="s">
        <v>83</v>
      </c>
      <c r="F199" s="21" t="s">
        <v>1037</v>
      </c>
      <c r="G199" s="21" t="s">
        <v>1038</v>
      </c>
      <c r="H199" s="25"/>
      <c r="I199" s="25"/>
      <c r="J199" s="25"/>
      <c r="K199" s="25"/>
      <c r="L199" s="25"/>
      <c r="M199" s="22" t="s">
        <v>86</v>
      </c>
      <c r="N199" s="23">
        <v>46083</v>
      </c>
      <c r="O199" s="26" t="str">
        <f t="shared" si="9"/>
        <v>OK</v>
      </c>
      <c r="P199" s="30" t="str">
        <f t="shared" si="10"/>
        <v/>
      </c>
      <c r="Q199" s="26" t="str">
        <f t="shared" si="11"/>
        <v/>
      </c>
    </row>
    <row r="200" spans="1:17" x14ac:dyDescent="0.3">
      <c r="A200" s="33">
        <v>4028186940</v>
      </c>
      <c r="B200" s="21" t="s">
        <v>1039</v>
      </c>
      <c r="C200" s="21" t="s">
        <v>1040</v>
      </c>
      <c r="D200" s="21" t="s">
        <v>1041</v>
      </c>
      <c r="E200" s="21" t="s">
        <v>83</v>
      </c>
      <c r="F200" s="21" t="s">
        <v>84</v>
      </c>
      <c r="G200" s="21" t="s">
        <v>1042</v>
      </c>
      <c r="H200" s="25"/>
      <c r="I200" s="25"/>
      <c r="J200" s="25"/>
      <c r="K200" s="25"/>
      <c r="L200" s="25"/>
      <c r="M200" s="22" t="s">
        <v>86</v>
      </c>
      <c r="N200" s="23">
        <v>46083</v>
      </c>
      <c r="O200" s="26" t="str">
        <f t="shared" si="9"/>
        <v>OK</v>
      </c>
      <c r="P200" s="30" t="str">
        <f t="shared" si="10"/>
        <v/>
      </c>
      <c r="Q200" s="26" t="str">
        <f t="shared" si="11"/>
        <v/>
      </c>
    </row>
    <row r="201" spans="1:17" x14ac:dyDescent="0.3">
      <c r="A201" s="33">
        <v>8048601045</v>
      </c>
      <c r="B201" s="21" t="s">
        <v>1043</v>
      </c>
      <c r="C201" s="21" t="s">
        <v>1044</v>
      </c>
      <c r="D201" s="21" t="s">
        <v>1045</v>
      </c>
      <c r="E201" s="21" t="s">
        <v>190</v>
      </c>
      <c r="F201" s="21" t="s">
        <v>282</v>
      </c>
      <c r="G201" s="21" t="s">
        <v>1046</v>
      </c>
      <c r="H201" s="25"/>
      <c r="I201" s="25"/>
      <c r="J201" s="25"/>
      <c r="K201" s="25"/>
      <c r="L201" s="25"/>
      <c r="M201" s="22" t="s">
        <v>86</v>
      </c>
      <c r="N201" s="23">
        <v>46083</v>
      </c>
      <c r="O201" s="26" t="str">
        <f t="shared" si="9"/>
        <v>OK</v>
      </c>
      <c r="P201" s="30" t="str">
        <f t="shared" si="10"/>
        <v/>
      </c>
      <c r="Q201" s="26" t="str">
        <f t="shared" si="11"/>
        <v/>
      </c>
    </row>
    <row r="202" spans="1:17" x14ac:dyDescent="0.3">
      <c r="A202" s="33">
        <v>2148813005</v>
      </c>
      <c r="B202" s="21" t="s">
        <v>1047</v>
      </c>
      <c r="C202" s="21" t="s">
        <v>1048</v>
      </c>
      <c r="D202" s="21" t="s">
        <v>1049</v>
      </c>
      <c r="E202" s="21" t="s">
        <v>252</v>
      </c>
      <c r="F202" s="21" t="s">
        <v>1050</v>
      </c>
      <c r="G202" s="21" t="s">
        <v>1051</v>
      </c>
      <c r="H202" s="25"/>
      <c r="I202" s="25"/>
      <c r="J202" s="25"/>
      <c r="K202" s="25"/>
      <c r="L202" s="25"/>
      <c r="M202" s="22" t="s">
        <v>86</v>
      </c>
      <c r="N202" s="23">
        <v>46083</v>
      </c>
      <c r="O202" s="26" t="str">
        <f t="shared" si="9"/>
        <v>OK</v>
      </c>
      <c r="P202" s="30" t="str">
        <f t="shared" si="10"/>
        <v/>
      </c>
      <c r="Q202" s="26" t="str">
        <f t="shared" si="11"/>
        <v/>
      </c>
    </row>
    <row r="203" spans="1:17" x14ac:dyDescent="0.3">
      <c r="A203" s="33">
        <v>1168196891</v>
      </c>
      <c r="B203" s="21" t="s">
        <v>1052</v>
      </c>
      <c r="C203" s="21" t="s">
        <v>1053</v>
      </c>
      <c r="D203" s="21" t="s">
        <v>1054</v>
      </c>
      <c r="E203" s="21" t="s">
        <v>83</v>
      </c>
      <c r="F203" s="21" t="s">
        <v>84</v>
      </c>
      <c r="G203" s="21" t="s">
        <v>1055</v>
      </c>
      <c r="H203" s="25"/>
      <c r="I203" s="25"/>
      <c r="J203" s="25"/>
      <c r="K203" s="25"/>
      <c r="L203" s="25"/>
      <c r="M203" s="22" t="s">
        <v>86</v>
      </c>
      <c r="N203" s="23">
        <v>46083</v>
      </c>
      <c r="O203" s="26" t="str">
        <f t="shared" si="9"/>
        <v>OK</v>
      </c>
      <c r="P203" s="30" t="str">
        <f t="shared" si="10"/>
        <v/>
      </c>
      <c r="Q203" s="26" t="str">
        <f t="shared" si="11"/>
        <v/>
      </c>
    </row>
    <row r="204" spans="1:17" x14ac:dyDescent="0.3">
      <c r="A204" s="33">
        <v>3350801600</v>
      </c>
      <c r="B204" s="21" t="s">
        <v>1056</v>
      </c>
      <c r="C204" s="21" t="s">
        <v>1057</v>
      </c>
      <c r="D204" s="21" t="s">
        <v>1058</v>
      </c>
      <c r="E204" s="21" t="s">
        <v>336</v>
      </c>
      <c r="F204" s="21" t="s">
        <v>196</v>
      </c>
      <c r="G204" s="21" t="s">
        <v>1059</v>
      </c>
      <c r="H204" s="25"/>
      <c r="I204" s="25"/>
      <c r="J204" s="25"/>
      <c r="K204" s="25"/>
      <c r="L204" s="25"/>
      <c r="M204" s="22" t="s">
        <v>86</v>
      </c>
      <c r="N204" s="23">
        <v>46083</v>
      </c>
      <c r="O204" s="26" t="str">
        <f t="shared" si="9"/>
        <v>OK</v>
      </c>
      <c r="P204" s="30" t="str">
        <f t="shared" si="10"/>
        <v/>
      </c>
      <c r="Q204" s="26" t="str">
        <f t="shared" si="11"/>
        <v/>
      </c>
    </row>
    <row r="205" spans="1:17" x14ac:dyDescent="0.3">
      <c r="A205" s="33">
        <v>4030224637</v>
      </c>
      <c r="B205" s="21" t="s">
        <v>1060</v>
      </c>
      <c r="C205" s="21" t="s">
        <v>1061</v>
      </c>
      <c r="D205" s="21" t="s">
        <v>1062</v>
      </c>
      <c r="E205" s="21" t="s">
        <v>190</v>
      </c>
      <c r="F205" s="21" t="s">
        <v>1063</v>
      </c>
      <c r="G205" s="21" t="s">
        <v>1064</v>
      </c>
      <c r="H205" s="25"/>
      <c r="I205" s="25"/>
      <c r="J205" s="25"/>
      <c r="K205" s="25"/>
      <c r="L205" s="25"/>
      <c r="M205" s="22" t="s">
        <v>86</v>
      </c>
      <c r="N205" s="23">
        <v>46083</v>
      </c>
      <c r="O205" s="26" t="str">
        <f t="shared" si="9"/>
        <v>OK</v>
      </c>
      <c r="P205" s="30" t="str">
        <f t="shared" si="10"/>
        <v/>
      </c>
      <c r="Q205" s="26" t="str">
        <f t="shared" si="11"/>
        <v/>
      </c>
    </row>
    <row r="206" spans="1:17" x14ac:dyDescent="0.3">
      <c r="A206" s="33">
        <v>8608100513</v>
      </c>
      <c r="B206" s="21" t="s">
        <v>1065</v>
      </c>
      <c r="C206" s="21" t="s">
        <v>1066</v>
      </c>
      <c r="D206" s="21" t="s">
        <v>1067</v>
      </c>
      <c r="E206" s="21" t="s">
        <v>1068</v>
      </c>
      <c r="F206" s="21" t="s">
        <v>1069</v>
      </c>
      <c r="G206" s="21" t="s">
        <v>1070</v>
      </c>
      <c r="H206" s="25"/>
      <c r="I206" s="25"/>
      <c r="J206" s="25"/>
      <c r="K206" s="25"/>
      <c r="L206" s="25"/>
      <c r="M206" s="22" t="s">
        <v>86</v>
      </c>
      <c r="N206" s="23">
        <v>46083</v>
      </c>
      <c r="O206" s="26" t="str">
        <f t="shared" si="9"/>
        <v>OK</v>
      </c>
      <c r="P206" s="30" t="str">
        <f t="shared" si="10"/>
        <v/>
      </c>
      <c r="Q206" s="26" t="str">
        <f t="shared" si="11"/>
        <v/>
      </c>
    </row>
    <row r="207" spans="1:17" x14ac:dyDescent="0.3">
      <c r="A207" s="33">
        <v>4021223764</v>
      </c>
      <c r="B207" s="21" t="s">
        <v>1071</v>
      </c>
      <c r="C207" s="21" t="s">
        <v>1072</v>
      </c>
      <c r="D207" s="21" t="s">
        <v>1073</v>
      </c>
      <c r="E207" s="21" t="s">
        <v>179</v>
      </c>
      <c r="F207" s="21" t="s">
        <v>1074</v>
      </c>
      <c r="G207" s="21" t="s">
        <v>1075</v>
      </c>
      <c r="H207" s="25"/>
      <c r="I207" s="25"/>
      <c r="J207" s="25"/>
      <c r="K207" s="25"/>
      <c r="L207" s="25"/>
      <c r="M207" s="22" t="s">
        <v>86</v>
      </c>
      <c r="N207" s="23">
        <v>46083</v>
      </c>
      <c r="O207" s="26" t="str">
        <f t="shared" si="9"/>
        <v>OK</v>
      </c>
      <c r="P207" s="30" t="str">
        <f t="shared" si="10"/>
        <v/>
      </c>
      <c r="Q207" s="26" t="str">
        <f t="shared" si="11"/>
        <v/>
      </c>
    </row>
    <row r="208" spans="1:17" x14ac:dyDescent="0.3">
      <c r="A208" s="33">
        <v>4098644927</v>
      </c>
      <c r="B208" s="21" t="s">
        <v>1076</v>
      </c>
      <c r="C208" s="21" t="s">
        <v>1077</v>
      </c>
      <c r="D208" s="21" t="s">
        <v>1078</v>
      </c>
      <c r="E208" s="21" t="s">
        <v>179</v>
      </c>
      <c r="F208" s="21" t="s">
        <v>874</v>
      </c>
      <c r="G208" s="21" t="s">
        <v>1079</v>
      </c>
      <c r="H208" s="25"/>
      <c r="I208" s="25"/>
      <c r="J208" s="25"/>
      <c r="K208" s="25"/>
      <c r="L208" s="25"/>
      <c r="M208" s="22" t="s">
        <v>86</v>
      </c>
      <c r="N208" s="23">
        <v>46083</v>
      </c>
      <c r="O208" s="26" t="str">
        <f t="shared" si="9"/>
        <v>OK</v>
      </c>
      <c r="P208" s="30" t="str">
        <f t="shared" si="10"/>
        <v/>
      </c>
      <c r="Q208" s="26" t="str">
        <f t="shared" si="11"/>
        <v/>
      </c>
    </row>
    <row r="209" spans="1:17" x14ac:dyDescent="0.3">
      <c r="A209" s="33">
        <v>4030168360</v>
      </c>
      <c r="B209" s="21" t="s">
        <v>1080</v>
      </c>
      <c r="C209" s="21" t="s">
        <v>1081</v>
      </c>
      <c r="D209" s="21" t="s">
        <v>1082</v>
      </c>
      <c r="E209" s="21" t="s">
        <v>190</v>
      </c>
      <c r="F209" s="21" t="s">
        <v>1083</v>
      </c>
      <c r="G209" s="21" t="s">
        <v>1084</v>
      </c>
      <c r="H209" s="25"/>
      <c r="I209" s="25"/>
      <c r="J209" s="25"/>
      <c r="K209" s="25"/>
      <c r="L209" s="25"/>
      <c r="M209" s="22" t="s">
        <v>86</v>
      </c>
      <c r="N209" s="23">
        <v>46083</v>
      </c>
      <c r="O209" s="26" t="str">
        <f t="shared" si="9"/>
        <v>OK</v>
      </c>
      <c r="P209" s="30" t="str">
        <f t="shared" si="10"/>
        <v/>
      </c>
      <c r="Q209" s="26" t="str">
        <f t="shared" si="11"/>
        <v/>
      </c>
    </row>
    <row r="210" spans="1:17" x14ac:dyDescent="0.3">
      <c r="A210" s="33">
        <v>4051141274</v>
      </c>
      <c r="B210" s="21" t="s">
        <v>1085</v>
      </c>
      <c r="C210" s="21" t="s">
        <v>1086</v>
      </c>
      <c r="D210" s="21" t="s">
        <v>1087</v>
      </c>
      <c r="E210" s="21" t="s">
        <v>247</v>
      </c>
      <c r="F210" s="21" t="s">
        <v>1088</v>
      </c>
      <c r="G210" s="21"/>
      <c r="H210" s="25"/>
      <c r="I210" s="25"/>
      <c r="J210" s="25"/>
      <c r="K210" s="25"/>
      <c r="L210" s="25"/>
      <c r="M210" s="22" t="s">
        <v>86</v>
      </c>
      <c r="N210" s="23">
        <v>46083</v>
      </c>
      <c r="O210" s="26" t="str">
        <f t="shared" si="9"/>
        <v>OK</v>
      </c>
      <c r="P210" s="30" t="str">
        <f t="shared" si="10"/>
        <v/>
      </c>
      <c r="Q210" s="26" t="str">
        <f t="shared" si="11"/>
        <v/>
      </c>
    </row>
    <row r="211" spans="1:17" x14ac:dyDescent="0.3">
      <c r="A211" s="33">
        <v>5992300625</v>
      </c>
      <c r="B211" s="21" t="s">
        <v>1089</v>
      </c>
      <c r="C211" s="21" t="s">
        <v>1090</v>
      </c>
      <c r="D211" s="21" t="s">
        <v>1091</v>
      </c>
      <c r="E211" s="21" t="s">
        <v>190</v>
      </c>
      <c r="F211" s="21" t="s">
        <v>191</v>
      </c>
      <c r="G211" s="21" t="s">
        <v>1092</v>
      </c>
      <c r="H211" s="25"/>
      <c r="I211" s="25"/>
      <c r="J211" s="25"/>
      <c r="K211" s="25"/>
      <c r="L211" s="25"/>
      <c r="M211" s="22" t="s">
        <v>86</v>
      </c>
      <c r="N211" s="23">
        <v>46083</v>
      </c>
      <c r="O211" s="26" t="str">
        <f t="shared" si="9"/>
        <v>OK</v>
      </c>
      <c r="P211" s="30" t="str">
        <f t="shared" si="10"/>
        <v/>
      </c>
      <c r="Q211" s="26" t="str">
        <f t="shared" si="11"/>
        <v/>
      </c>
    </row>
    <row r="212" spans="1:17" x14ac:dyDescent="0.3">
      <c r="A212" s="33">
        <v>1753500932</v>
      </c>
      <c r="B212" s="21" t="s">
        <v>1093</v>
      </c>
      <c r="C212" s="21" t="s">
        <v>1094</v>
      </c>
      <c r="D212" s="21" t="s">
        <v>1095</v>
      </c>
      <c r="E212" s="21" t="s">
        <v>179</v>
      </c>
      <c r="F212" s="21" t="s">
        <v>1096</v>
      </c>
      <c r="G212" s="21" t="s">
        <v>1097</v>
      </c>
      <c r="H212" s="25"/>
      <c r="I212" s="25"/>
      <c r="J212" s="25"/>
      <c r="K212" s="25"/>
      <c r="L212" s="25"/>
      <c r="M212" s="22" t="s">
        <v>86</v>
      </c>
      <c r="N212" s="23">
        <v>46083</v>
      </c>
      <c r="O212" s="26" t="str">
        <f t="shared" si="9"/>
        <v>OK</v>
      </c>
      <c r="P212" s="30" t="str">
        <f t="shared" si="10"/>
        <v/>
      </c>
      <c r="Q212" s="26" t="str">
        <f t="shared" si="11"/>
        <v/>
      </c>
    </row>
    <row r="213" spans="1:17" x14ac:dyDescent="0.3">
      <c r="A213" s="33">
        <v>4038143527</v>
      </c>
      <c r="B213" s="21" t="s">
        <v>1098</v>
      </c>
      <c r="C213" s="21" t="s">
        <v>1099</v>
      </c>
      <c r="D213" s="21" t="s">
        <v>1100</v>
      </c>
      <c r="E213" s="21" t="s">
        <v>190</v>
      </c>
      <c r="F213" s="21" t="s">
        <v>1101</v>
      </c>
      <c r="G213" s="21" t="s">
        <v>1102</v>
      </c>
      <c r="H213" s="25"/>
      <c r="I213" s="25"/>
      <c r="J213" s="25"/>
      <c r="K213" s="25"/>
      <c r="L213" s="25"/>
      <c r="M213" s="22" t="s">
        <v>86</v>
      </c>
      <c r="N213" s="23">
        <v>46083</v>
      </c>
      <c r="O213" s="26" t="str">
        <f t="shared" si="9"/>
        <v>OK</v>
      </c>
      <c r="P213" s="30" t="str">
        <f t="shared" si="10"/>
        <v/>
      </c>
      <c r="Q213" s="26" t="str">
        <f t="shared" si="11"/>
        <v/>
      </c>
    </row>
    <row r="214" spans="1:17" x14ac:dyDescent="0.3">
      <c r="A214" s="33">
        <v>2948603493</v>
      </c>
      <c r="B214" s="21" t="s">
        <v>1103</v>
      </c>
      <c r="C214" s="21" t="s">
        <v>786</v>
      </c>
      <c r="D214" s="21" t="s">
        <v>1104</v>
      </c>
      <c r="E214" s="21" t="s">
        <v>83</v>
      </c>
      <c r="F214" s="21" t="s">
        <v>1105</v>
      </c>
      <c r="G214" s="21" t="s">
        <v>1106</v>
      </c>
      <c r="H214" s="25"/>
      <c r="I214" s="25"/>
      <c r="J214" s="25"/>
      <c r="K214" s="25"/>
      <c r="L214" s="25"/>
      <c r="M214" s="22" t="s">
        <v>86</v>
      </c>
      <c r="N214" s="23">
        <v>46083</v>
      </c>
      <c r="O214" s="26" t="str">
        <f t="shared" si="9"/>
        <v>OK</v>
      </c>
      <c r="P214" s="30" t="str">
        <f t="shared" si="10"/>
        <v/>
      </c>
      <c r="Q214" s="26" t="str">
        <f t="shared" si="11"/>
        <v/>
      </c>
    </row>
    <row r="215" spans="1:17" x14ac:dyDescent="0.3">
      <c r="A215" s="33">
        <v>2251601138</v>
      </c>
      <c r="B215" s="21" t="s">
        <v>1107</v>
      </c>
      <c r="C215" s="21" t="s">
        <v>1108</v>
      </c>
      <c r="D215" s="21" t="s">
        <v>1109</v>
      </c>
      <c r="E215" s="21" t="s">
        <v>1110</v>
      </c>
      <c r="F215" s="21" t="s">
        <v>1111</v>
      </c>
      <c r="G215" s="21" t="s">
        <v>1112</v>
      </c>
      <c r="H215" s="25"/>
      <c r="I215" s="25"/>
      <c r="J215" s="25"/>
      <c r="K215" s="25"/>
      <c r="L215" s="25"/>
      <c r="M215" s="22" t="s">
        <v>86</v>
      </c>
      <c r="N215" s="23">
        <v>46083</v>
      </c>
      <c r="O215" s="26" t="str">
        <f t="shared" si="9"/>
        <v>OK</v>
      </c>
      <c r="P215" s="30" t="str">
        <f t="shared" si="10"/>
        <v/>
      </c>
      <c r="Q215" s="26" t="str">
        <f t="shared" si="11"/>
        <v/>
      </c>
    </row>
    <row r="216" spans="1:17" x14ac:dyDescent="0.3">
      <c r="A216" s="33">
        <v>8951400399</v>
      </c>
      <c r="B216" s="21" t="s">
        <v>1113</v>
      </c>
      <c r="C216" s="21" t="s">
        <v>1114</v>
      </c>
      <c r="D216" s="21" t="s">
        <v>1115</v>
      </c>
      <c r="E216" s="21" t="s">
        <v>179</v>
      </c>
      <c r="F216" s="21" t="s">
        <v>1116</v>
      </c>
      <c r="G216" s="21" t="s">
        <v>1117</v>
      </c>
      <c r="H216" s="25"/>
      <c r="I216" s="25"/>
      <c r="J216" s="25"/>
      <c r="K216" s="25"/>
      <c r="L216" s="25"/>
      <c r="M216" s="22" t="s">
        <v>86</v>
      </c>
      <c r="N216" s="23">
        <v>46083</v>
      </c>
      <c r="O216" s="26" t="str">
        <f t="shared" si="9"/>
        <v>OK</v>
      </c>
      <c r="P216" s="30" t="str">
        <f t="shared" si="10"/>
        <v/>
      </c>
      <c r="Q216" s="26" t="str">
        <f t="shared" si="11"/>
        <v/>
      </c>
    </row>
    <row r="217" spans="1:17" x14ac:dyDescent="0.3">
      <c r="A217" s="33">
        <v>2124200054</v>
      </c>
      <c r="B217" s="21" t="s">
        <v>1118</v>
      </c>
      <c r="C217" s="21" t="s">
        <v>1119</v>
      </c>
      <c r="D217" s="21" t="s">
        <v>1120</v>
      </c>
      <c r="E217" s="21" t="s">
        <v>190</v>
      </c>
      <c r="F217" s="21" t="s">
        <v>1121</v>
      </c>
      <c r="G217" s="21" t="s">
        <v>1122</v>
      </c>
      <c r="H217" s="25"/>
      <c r="I217" s="25"/>
      <c r="J217" s="25"/>
      <c r="K217" s="25"/>
      <c r="L217" s="25"/>
      <c r="M217" s="22" t="s">
        <v>86</v>
      </c>
      <c r="N217" s="23">
        <v>46083</v>
      </c>
      <c r="O217" s="26" t="str">
        <f t="shared" si="9"/>
        <v>OK</v>
      </c>
      <c r="P217" s="30" t="str">
        <f t="shared" si="10"/>
        <v/>
      </c>
      <c r="Q217" s="26" t="str">
        <f t="shared" si="11"/>
        <v/>
      </c>
    </row>
    <row r="218" spans="1:17" x14ac:dyDescent="0.3">
      <c r="A218" s="34">
        <v>2031345829</v>
      </c>
      <c r="B218" s="21" t="s">
        <v>1123</v>
      </c>
      <c r="C218" s="21" t="s">
        <v>1124</v>
      </c>
      <c r="D218" s="21" t="s">
        <v>1125</v>
      </c>
      <c r="E218" s="21" t="s">
        <v>83</v>
      </c>
      <c r="F218" s="21" t="s">
        <v>96</v>
      </c>
      <c r="G218" s="21" t="s">
        <v>1126</v>
      </c>
      <c r="H218" s="25"/>
      <c r="I218" s="25"/>
      <c r="J218" s="25"/>
      <c r="K218" s="25"/>
      <c r="L218" s="25"/>
      <c r="M218" s="22" t="s">
        <v>86</v>
      </c>
      <c r="N218" s="23">
        <v>46083</v>
      </c>
      <c r="O218" s="26" t="str">
        <f t="shared" si="9"/>
        <v>OK</v>
      </c>
      <c r="P218" s="30" t="str">
        <f t="shared" si="10"/>
        <v/>
      </c>
      <c r="Q218" s="26" t="str">
        <f t="shared" si="11"/>
        <v/>
      </c>
    </row>
    <row r="219" spans="1:17" x14ac:dyDescent="0.3">
      <c r="A219" s="33">
        <v>5592001343</v>
      </c>
      <c r="B219" s="21" t="s">
        <v>1127</v>
      </c>
      <c r="C219" s="21" t="s">
        <v>1128</v>
      </c>
      <c r="D219" s="21" t="s">
        <v>1129</v>
      </c>
      <c r="E219" s="21" t="s">
        <v>647</v>
      </c>
      <c r="F219" s="21" t="s">
        <v>1130</v>
      </c>
      <c r="G219" s="21" t="s">
        <v>1131</v>
      </c>
      <c r="H219" s="25"/>
      <c r="I219" s="25"/>
      <c r="J219" s="25"/>
      <c r="K219" s="25"/>
      <c r="L219" s="25"/>
      <c r="M219" s="22" t="s">
        <v>86</v>
      </c>
      <c r="N219" s="23">
        <v>46083</v>
      </c>
      <c r="O219" s="26" t="str">
        <f t="shared" si="9"/>
        <v>OK</v>
      </c>
      <c r="P219" s="30" t="str">
        <f t="shared" si="10"/>
        <v/>
      </c>
      <c r="Q219" s="26" t="str">
        <f t="shared" si="11"/>
        <v/>
      </c>
    </row>
    <row r="220" spans="1:17" x14ac:dyDescent="0.3">
      <c r="A220" s="33">
        <v>4188113710</v>
      </c>
      <c r="B220" s="21" t="s">
        <v>1132</v>
      </c>
      <c r="C220" s="21" t="s">
        <v>1133</v>
      </c>
      <c r="D220" s="21" t="s">
        <v>1134</v>
      </c>
      <c r="E220" s="21" t="s">
        <v>1135</v>
      </c>
      <c r="F220" s="21" t="s">
        <v>1136</v>
      </c>
      <c r="G220" s="21" t="s">
        <v>1137</v>
      </c>
      <c r="H220" s="25"/>
      <c r="I220" s="25"/>
      <c r="J220" s="25"/>
      <c r="K220" s="25"/>
      <c r="L220" s="25"/>
      <c r="M220" s="22" t="s">
        <v>86</v>
      </c>
      <c r="N220" s="23">
        <v>46083</v>
      </c>
      <c r="O220" s="26" t="str">
        <f t="shared" si="9"/>
        <v>OK</v>
      </c>
      <c r="P220" s="30" t="str">
        <f t="shared" si="10"/>
        <v/>
      </c>
      <c r="Q220" s="26" t="str">
        <f t="shared" si="11"/>
        <v/>
      </c>
    </row>
    <row r="221" spans="1:17" x14ac:dyDescent="0.3">
      <c r="A221" s="33">
        <v>1168700403</v>
      </c>
      <c r="B221" s="21" t="s">
        <v>1138</v>
      </c>
      <c r="C221" s="21" t="s">
        <v>1139</v>
      </c>
      <c r="D221" s="21"/>
      <c r="E221" s="21"/>
      <c r="F221" s="21"/>
      <c r="G221" s="21"/>
      <c r="H221" s="25"/>
      <c r="I221" s="25"/>
      <c r="J221" s="25"/>
      <c r="K221" s="25"/>
      <c r="L221" s="25"/>
      <c r="M221" s="22" t="s">
        <v>86</v>
      </c>
      <c r="N221" s="23">
        <v>46083</v>
      </c>
      <c r="O221" s="26" t="str">
        <f t="shared" si="9"/>
        <v>OK</v>
      </c>
      <c r="P221" s="30" t="str">
        <f t="shared" si="10"/>
        <v/>
      </c>
      <c r="Q221" s="26" t="str">
        <f t="shared" si="11"/>
        <v/>
      </c>
    </row>
    <row r="222" spans="1:17" x14ac:dyDescent="0.3">
      <c r="A222" s="33">
        <v>2734000297</v>
      </c>
      <c r="B222" s="21" t="s">
        <v>1140</v>
      </c>
      <c r="C222" s="21" t="s">
        <v>1141</v>
      </c>
      <c r="D222" s="21" t="s">
        <v>1142</v>
      </c>
      <c r="E222" s="21" t="s">
        <v>1143</v>
      </c>
      <c r="F222" s="21" t="s">
        <v>1144</v>
      </c>
      <c r="G222" s="21" t="s">
        <v>1131</v>
      </c>
      <c r="H222" s="25"/>
      <c r="I222" s="25"/>
      <c r="J222" s="25"/>
      <c r="K222" s="25"/>
      <c r="L222" s="25"/>
      <c r="M222" s="22" t="s">
        <v>86</v>
      </c>
      <c r="N222" s="23">
        <v>46083</v>
      </c>
      <c r="O222" s="26" t="str">
        <f t="shared" si="9"/>
        <v>OK</v>
      </c>
      <c r="P222" s="30" t="str">
        <f t="shared" si="10"/>
        <v/>
      </c>
      <c r="Q222" s="26" t="str">
        <f t="shared" si="11"/>
        <v/>
      </c>
    </row>
    <row r="223" spans="1:17" x14ac:dyDescent="0.3">
      <c r="A223" s="33">
        <v>1208101073</v>
      </c>
      <c r="B223" s="21" t="s">
        <v>1145</v>
      </c>
      <c r="C223" s="21" t="s">
        <v>1146</v>
      </c>
      <c r="D223" s="21" t="s">
        <v>1147</v>
      </c>
      <c r="E223" s="21" t="s">
        <v>83</v>
      </c>
      <c r="F223" s="21" t="s">
        <v>450</v>
      </c>
      <c r="G223" s="21" t="s">
        <v>1148</v>
      </c>
      <c r="H223" s="25"/>
      <c r="I223" s="25"/>
      <c r="J223" s="25"/>
      <c r="K223" s="25"/>
      <c r="L223" s="25"/>
      <c r="M223" s="22" t="s">
        <v>86</v>
      </c>
      <c r="N223" s="23">
        <v>46083</v>
      </c>
      <c r="O223" s="26" t="str">
        <f t="shared" si="9"/>
        <v>OK</v>
      </c>
      <c r="P223" s="30" t="str">
        <f t="shared" si="10"/>
        <v/>
      </c>
      <c r="Q223" s="26" t="str">
        <f t="shared" si="11"/>
        <v/>
      </c>
    </row>
    <row r="224" spans="1:17" x14ac:dyDescent="0.3">
      <c r="A224" s="33">
        <v>3264500994</v>
      </c>
      <c r="B224" s="21" t="s">
        <v>1149</v>
      </c>
      <c r="C224" s="21" t="s">
        <v>1150</v>
      </c>
      <c r="D224" s="21" t="s">
        <v>1151</v>
      </c>
      <c r="E224" s="21" t="s">
        <v>190</v>
      </c>
      <c r="F224" s="21" t="s">
        <v>1152</v>
      </c>
      <c r="G224" s="21" t="s">
        <v>1153</v>
      </c>
      <c r="H224" s="25"/>
      <c r="I224" s="25"/>
      <c r="J224" s="25"/>
      <c r="K224" s="25"/>
      <c r="L224" s="25"/>
      <c r="M224" s="22" t="s">
        <v>86</v>
      </c>
      <c r="N224" s="23">
        <v>46083</v>
      </c>
      <c r="O224" s="26" t="str">
        <f t="shared" si="9"/>
        <v>OK</v>
      </c>
      <c r="P224" s="30" t="str">
        <f t="shared" si="10"/>
        <v/>
      </c>
      <c r="Q224" s="26" t="str">
        <f t="shared" si="11"/>
        <v/>
      </c>
    </row>
    <row r="225" spans="1:17" x14ac:dyDescent="0.3">
      <c r="A225" s="33">
        <v>5441801988</v>
      </c>
      <c r="B225" s="21" t="s">
        <v>1154</v>
      </c>
      <c r="C225" s="21" t="s">
        <v>1155</v>
      </c>
      <c r="D225" s="21" t="s">
        <v>1156</v>
      </c>
      <c r="E225" s="21" t="s">
        <v>117</v>
      </c>
      <c r="F225" s="21" t="s">
        <v>1157</v>
      </c>
      <c r="G225" s="21" t="s">
        <v>1158</v>
      </c>
      <c r="H225" s="25"/>
      <c r="I225" s="25"/>
      <c r="J225" s="25"/>
      <c r="K225" s="25"/>
      <c r="L225" s="25"/>
      <c r="M225" s="22" t="s">
        <v>86</v>
      </c>
      <c r="N225" s="23">
        <v>46083</v>
      </c>
      <c r="O225" s="26" t="str">
        <f t="shared" si="9"/>
        <v>OK</v>
      </c>
      <c r="P225" s="30" t="str">
        <f t="shared" si="10"/>
        <v/>
      </c>
      <c r="Q225" s="26" t="str">
        <f t="shared" si="11"/>
        <v/>
      </c>
    </row>
    <row r="226" spans="1:17" x14ac:dyDescent="0.3">
      <c r="A226" s="33">
        <v>4188300034</v>
      </c>
      <c r="B226" s="21" t="s">
        <v>1159</v>
      </c>
      <c r="C226" s="21" t="s">
        <v>1160</v>
      </c>
      <c r="D226" s="21" t="s">
        <v>1161</v>
      </c>
      <c r="E226" s="21" t="s">
        <v>1162</v>
      </c>
      <c r="F226" s="21" t="s">
        <v>1163</v>
      </c>
      <c r="G226" s="21" t="s">
        <v>1164</v>
      </c>
      <c r="H226" s="25"/>
      <c r="I226" s="25"/>
      <c r="J226" s="25"/>
      <c r="K226" s="25"/>
      <c r="L226" s="25"/>
      <c r="M226" s="22" t="s">
        <v>86</v>
      </c>
      <c r="N226" s="23">
        <v>46083</v>
      </c>
      <c r="O226" s="26" t="str">
        <f t="shared" si="9"/>
        <v>OK</v>
      </c>
      <c r="P226" s="30" t="str">
        <f t="shared" si="10"/>
        <v/>
      </c>
      <c r="Q226" s="26" t="str">
        <f t="shared" si="11"/>
        <v/>
      </c>
    </row>
    <row r="227" spans="1:17" x14ac:dyDescent="0.3">
      <c r="A227" s="33">
        <v>4181061129</v>
      </c>
      <c r="B227" s="21" t="s">
        <v>1165</v>
      </c>
      <c r="C227" s="21" t="s">
        <v>1166</v>
      </c>
      <c r="D227" s="21" t="s">
        <v>1167</v>
      </c>
      <c r="E227" s="21" t="s">
        <v>190</v>
      </c>
      <c r="F227" s="21" t="s">
        <v>1168</v>
      </c>
      <c r="G227" s="21" t="s">
        <v>1169</v>
      </c>
      <c r="H227" s="25"/>
      <c r="I227" s="25"/>
      <c r="J227" s="25"/>
      <c r="K227" s="25"/>
      <c r="L227" s="25"/>
      <c r="M227" s="22" t="s">
        <v>86</v>
      </c>
      <c r="N227" s="23">
        <v>46083</v>
      </c>
      <c r="O227" s="26" t="str">
        <f t="shared" si="9"/>
        <v>OK</v>
      </c>
      <c r="P227" s="30" t="str">
        <f t="shared" si="10"/>
        <v/>
      </c>
      <c r="Q227" s="26" t="str">
        <f t="shared" si="11"/>
        <v/>
      </c>
    </row>
    <row r="228" spans="1:17" x14ac:dyDescent="0.3">
      <c r="A228" s="33">
        <v>3100977544</v>
      </c>
      <c r="B228" s="21" t="s">
        <v>1170</v>
      </c>
      <c r="C228" s="21" t="s">
        <v>1171</v>
      </c>
      <c r="D228" s="21" t="s">
        <v>1172</v>
      </c>
      <c r="E228" s="21" t="s">
        <v>179</v>
      </c>
      <c r="F228" s="21" t="s">
        <v>1173</v>
      </c>
      <c r="G228" s="21" t="s">
        <v>1174</v>
      </c>
      <c r="H228" s="25"/>
      <c r="I228" s="25"/>
      <c r="J228" s="25"/>
      <c r="K228" s="25"/>
      <c r="L228" s="25"/>
      <c r="M228" s="22" t="s">
        <v>86</v>
      </c>
      <c r="N228" s="23">
        <v>46083</v>
      </c>
      <c r="O228" s="26" t="str">
        <f t="shared" si="9"/>
        <v>OK</v>
      </c>
      <c r="P228" s="30" t="str">
        <f t="shared" si="10"/>
        <v/>
      </c>
      <c r="Q228" s="26" t="str">
        <f t="shared" si="11"/>
        <v/>
      </c>
    </row>
    <row r="229" spans="1:17" x14ac:dyDescent="0.3">
      <c r="A229" s="33">
        <v>7242501108</v>
      </c>
      <c r="B229" s="21" t="s">
        <v>1175</v>
      </c>
      <c r="C229" s="21" t="s">
        <v>1176</v>
      </c>
      <c r="D229" s="21" t="s">
        <v>1177</v>
      </c>
      <c r="E229" s="21"/>
      <c r="F229" s="21"/>
      <c r="G229" s="21" t="s">
        <v>1178</v>
      </c>
      <c r="H229" s="25"/>
      <c r="I229" s="25"/>
      <c r="J229" s="25"/>
      <c r="K229" s="25"/>
      <c r="L229" s="25"/>
      <c r="M229" s="22" t="s">
        <v>86</v>
      </c>
      <c r="N229" s="23">
        <v>46083</v>
      </c>
      <c r="O229" s="26" t="str">
        <f t="shared" si="9"/>
        <v>OK</v>
      </c>
      <c r="P229" s="30" t="str">
        <f t="shared" si="10"/>
        <v/>
      </c>
      <c r="Q229" s="26" t="str">
        <f t="shared" si="11"/>
        <v/>
      </c>
    </row>
    <row r="230" spans="1:17" x14ac:dyDescent="0.3">
      <c r="A230" s="33">
        <v>4068200242</v>
      </c>
      <c r="B230" s="21" t="s">
        <v>1179</v>
      </c>
      <c r="C230" s="21" t="s">
        <v>1180</v>
      </c>
      <c r="D230" s="21" t="s">
        <v>1181</v>
      </c>
      <c r="E230" s="21" t="s">
        <v>190</v>
      </c>
      <c r="F230" s="21" t="s">
        <v>1182</v>
      </c>
      <c r="G230" s="21" t="s">
        <v>1183</v>
      </c>
      <c r="H230" s="25"/>
      <c r="I230" s="25"/>
      <c r="J230" s="25"/>
      <c r="K230" s="25"/>
      <c r="L230" s="25"/>
      <c r="M230" s="22" t="s">
        <v>86</v>
      </c>
      <c r="N230" s="23">
        <v>46083</v>
      </c>
      <c r="O230" s="26" t="str">
        <f t="shared" si="9"/>
        <v>OK</v>
      </c>
      <c r="P230" s="30" t="str">
        <f t="shared" si="10"/>
        <v/>
      </c>
      <c r="Q230" s="26" t="str">
        <f t="shared" si="11"/>
        <v/>
      </c>
    </row>
    <row r="231" spans="1:17" x14ac:dyDescent="0.3">
      <c r="A231" s="33">
        <v>4031364784</v>
      </c>
      <c r="B231" s="21" t="s">
        <v>1184</v>
      </c>
      <c r="C231" s="21" t="s">
        <v>1185</v>
      </c>
      <c r="D231" s="21" t="s">
        <v>1186</v>
      </c>
      <c r="E231" s="21" t="s">
        <v>190</v>
      </c>
      <c r="F231" s="21" t="s">
        <v>874</v>
      </c>
      <c r="G231" s="21"/>
      <c r="H231" s="25"/>
      <c r="I231" s="25"/>
      <c r="J231" s="25"/>
      <c r="K231" s="25"/>
      <c r="L231" s="25"/>
      <c r="M231" s="22" t="s">
        <v>86</v>
      </c>
      <c r="N231" s="23">
        <v>46083</v>
      </c>
      <c r="O231" s="26" t="str">
        <f t="shared" si="9"/>
        <v>OK</v>
      </c>
      <c r="P231" s="30" t="str">
        <f t="shared" si="10"/>
        <v/>
      </c>
      <c r="Q231" s="26" t="str">
        <f t="shared" si="11"/>
        <v/>
      </c>
    </row>
    <row r="232" spans="1:17" x14ac:dyDescent="0.3">
      <c r="A232" s="33">
        <v>4018126255</v>
      </c>
      <c r="B232" s="21" t="s">
        <v>1187</v>
      </c>
      <c r="C232" s="21" t="s">
        <v>1188</v>
      </c>
      <c r="D232" s="21" t="s">
        <v>1189</v>
      </c>
      <c r="E232" s="21" t="s">
        <v>83</v>
      </c>
      <c r="F232" s="21" t="s">
        <v>1190</v>
      </c>
      <c r="G232" s="21" t="s">
        <v>1191</v>
      </c>
      <c r="H232" s="25"/>
      <c r="I232" s="25"/>
      <c r="J232" s="25"/>
      <c r="K232" s="25"/>
      <c r="L232" s="25"/>
      <c r="M232" s="22" t="s">
        <v>86</v>
      </c>
      <c r="N232" s="23">
        <v>46083</v>
      </c>
      <c r="O232" s="26" t="str">
        <f t="shared" si="9"/>
        <v>OK</v>
      </c>
      <c r="P232" s="30" t="str">
        <f t="shared" si="10"/>
        <v/>
      </c>
      <c r="Q232" s="26" t="str">
        <f t="shared" si="11"/>
        <v/>
      </c>
    </row>
    <row r="233" spans="1:17" x14ac:dyDescent="0.3">
      <c r="A233" s="33">
        <v>4031077522</v>
      </c>
      <c r="B233" s="21" t="s">
        <v>1192</v>
      </c>
      <c r="C233" s="21" t="s">
        <v>1193</v>
      </c>
      <c r="D233" s="21" t="s">
        <v>1194</v>
      </c>
      <c r="E233" s="21" t="s">
        <v>247</v>
      </c>
      <c r="F233" s="21" t="s">
        <v>1195</v>
      </c>
      <c r="G233" s="21"/>
      <c r="H233" s="25"/>
      <c r="I233" s="25"/>
      <c r="J233" s="25"/>
      <c r="K233" s="25"/>
      <c r="L233" s="25"/>
      <c r="M233" s="22" t="s">
        <v>86</v>
      </c>
      <c r="N233" s="23">
        <v>46083</v>
      </c>
      <c r="O233" s="26" t="str">
        <f t="shared" si="9"/>
        <v>OK</v>
      </c>
      <c r="P233" s="30" t="str">
        <f t="shared" si="10"/>
        <v/>
      </c>
      <c r="Q233" s="26" t="str">
        <f t="shared" si="11"/>
        <v/>
      </c>
    </row>
    <row r="234" spans="1:17" x14ac:dyDescent="0.3">
      <c r="A234" s="33">
        <v>4038146975</v>
      </c>
      <c r="B234" s="21" t="s">
        <v>1196</v>
      </c>
      <c r="C234" s="21" t="s">
        <v>1197</v>
      </c>
      <c r="D234" s="21" t="s">
        <v>1198</v>
      </c>
      <c r="E234" s="21" t="s">
        <v>179</v>
      </c>
      <c r="F234" s="21" t="s">
        <v>1199</v>
      </c>
      <c r="G234" s="21" t="s">
        <v>1200</v>
      </c>
      <c r="H234" s="25"/>
      <c r="I234" s="25"/>
      <c r="J234" s="25"/>
      <c r="K234" s="25"/>
      <c r="L234" s="25"/>
      <c r="M234" s="22" t="s">
        <v>86</v>
      </c>
      <c r="N234" s="23">
        <v>46083</v>
      </c>
      <c r="O234" s="26" t="str">
        <f t="shared" si="9"/>
        <v>OK</v>
      </c>
      <c r="P234" s="30" t="str">
        <f t="shared" si="10"/>
        <v/>
      </c>
      <c r="Q234" s="26" t="str">
        <f t="shared" si="11"/>
        <v/>
      </c>
    </row>
    <row r="235" spans="1:17" x14ac:dyDescent="0.3">
      <c r="A235" s="33">
        <v>5974601118</v>
      </c>
      <c r="B235" s="21" t="s">
        <v>1201</v>
      </c>
      <c r="C235" s="21" t="s">
        <v>1202</v>
      </c>
      <c r="D235" s="21" t="s">
        <v>1203</v>
      </c>
      <c r="E235" s="21" t="s">
        <v>83</v>
      </c>
      <c r="F235" s="21" t="s">
        <v>96</v>
      </c>
      <c r="G235" s="21"/>
      <c r="H235" s="25"/>
      <c r="I235" s="25"/>
      <c r="J235" s="25"/>
      <c r="K235" s="25"/>
      <c r="L235" s="25"/>
      <c r="M235" s="22" t="s">
        <v>86</v>
      </c>
      <c r="N235" s="23">
        <v>46083</v>
      </c>
      <c r="O235" s="26" t="str">
        <f t="shared" si="9"/>
        <v>OK</v>
      </c>
      <c r="P235" s="30" t="str">
        <f t="shared" si="10"/>
        <v/>
      </c>
      <c r="Q235" s="26" t="str">
        <f t="shared" si="11"/>
        <v/>
      </c>
    </row>
    <row r="236" spans="1:17" x14ac:dyDescent="0.3">
      <c r="A236" s="33">
        <v>4020396213</v>
      </c>
      <c r="B236" s="21" t="s">
        <v>1204</v>
      </c>
      <c r="C236" s="21" t="s">
        <v>1205</v>
      </c>
      <c r="D236" s="21" t="s">
        <v>1206</v>
      </c>
      <c r="E236" s="21" t="s">
        <v>179</v>
      </c>
      <c r="F236" s="21" t="s">
        <v>1207</v>
      </c>
      <c r="G236" s="21" t="s">
        <v>1208</v>
      </c>
      <c r="H236" s="25"/>
      <c r="I236" s="25"/>
      <c r="J236" s="25"/>
      <c r="K236" s="25"/>
      <c r="L236" s="25"/>
      <c r="M236" s="22" t="s">
        <v>86</v>
      </c>
      <c r="N236" s="23">
        <v>46083</v>
      </c>
      <c r="O236" s="26" t="str">
        <f t="shared" si="9"/>
        <v>OK</v>
      </c>
      <c r="P236" s="30" t="str">
        <f t="shared" si="10"/>
        <v/>
      </c>
      <c r="Q236" s="26" t="str">
        <f t="shared" si="11"/>
        <v/>
      </c>
    </row>
    <row r="237" spans="1:17" x14ac:dyDescent="0.3">
      <c r="A237" s="33">
        <v>4028157635</v>
      </c>
      <c r="B237" s="21" t="s">
        <v>1209</v>
      </c>
      <c r="C237" s="21" t="s">
        <v>1210</v>
      </c>
      <c r="D237" s="21" t="s">
        <v>1211</v>
      </c>
      <c r="E237" s="21" t="s">
        <v>83</v>
      </c>
      <c r="F237" s="21" t="s">
        <v>1212</v>
      </c>
      <c r="G237" s="21" t="s">
        <v>1213</v>
      </c>
      <c r="H237" s="25"/>
      <c r="I237" s="25"/>
      <c r="J237" s="25"/>
      <c r="K237" s="25"/>
      <c r="L237" s="25"/>
      <c r="M237" s="22" t="s">
        <v>86</v>
      </c>
      <c r="N237" s="23">
        <v>46083</v>
      </c>
      <c r="O237" s="26" t="str">
        <f t="shared" si="9"/>
        <v>OK</v>
      </c>
      <c r="P237" s="30" t="str">
        <f t="shared" si="10"/>
        <v/>
      </c>
      <c r="Q237" s="26" t="str">
        <f t="shared" si="11"/>
        <v/>
      </c>
    </row>
    <row r="238" spans="1:17" x14ac:dyDescent="0.3">
      <c r="A238" s="33">
        <v>1392064445</v>
      </c>
      <c r="B238" s="21" t="s">
        <v>1214</v>
      </c>
      <c r="C238" s="21" t="s">
        <v>1215</v>
      </c>
      <c r="D238" s="21" t="s">
        <v>1216</v>
      </c>
      <c r="E238" s="21" t="s">
        <v>1217</v>
      </c>
      <c r="F238" s="21" t="s">
        <v>1218</v>
      </c>
      <c r="G238" s="21" t="s">
        <v>1219</v>
      </c>
      <c r="H238" s="25"/>
      <c r="I238" s="25"/>
      <c r="J238" s="25"/>
      <c r="K238" s="25"/>
      <c r="L238" s="25"/>
      <c r="M238" s="22" t="s">
        <v>86</v>
      </c>
      <c r="N238" s="23">
        <v>46083</v>
      </c>
      <c r="O238" s="26" t="str">
        <f t="shared" si="9"/>
        <v>OK</v>
      </c>
      <c r="P238" s="30" t="str">
        <f t="shared" si="10"/>
        <v/>
      </c>
      <c r="Q238" s="26" t="str">
        <f t="shared" si="11"/>
        <v/>
      </c>
    </row>
    <row r="239" spans="1:17" x14ac:dyDescent="0.3">
      <c r="A239" s="33">
        <v>4038300013</v>
      </c>
      <c r="B239" s="21" t="s">
        <v>1220</v>
      </c>
      <c r="C239" s="21" t="s">
        <v>1221</v>
      </c>
      <c r="D239" s="21" t="s">
        <v>1222</v>
      </c>
      <c r="E239" s="21" t="s">
        <v>1223</v>
      </c>
      <c r="F239" s="21" t="s">
        <v>1224</v>
      </c>
      <c r="G239" s="21" t="s">
        <v>1225</v>
      </c>
      <c r="H239" s="25"/>
      <c r="I239" s="25"/>
      <c r="J239" s="25"/>
      <c r="K239" s="25"/>
      <c r="L239" s="25"/>
      <c r="M239" s="22" t="s">
        <v>86</v>
      </c>
      <c r="N239" s="23">
        <v>46083</v>
      </c>
      <c r="O239" s="26" t="str">
        <f t="shared" si="9"/>
        <v>OK</v>
      </c>
      <c r="P239" s="30" t="str">
        <f t="shared" si="10"/>
        <v/>
      </c>
      <c r="Q239" s="26" t="str">
        <f t="shared" si="11"/>
        <v/>
      </c>
    </row>
    <row r="240" spans="1:17" x14ac:dyDescent="0.3">
      <c r="A240" s="33">
        <v>4038301351</v>
      </c>
      <c r="B240" s="21" t="s">
        <v>1226</v>
      </c>
      <c r="C240" s="21" t="s">
        <v>1227</v>
      </c>
      <c r="D240" s="21" t="s">
        <v>1228</v>
      </c>
      <c r="E240" s="21"/>
      <c r="F240" s="21"/>
      <c r="G240" s="21" t="s">
        <v>1229</v>
      </c>
      <c r="H240" s="25"/>
      <c r="I240" s="25"/>
      <c r="J240" s="25"/>
      <c r="K240" s="25"/>
      <c r="L240" s="25"/>
      <c r="M240" s="22" t="s">
        <v>86</v>
      </c>
      <c r="N240" s="23">
        <v>46083</v>
      </c>
      <c r="O240" s="26" t="str">
        <f t="shared" si="9"/>
        <v>OK</v>
      </c>
      <c r="P240" s="30" t="str">
        <f t="shared" si="10"/>
        <v/>
      </c>
      <c r="Q240" s="26" t="str">
        <f t="shared" si="11"/>
        <v/>
      </c>
    </row>
    <row r="241" spans="1:17" x14ac:dyDescent="0.3">
      <c r="A241" s="33">
        <v>5908703476</v>
      </c>
      <c r="B241" s="21" t="s">
        <v>1230</v>
      </c>
      <c r="C241" s="21" t="s">
        <v>1231</v>
      </c>
      <c r="D241" s="21" t="s">
        <v>1232</v>
      </c>
      <c r="E241" s="21" t="s">
        <v>537</v>
      </c>
      <c r="F241" s="21" t="s">
        <v>96</v>
      </c>
      <c r="G241" s="21" t="s">
        <v>1233</v>
      </c>
      <c r="H241" s="25"/>
      <c r="I241" s="25"/>
      <c r="J241" s="25"/>
      <c r="K241" s="25"/>
      <c r="L241" s="25"/>
      <c r="M241" s="22" t="s">
        <v>86</v>
      </c>
      <c r="N241" s="23">
        <v>46083</v>
      </c>
      <c r="O241" s="26" t="str">
        <f t="shared" si="9"/>
        <v>OK</v>
      </c>
      <c r="P241" s="30" t="str">
        <f t="shared" si="10"/>
        <v/>
      </c>
      <c r="Q241" s="26" t="str">
        <f t="shared" si="11"/>
        <v/>
      </c>
    </row>
    <row r="242" spans="1:17" x14ac:dyDescent="0.3">
      <c r="A242" s="33">
        <v>4038200393</v>
      </c>
      <c r="B242" s="21" t="s">
        <v>1234</v>
      </c>
      <c r="C242" s="21" t="s">
        <v>1235</v>
      </c>
      <c r="D242" s="21" t="s">
        <v>1236</v>
      </c>
      <c r="E242" s="21" t="s">
        <v>1237</v>
      </c>
      <c r="F242" s="21" t="s">
        <v>252</v>
      </c>
      <c r="G242" s="21" t="s">
        <v>1238</v>
      </c>
      <c r="H242" s="25"/>
      <c r="I242" s="25"/>
      <c r="J242" s="25"/>
      <c r="K242" s="25"/>
      <c r="L242" s="25"/>
      <c r="M242" s="22" t="s">
        <v>86</v>
      </c>
      <c r="N242" s="23">
        <v>46083</v>
      </c>
      <c r="O242" s="26" t="str">
        <f t="shared" si="9"/>
        <v>OK</v>
      </c>
      <c r="P242" s="30" t="str">
        <f t="shared" si="10"/>
        <v/>
      </c>
      <c r="Q242" s="26" t="str">
        <f t="shared" si="11"/>
        <v/>
      </c>
    </row>
    <row r="243" spans="1:17" x14ac:dyDescent="0.3">
      <c r="A243" s="33">
        <v>5398800340</v>
      </c>
      <c r="B243" s="21" t="s">
        <v>1239</v>
      </c>
      <c r="C243" s="21" t="s">
        <v>1240</v>
      </c>
      <c r="D243" s="21" t="s">
        <v>1241</v>
      </c>
      <c r="E243" s="21" t="s">
        <v>1242</v>
      </c>
      <c r="F243" s="21" t="s">
        <v>1243</v>
      </c>
      <c r="G243" s="21" t="s">
        <v>1244</v>
      </c>
      <c r="H243" s="25"/>
      <c r="I243" s="25"/>
      <c r="J243" s="25"/>
      <c r="K243" s="25"/>
      <c r="L243" s="25"/>
      <c r="M243" s="22" t="s">
        <v>86</v>
      </c>
      <c r="N243" s="23">
        <v>46083</v>
      </c>
      <c r="O243" s="26" t="str">
        <f t="shared" si="9"/>
        <v>OK</v>
      </c>
      <c r="P243" s="30" t="str">
        <f t="shared" si="10"/>
        <v/>
      </c>
      <c r="Q243" s="26" t="str">
        <f t="shared" si="11"/>
        <v/>
      </c>
    </row>
    <row r="244" spans="1:17" x14ac:dyDescent="0.3">
      <c r="A244" s="33">
        <v>4038127245</v>
      </c>
      <c r="B244" s="21" t="s">
        <v>1245</v>
      </c>
      <c r="C244" s="21" t="s">
        <v>1246</v>
      </c>
      <c r="D244" s="21" t="s">
        <v>1247</v>
      </c>
      <c r="E244" s="21" t="s">
        <v>179</v>
      </c>
      <c r="F244" s="21" t="s">
        <v>1248</v>
      </c>
      <c r="G244" s="21" t="s">
        <v>1249</v>
      </c>
      <c r="H244" s="25"/>
      <c r="I244" s="25"/>
      <c r="J244" s="25"/>
      <c r="K244" s="25"/>
      <c r="L244" s="25"/>
      <c r="M244" s="22" t="s">
        <v>86</v>
      </c>
      <c r="N244" s="23">
        <v>46083</v>
      </c>
      <c r="O244" s="26" t="str">
        <f t="shared" si="9"/>
        <v>OK</v>
      </c>
      <c r="P244" s="30" t="str">
        <f t="shared" si="10"/>
        <v/>
      </c>
      <c r="Q244" s="26" t="str">
        <f t="shared" si="11"/>
        <v/>
      </c>
    </row>
    <row r="245" spans="1:17" x14ac:dyDescent="0.3">
      <c r="A245" s="33">
        <v>4030468546</v>
      </c>
      <c r="B245" s="21" t="s">
        <v>1250</v>
      </c>
      <c r="C245" s="21" t="s">
        <v>1251</v>
      </c>
      <c r="D245" s="21" t="s">
        <v>1252</v>
      </c>
      <c r="E245" s="21" t="s">
        <v>366</v>
      </c>
      <c r="F245" s="21" t="s">
        <v>1253</v>
      </c>
      <c r="G245" s="21" t="s">
        <v>1254</v>
      </c>
      <c r="H245" s="25"/>
      <c r="I245" s="25"/>
      <c r="J245" s="25"/>
      <c r="K245" s="25"/>
      <c r="L245" s="25"/>
      <c r="M245" s="22" t="s">
        <v>86</v>
      </c>
      <c r="N245" s="23">
        <v>46083</v>
      </c>
      <c r="O245" s="26" t="str">
        <f t="shared" si="9"/>
        <v>OK</v>
      </c>
      <c r="P245" s="30" t="str">
        <f t="shared" si="10"/>
        <v/>
      </c>
      <c r="Q245" s="26" t="str">
        <f t="shared" si="11"/>
        <v/>
      </c>
    </row>
    <row r="246" spans="1:17" x14ac:dyDescent="0.3">
      <c r="A246" s="33">
        <v>4031999441</v>
      </c>
      <c r="B246" s="21" t="s">
        <v>1255</v>
      </c>
      <c r="C246" s="21" t="s">
        <v>1256</v>
      </c>
      <c r="D246" s="21" t="s">
        <v>1257</v>
      </c>
      <c r="E246" s="21" t="s">
        <v>190</v>
      </c>
      <c r="F246" s="21" t="s">
        <v>191</v>
      </c>
      <c r="G246" s="21" t="s">
        <v>1258</v>
      </c>
      <c r="H246" s="25"/>
      <c r="I246" s="25"/>
      <c r="J246" s="25"/>
      <c r="K246" s="25"/>
      <c r="L246" s="25"/>
      <c r="M246" s="22" t="s">
        <v>86</v>
      </c>
      <c r="N246" s="23">
        <v>46083</v>
      </c>
      <c r="O246" s="26" t="str">
        <f t="shared" si="9"/>
        <v>OK</v>
      </c>
      <c r="P246" s="30" t="str">
        <f t="shared" si="10"/>
        <v/>
      </c>
      <c r="Q246" s="26" t="str">
        <f t="shared" si="11"/>
        <v/>
      </c>
    </row>
    <row r="247" spans="1:17" x14ac:dyDescent="0.3">
      <c r="A247" s="33">
        <v>4038302724</v>
      </c>
      <c r="B247" s="21" t="s">
        <v>1259</v>
      </c>
      <c r="C247" s="21" t="s">
        <v>1260</v>
      </c>
      <c r="D247" s="21" t="s">
        <v>1261</v>
      </c>
      <c r="E247" s="21"/>
      <c r="F247" s="21"/>
      <c r="G247" s="21" t="s">
        <v>1262</v>
      </c>
      <c r="H247" s="25"/>
      <c r="I247" s="25"/>
      <c r="J247" s="25"/>
      <c r="K247" s="25"/>
      <c r="L247" s="25"/>
      <c r="M247" s="22" t="s">
        <v>86</v>
      </c>
      <c r="N247" s="23">
        <v>46083</v>
      </c>
      <c r="O247" s="26" t="str">
        <f t="shared" si="9"/>
        <v>OK</v>
      </c>
      <c r="P247" s="30" t="str">
        <f t="shared" si="10"/>
        <v/>
      </c>
      <c r="Q247" s="26" t="str">
        <f t="shared" si="11"/>
        <v/>
      </c>
    </row>
    <row r="248" spans="1:17" x14ac:dyDescent="0.3">
      <c r="A248" s="33">
        <v>4038302234</v>
      </c>
      <c r="B248" s="21" t="s">
        <v>1263</v>
      </c>
      <c r="C248" s="21" t="s">
        <v>1264</v>
      </c>
      <c r="D248" s="21" t="s">
        <v>1265</v>
      </c>
      <c r="E248" s="21"/>
      <c r="F248" s="21"/>
      <c r="G248" s="21" t="s">
        <v>1266</v>
      </c>
      <c r="H248" s="25"/>
      <c r="I248" s="25"/>
      <c r="J248" s="25"/>
      <c r="K248" s="25"/>
      <c r="L248" s="25"/>
      <c r="M248" s="22" t="s">
        <v>86</v>
      </c>
      <c r="N248" s="23">
        <v>46083</v>
      </c>
      <c r="O248" s="26" t="str">
        <f t="shared" si="9"/>
        <v>OK</v>
      </c>
      <c r="P248" s="30" t="str">
        <f t="shared" si="10"/>
        <v/>
      </c>
      <c r="Q248" s="26" t="str">
        <f t="shared" si="11"/>
        <v/>
      </c>
    </row>
    <row r="249" spans="1:17" x14ac:dyDescent="0.3">
      <c r="A249" s="33">
        <v>8038601979</v>
      </c>
      <c r="B249" s="21" t="s">
        <v>1267</v>
      </c>
      <c r="C249" s="21" t="s">
        <v>1268</v>
      </c>
      <c r="D249" s="21" t="s">
        <v>1269</v>
      </c>
      <c r="E249" s="21" t="s">
        <v>83</v>
      </c>
      <c r="F249" s="21" t="s">
        <v>1270</v>
      </c>
      <c r="G249" s="21" t="s">
        <v>1271</v>
      </c>
      <c r="H249" s="25"/>
      <c r="I249" s="25"/>
      <c r="J249" s="25"/>
      <c r="K249" s="25"/>
      <c r="L249" s="25"/>
      <c r="M249" s="22" t="s">
        <v>86</v>
      </c>
      <c r="N249" s="23">
        <v>46083</v>
      </c>
      <c r="O249" s="26" t="str">
        <f t="shared" si="9"/>
        <v>OK</v>
      </c>
      <c r="P249" s="30" t="str">
        <f t="shared" si="10"/>
        <v/>
      </c>
      <c r="Q249" s="26" t="str">
        <f t="shared" si="11"/>
        <v/>
      </c>
    </row>
    <row r="250" spans="1:17" x14ac:dyDescent="0.3">
      <c r="A250" s="33">
        <v>7640901620</v>
      </c>
      <c r="B250" s="21" t="s">
        <v>1272</v>
      </c>
      <c r="C250" s="21" t="s">
        <v>1273</v>
      </c>
      <c r="D250" s="21" t="s">
        <v>1274</v>
      </c>
      <c r="E250" s="21" t="s">
        <v>117</v>
      </c>
      <c r="F250" s="21" t="s">
        <v>1275</v>
      </c>
      <c r="G250" s="21" t="s">
        <v>1276</v>
      </c>
      <c r="H250" s="25"/>
      <c r="I250" s="25"/>
      <c r="J250" s="25"/>
      <c r="K250" s="25"/>
      <c r="L250" s="25"/>
      <c r="M250" s="22" t="s">
        <v>86</v>
      </c>
      <c r="N250" s="23">
        <v>46083</v>
      </c>
      <c r="O250" s="26" t="str">
        <f t="shared" si="9"/>
        <v>OK</v>
      </c>
      <c r="P250" s="30" t="str">
        <f t="shared" si="10"/>
        <v/>
      </c>
      <c r="Q250" s="26" t="str">
        <f t="shared" si="11"/>
        <v/>
      </c>
    </row>
    <row r="251" spans="1:17" x14ac:dyDescent="0.3">
      <c r="A251" s="33">
        <v>4038107119</v>
      </c>
      <c r="B251" s="21" t="s">
        <v>1277</v>
      </c>
      <c r="C251" s="21" t="s">
        <v>1278</v>
      </c>
      <c r="D251" s="21" t="s">
        <v>1279</v>
      </c>
      <c r="E251" s="21" t="s">
        <v>83</v>
      </c>
      <c r="F251" s="21" t="s">
        <v>1280</v>
      </c>
      <c r="G251" s="21" t="s">
        <v>1281</v>
      </c>
      <c r="H251" s="25"/>
      <c r="I251" s="25"/>
      <c r="J251" s="25"/>
      <c r="K251" s="25"/>
      <c r="L251" s="25"/>
      <c r="M251" s="22" t="s">
        <v>86</v>
      </c>
      <c r="N251" s="23">
        <v>46083</v>
      </c>
      <c r="O251" s="26" t="str">
        <f t="shared" si="9"/>
        <v>OK</v>
      </c>
      <c r="P251" s="30" t="str">
        <f t="shared" si="10"/>
        <v/>
      </c>
      <c r="Q251" s="26" t="str">
        <f t="shared" si="11"/>
        <v/>
      </c>
    </row>
    <row r="252" spans="1:17" x14ac:dyDescent="0.3">
      <c r="A252" s="33">
        <v>4038113931</v>
      </c>
      <c r="B252" s="21" t="s">
        <v>1282</v>
      </c>
      <c r="C252" s="21" t="s">
        <v>1283</v>
      </c>
      <c r="D252" s="21" t="s">
        <v>1284</v>
      </c>
      <c r="E252" s="21" t="s">
        <v>1285</v>
      </c>
      <c r="F252" s="21" t="s">
        <v>1286</v>
      </c>
      <c r="G252" s="21" t="s">
        <v>1287</v>
      </c>
      <c r="H252" s="25"/>
      <c r="I252" s="25"/>
      <c r="J252" s="25"/>
      <c r="K252" s="25"/>
      <c r="L252" s="25"/>
      <c r="M252" s="22" t="s">
        <v>86</v>
      </c>
      <c r="N252" s="23">
        <v>46083</v>
      </c>
      <c r="O252" s="26" t="str">
        <f t="shared" si="9"/>
        <v>OK</v>
      </c>
      <c r="P252" s="30" t="str">
        <f t="shared" si="10"/>
        <v/>
      </c>
      <c r="Q252" s="26" t="str">
        <f t="shared" si="11"/>
        <v/>
      </c>
    </row>
    <row r="253" spans="1:17" x14ac:dyDescent="0.3">
      <c r="A253" s="33">
        <v>5940100593</v>
      </c>
      <c r="B253" s="21" t="s">
        <v>1288</v>
      </c>
      <c r="C253" s="21" t="s">
        <v>1289</v>
      </c>
      <c r="D253" s="21" t="s">
        <v>1290</v>
      </c>
      <c r="E253" s="21" t="s">
        <v>83</v>
      </c>
      <c r="F253" s="21" t="s">
        <v>1291</v>
      </c>
      <c r="G253" s="21"/>
      <c r="H253" s="25"/>
      <c r="I253" s="25"/>
      <c r="J253" s="25"/>
      <c r="K253" s="25"/>
      <c r="L253" s="25"/>
      <c r="M253" s="22" t="s">
        <v>86</v>
      </c>
      <c r="N253" s="23">
        <v>46083</v>
      </c>
      <c r="O253" s="26" t="str">
        <f t="shared" si="9"/>
        <v>OK</v>
      </c>
      <c r="P253" s="30" t="str">
        <f t="shared" si="10"/>
        <v/>
      </c>
      <c r="Q253" s="26" t="str">
        <f t="shared" si="11"/>
        <v/>
      </c>
    </row>
    <row r="254" spans="1:17" x14ac:dyDescent="0.3">
      <c r="A254" s="33">
        <v>4023928091</v>
      </c>
      <c r="B254" s="21" t="s">
        <v>1292</v>
      </c>
      <c r="C254" s="21" t="s">
        <v>1293</v>
      </c>
      <c r="D254" s="21" t="s">
        <v>1294</v>
      </c>
      <c r="E254" s="21" t="s">
        <v>336</v>
      </c>
      <c r="F254" s="21" t="s">
        <v>228</v>
      </c>
      <c r="G254" s="21" t="s">
        <v>1295</v>
      </c>
      <c r="H254" s="25"/>
      <c r="I254" s="25"/>
      <c r="J254" s="25"/>
      <c r="K254" s="25"/>
      <c r="L254" s="25"/>
      <c r="M254" s="22" t="s">
        <v>86</v>
      </c>
      <c r="N254" s="23">
        <v>46083</v>
      </c>
      <c r="O254" s="26" t="str">
        <f t="shared" si="9"/>
        <v>OK</v>
      </c>
      <c r="P254" s="30" t="str">
        <f t="shared" si="10"/>
        <v/>
      </c>
      <c r="Q254" s="26" t="str">
        <f t="shared" si="11"/>
        <v/>
      </c>
    </row>
    <row r="255" spans="1:17" x14ac:dyDescent="0.3">
      <c r="A255" s="33">
        <v>4188300470</v>
      </c>
      <c r="B255" s="21" t="s">
        <v>1296</v>
      </c>
      <c r="C255" s="21" t="s">
        <v>1297</v>
      </c>
      <c r="D255" s="21" t="s">
        <v>1298</v>
      </c>
      <c r="E255" s="21" t="s">
        <v>1299</v>
      </c>
      <c r="F255" s="21" t="s">
        <v>1300</v>
      </c>
      <c r="G255" s="21" t="s">
        <v>1301</v>
      </c>
      <c r="H255" s="25"/>
      <c r="I255" s="25"/>
      <c r="J255" s="25"/>
      <c r="K255" s="25"/>
      <c r="L255" s="25"/>
      <c r="M255" s="22" t="s">
        <v>86</v>
      </c>
      <c r="N255" s="23">
        <v>46083</v>
      </c>
      <c r="O255" s="26" t="str">
        <f t="shared" si="9"/>
        <v>OK</v>
      </c>
      <c r="P255" s="30" t="str">
        <f t="shared" si="10"/>
        <v/>
      </c>
      <c r="Q255" s="26" t="str">
        <f t="shared" si="11"/>
        <v/>
      </c>
    </row>
    <row r="256" spans="1:17" x14ac:dyDescent="0.3">
      <c r="A256" s="33">
        <v>7498601618</v>
      </c>
      <c r="B256" s="21" t="s">
        <v>1302</v>
      </c>
      <c r="C256" s="21" t="s">
        <v>1303</v>
      </c>
      <c r="D256" s="21" t="s">
        <v>1304</v>
      </c>
      <c r="E256" s="21" t="s">
        <v>83</v>
      </c>
      <c r="F256" s="21" t="s">
        <v>96</v>
      </c>
      <c r="G256" s="21" t="s">
        <v>1305</v>
      </c>
      <c r="H256" s="25"/>
      <c r="I256" s="25"/>
      <c r="J256" s="25"/>
      <c r="K256" s="25"/>
      <c r="L256" s="25"/>
      <c r="M256" s="22" t="s">
        <v>86</v>
      </c>
      <c r="N256" s="23">
        <v>46083</v>
      </c>
      <c r="O256" s="26" t="str">
        <f t="shared" si="9"/>
        <v>OK</v>
      </c>
      <c r="P256" s="30" t="str">
        <f t="shared" si="10"/>
        <v/>
      </c>
      <c r="Q256" s="26" t="str">
        <f t="shared" si="11"/>
        <v/>
      </c>
    </row>
    <row r="257" spans="1:17" x14ac:dyDescent="0.3">
      <c r="A257" s="33">
        <v>4188123386</v>
      </c>
      <c r="B257" s="21" t="s">
        <v>1306</v>
      </c>
      <c r="C257" s="21" t="s">
        <v>1307</v>
      </c>
      <c r="D257" s="21" t="s">
        <v>1308</v>
      </c>
      <c r="E257" s="21" t="s">
        <v>346</v>
      </c>
      <c r="F257" s="21" t="s">
        <v>1309</v>
      </c>
      <c r="G257" s="21" t="s">
        <v>1310</v>
      </c>
      <c r="H257" s="25"/>
      <c r="I257" s="25"/>
      <c r="J257" s="25"/>
      <c r="K257" s="25"/>
      <c r="L257" s="25"/>
      <c r="M257" s="22" t="s">
        <v>86</v>
      </c>
      <c r="N257" s="23">
        <v>46083</v>
      </c>
      <c r="O257" s="26" t="str">
        <f t="shared" si="9"/>
        <v>OK</v>
      </c>
      <c r="P257" s="30" t="str">
        <f t="shared" si="10"/>
        <v/>
      </c>
      <c r="Q257" s="26" t="str">
        <f t="shared" si="11"/>
        <v/>
      </c>
    </row>
    <row r="258" spans="1:17" x14ac:dyDescent="0.3">
      <c r="A258" s="33">
        <v>4028188797</v>
      </c>
      <c r="B258" s="21" t="s">
        <v>1311</v>
      </c>
      <c r="C258" s="21" t="s">
        <v>1312</v>
      </c>
      <c r="D258" s="21" t="s">
        <v>1313</v>
      </c>
      <c r="E258" s="21" t="s">
        <v>83</v>
      </c>
      <c r="F258" s="21" t="s">
        <v>1314</v>
      </c>
      <c r="G258" s="21" t="s">
        <v>1315</v>
      </c>
      <c r="H258" s="25"/>
      <c r="I258" s="25"/>
      <c r="J258" s="25"/>
      <c r="K258" s="25"/>
      <c r="L258" s="25"/>
      <c r="M258" s="22" t="s">
        <v>86</v>
      </c>
      <c r="N258" s="23">
        <v>46083</v>
      </c>
      <c r="O258" s="26" t="str">
        <f t="shared" ref="O258:O321" si="12">IF(A258="","",IFERROR(IF(AND(LEN(A258)=10,NOT(ISERROR(VALUE(A258)))),"OK","확인"),"확인"))</f>
        <v>OK</v>
      </c>
      <c r="P258" s="30" t="str">
        <f t="shared" ref="P258:P321" si="13">IF(A258="","",IF(COUNTIF($A$2:$A$1946,A258)&gt;1,"중복",""))</f>
        <v/>
      </c>
      <c r="Q258" s="26" t="str">
        <f t="shared" ref="Q258:Q321" si="14">IF(G258="","",IF(ISNUMBER(SEARCH("@",G258)),"","확인"))</f>
        <v/>
      </c>
    </row>
    <row r="259" spans="1:17" x14ac:dyDescent="0.3">
      <c r="A259" s="33">
        <v>8868600131</v>
      </c>
      <c r="B259" s="21" t="s">
        <v>1316</v>
      </c>
      <c r="C259" s="21" t="s">
        <v>1317</v>
      </c>
      <c r="D259" s="21" t="s">
        <v>1318</v>
      </c>
      <c r="E259" s="21" t="s">
        <v>83</v>
      </c>
      <c r="F259" s="21" t="s">
        <v>1319</v>
      </c>
      <c r="G259" s="21" t="s">
        <v>1320</v>
      </c>
      <c r="H259" s="25"/>
      <c r="I259" s="25"/>
      <c r="J259" s="25"/>
      <c r="K259" s="25"/>
      <c r="L259" s="25"/>
      <c r="M259" s="22" t="s">
        <v>86</v>
      </c>
      <c r="N259" s="23">
        <v>46083</v>
      </c>
      <c r="O259" s="26" t="str">
        <f t="shared" si="12"/>
        <v>OK</v>
      </c>
      <c r="P259" s="30" t="str">
        <f t="shared" si="13"/>
        <v/>
      </c>
      <c r="Q259" s="26" t="str">
        <f t="shared" si="14"/>
        <v/>
      </c>
    </row>
    <row r="260" spans="1:17" x14ac:dyDescent="0.3">
      <c r="A260" s="33">
        <v>2938603336</v>
      </c>
      <c r="B260" s="21" t="s">
        <v>1321</v>
      </c>
      <c r="C260" s="21" t="s">
        <v>1322</v>
      </c>
      <c r="D260" s="21" t="s">
        <v>1323</v>
      </c>
      <c r="E260" s="21" t="s">
        <v>83</v>
      </c>
      <c r="F260" s="21" t="s">
        <v>1324</v>
      </c>
      <c r="G260" s="21" t="s">
        <v>1325</v>
      </c>
      <c r="H260" s="25"/>
      <c r="I260" s="25"/>
      <c r="J260" s="25"/>
      <c r="K260" s="25"/>
      <c r="L260" s="25"/>
      <c r="M260" s="22" t="s">
        <v>86</v>
      </c>
      <c r="N260" s="23">
        <v>46083</v>
      </c>
      <c r="O260" s="26" t="str">
        <f t="shared" si="12"/>
        <v>OK</v>
      </c>
      <c r="P260" s="30" t="str">
        <f t="shared" si="13"/>
        <v/>
      </c>
      <c r="Q260" s="26" t="str">
        <f t="shared" si="14"/>
        <v/>
      </c>
    </row>
    <row r="261" spans="1:17" x14ac:dyDescent="0.3">
      <c r="A261" s="33">
        <v>4038118391</v>
      </c>
      <c r="B261" s="21" t="s">
        <v>1326</v>
      </c>
      <c r="C261" s="21" t="s">
        <v>1327</v>
      </c>
      <c r="D261" s="21" t="s">
        <v>1328</v>
      </c>
      <c r="E261" s="21" t="s">
        <v>83</v>
      </c>
      <c r="F261" s="21" t="s">
        <v>242</v>
      </c>
      <c r="G261" s="21" t="s">
        <v>1329</v>
      </c>
      <c r="H261" s="25"/>
      <c r="I261" s="25"/>
      <c r="J261" s="25"/>
      <c r="K261" s="25"/>
      <c r="L261" s="25"/>
      <c r="M261" s="22" t="s">
        <v>86</v>
      </c>
      <c r="N261" s="23">
        <v>46083</v>
      </c>
      <c r="O261" s="26" t="str">
        <f t="shared" si="12"/>
        <v>OK</v>
      </c>
      <c r="P261" s="30" t="str">
        <f t="shared" si="13"/>
        <v/>
      </c>
      <c r="Q261" s="26" t="str">
        <f t="shared" si="14"/>
        <v/>
      </c>
    </row>
    <row r="262" spans="1:17" x14ac:dyDescent="0.3">
      <c r="A262" s="33">
        <v>4028114558</v>
      </c>
      <c r="B262" s="21" t="s">
        <v>1330</v>
      </c>
      <c r="C262" s="21" t="s">
        <v>1331</v>
      </c>
      <c r="D262" s="21" t="s">
        <v>1332</v>
      </c>
      <c r="E262" s="21" t="s">
        <v>83</v>
      </c>
      <c r="F262" s="21" t="s">
        <v>450</v>
      </c>
      <c r="G262" s="21" t="s">
        <v>1333</v>
      </c>
      <c r="H262" s="25"/>
      <c r="I262" s="25"/>
      <c r="J262" s="25"/>
      <c r="K262" s="25"/>
      <c r="L262" s="25"/>
      <c r="M262" s="22" t="s">
        <v>86</v>
      </c>
      <c r="N262" s="23">
        <v>46083</v>
      </c>
      <c r="O262" s="26" t="str">
        <f t="shared" si="12"/>
        <v>OK</v>
      </c>
      <c r="P262" s="30" t="str">
        <f t="shared" si="13"/>
        <v/>
      </c>
      <c r="Q262" s="26" t="str">
        <f t="shared" si="14"/>
        <v/>
      </c>
    </row>
    <row r="263" spans="1:17" x14ac:dyDescent="0.3">
      <c r="A263" s="33">
        <v>4038142474</v>
      </c>
      <c r="B263" s="21" t="s">
        <v>1334</v>
      </c>
      <c r="C263" s="21" t="s">
        <v>1335</v>
      </c>
      <c r="D263" s="21" t="s">
        <v>1336</v>
      </c>
      <c r="E263" s="21" t="s">
        <v>669</v>
      </c>
      <c r="F263" s="21" t="s">
        <v>1337</v>
      </c>
      <c r="G263" s="21" t="s">
        <v>1338</v>
      </c>
      <c r="H263" s="25"/>
      <c r="I263" s="25"/>
      <c r="J263" s="25"/>
      <c r="K263" s="25"/>
      <c r="L263" s="25"/>
      <c r="M263" s="22" t="s">
        <v>86</v>
      </c>
      <c r="N263" s="23">
        <v>46083</v>
      </c>
      <c r="O263" s="26" t="str">
        <f t="shared" si="12"/>
        <v>OK</v>
      </c>
      <c r="P263" s="30" t="str">
        <f t="shared" si="13"/>
        <v/>
      </c>
      <c r="Q263" s="26" t="str">
        <f t="shared" si="14"/>
        <v/>
      </c>
    </row>
    <row r="264" spans="1:17" x14ac:dyDescent="0.3">
      <c r="A264" s="33">
        <v>6938701592</v>
      </c>
      <c r="B264" s="21" t="s">
        <v>1339</v>
      </c>
      <c r="C264" s="21" t="s">
        <v>1340</v>
      </c>
      <c r="D264" s="21" t="s">
        <v>1341</v>
      </c>
      <c r="E264" s="21" t="s">
        <v>1003</v>
      </c>
      <c r="F264" s="21" t="s">
        <v>1342</v>
      </c>
      <c r="G264" s="21" t="s">
        <v>1343</v>
      </c>
      <c r="H264" s="25"/>
      <c r="I264" s="25"/>
      <c r="J264" s="25"/>
      <c r="K264" s="25"/>
      <c r="L264" s="25"/>
      <c r="M264" s="22" t="s">
        <v>86</v>
      </c>
      <c r="N264" s="23">
        <v>46083</v>
      </c>
      <c r="O264" s="26" t="str">
        <f t="shared" si="12"/>
        <v>OK</v>
      </c>
      <c r="P264" s="30" t="str">
        <f t="shared" si="13"/>
        <v/>
      </c>
      <c r="Q264" s="26" t="str">
        <f t="shared" si="14"/>
        <v/>
      </c>
    </row>
    <row r="265" spans="1:17" x14ac:dyDescent="0.3">
      <c r="A265" s="33">
        <v>4038163843</v>
      </c>
      <c r="B265" s="21" t="s">
        <v>1344</v>
      </c>
      <c r="C265" s="21" t="s">
        <v>1345</v>
      </c>
      <c r="D265" s="21" t="s">
        <v>1346</v>
      </c>
      <c r="E265" s="21" t="s">
        <v>117</v>
      </c>
      <c r="F265" s="21" t="s">
        <v>1347</v>
      </c>
      <c r="G265" s="21" t="s">
        <v>1348</v>
      </c>
      <c r="H265" s="25"/>
      <c r="I265" s="25"/>
      <c r="J265" s="25"/>
      <c r="K265" s="25"/>
      <c r="L265" s="25"/>
      <c r="M265" s="22" t="s">
        <v>86</v>
      </c>
      <c r="N265" s="23">
        <v>46083</v>
      </c>
      <c r="O265" s="26" t="str">
        <f t="shared" si="12"/>
        <v>OK</v>
      </c>
      <c r="P265" s="30" t="str">
        <f t="shared" si="13"/>
        <v/>
      </c>
      <c r="Q265" s="26" t="str">
        <f t="shared" si="14"/>
        <v/>
      </c>
    </row>
    <row r="266" spans="1:17" x14ac:dyDescent="0.3">
      <c r="A266" s="33">
        <v>4028134888</v>
      </c>
      <c r="B266" s="21" t="s">
        <v>1349</v>
      </c>
      <c r="C266" s="21" t="s">
        <v>1350</v>
      </c>
      <c r="D266" s="21" t="s">
        <v>1351</v>
      </c>
      <c r="E266" s="21" t="s">
        <v>111</v>
      </c>
      <c r="F266" s="21" t="s">
        <v>951</v>
      </c>
      <c r="G266" s="21" t="s">
        <v>851</v>
      </c>
      <c r="H266" s="25"/>
      <c r="I266" s="25"/>
      <c r="J266" s="25"/>
      <c r="K266" s="25"/>
      <c r="L266" s="25"/>
      <c r="M266" s="22" t="s">
        <v>86</v>
      </c>
      <c r="N266" s="23">
        <v>46083</v>
      </c>
      <c r="O266" s="26" t="str">
        <f t="shared" si="12"/>
        <v>OK</v>
      </c>
      <c r="P266" s="30" t="str">
        <f t="shared" si="13"/>
        <v/>
      </c>
      <c r="Q266" s="26" t="str">
        <f t="shared" si="14"/>
        <v/>
      </c>
    </row>
    <row r="267" spans="1:17" x14ac:dyDescent="0.3">
      <c r="A267" s="33">
        <v>7628700434</v>
      </c>
      <c r="B267" s="21" t="s">
        <v>1352</v>
      </c>
      <c r="C267" s="21" t="s">
        <v>1353</v>
      </c>
      <c r="D267" s="21" t="s">
        <v>1354</v>
      </c>
      <c r="E267" s="21" t="s">
        <v>111</v>
      </c>
      <c r="F267" s="21" t="s">
        <v>96</v>
      </c>
      <c r="G267" s="21" t="s">
        <v>1355</v>
      </c>
      <c r="H267" s="25"/>
      <c r="I267" s="25"/>
      <c r="J267" s="25"/>
      <c r="K267" s="25"/>
      <c r="L267" s="25"/>
      <c r="M267" s="22" t="s">
        <v>86</v>
      </c>
      <c r="N267" s="23">
        <v>46083</v>
      </c>
      <c r="O267" s="26" t="str">
        <f t="shared" si="12"/>
        <v>OK</v>
      </c>
      <c r="P267" s="30" t="str">
        <f t="shared" si="13"/>
        <v/>
      </c>
      <c r="Q267" s="26" t="str">
        <f t="shared" si="14"/>
        <v/>
      </c>
    </row>
    <row r="268" spans="1:17" x14ac:dyDescent="0.3">
      <c r="A268" s="33">
        <v>4018138969</v>
      </c>
      <c r="B268" s="21" t="s">
        <v>1356</v>
      </c>
      <c r="C268" s="21" t="s">
        <v>1357</v>
      </c>
      <c r="D268" s="21" t="s">
        <v>1358</v>
      </c>
      <c r="E268" s="21" t="s">
        <v>83</v>
      </c>
      <c r="F268" s="21" t="s">
        <v>838</v>
      </c>
      <c r="G268" s="21" t="s">
        <v>1359</v>
      </c>
      <c r="H268" s="25"/>
      <c r="I268" s="25"/>
      <c r="J268" s="25"/>
      <c r="K268" s="25"/>
      <c r="L268" s="25"/>
      <c r="M268" s="22" t="s">
        <v>86</v>
      </c>
      <c r="N268" s="23">
        <v>46083</v>
      </c>
      <c r="O268" s="26" t="str">
        <f t="shared" si="12"/>
        <v>OK</v>
      </c>
      <c r="P268" s="30" t="str">
        <f t="shared" si="13"/>
        <v/>
      </c>
      <c r="Q268" s="26" t="str">
        <f t="shared" si="14"/>
        <v/>
      </c>
    </row>
    <row r="269" spans="1:17" x14ac:dyDescent="0.3">
      <c r="A269" s="33">
        <v>8838102265</v>
      </c>
      <c r="B269" s="21" t="s">
        <v>1360</v>
      </c>
      <c r="C269" s="21" t="s">
        <v>1361</v>
      </c>
      <c r="D269" s="21" t="s">
        <v>1362</v>
      </c>
      <c r="E269" s="21" t="s">
        <v>179</v>
      </c>
      <c r="F269" s="21" t="s">
        <v>1363</v>
      </c>
      <c r="G269" s="21" t="s">
        <v>1364</v>
      </c>
      <c r="H269" s="25"/>
      <c r="I269" s="25"/>
      <c r="J269" s="25"/>
      <c r="K269" s="25"/>
      <c r="L269" s="25"/>
      <c r="M269" s="22" t="s">
        <v>86</v>
      </c>
      <c r="N269" s="23">
        <v>46083</v>
      </c>
      <c r="O269" s="26" t="str">
        <f t="shared" si="12"/>
        <v>OK</v>
      </c>
      <c r="P269" s="30" t="str">
        <f t="shared" si="13"/>
        <v/>
      </c>
      <c r="Q269" s="26" t="str">
        <f t="shared" si="14"/>
        <v/>
      </c>
    </row>
    <row r="270" spans="1:17" x14ac:dyDescent="0.3">
      <c r="A270" s="33">
        <v>4068103107</v>
      </c>
      <c r="B270" s="21" t="s">
        <v>1365</v>
      </c>
      <c r="C270" s="21" t="s">
        <v>1366</v>
      </c>
      <c r="D270" s="21" t="s">
        <v>1367</v>
      </c>
      <c r="E270" s="21" t="s">
        <v>83</v>
      </c>
      <c r="F270" s="21" t="s">
        <v>823</v>
      </c>
      <c r="G270" s="21" t="s">
        <v>1368</v>
      </c>
      <c r="H270" s="25"/>
      <c r="I270" s="25"/>
      <c r="J270" s="25"/>
      <c r="K270" s="25"/>
      <c r="L270" s="25"/>
      <c r="M270" s="22" t="s">
        <v>86</v>
      </c>
      <c r="N270" s="23">
        <v>46083</v>
      </c>
      <c r="O270" s="26" t="str">
        <f t="shared" si="12"/>
        <v>OK</v>
      </c>
      <c r="P270" s="30" t="str">
        <f t="shared" si="13"/>
        <v/>
      </c>
      <c r="Q270" s="26" t="str">
        <f t="shared" si="14"/>
        <v/>
      </c>
    </row>
    <row r="271" spans="1:17" x14ac:dyDescent="0.3">
      <c r="A271" s="33">
        <v>3048132529</v>
      </c>
      <c r="B271" s="21" t="s">
        <v>1369</v>
      </c>
      <c r="C271" s="21" t="s">
        <v>1370</v>
      </c>
      <c r="D271" s="21" t="s">
        <v>1371</v>
      </c>
      <c r="E271" s="21" t="s">
        <v>1003</v>
      </c>
      <c r="F271" s="21" t="s">
        <v>1372</v>
      </c>
      <c r="G271" s="21" t="s">
        <v>1373</v>
      </c>
      <c r="H271" s="25"/>
      <c r="I271" s="25"/>
      <c r="J271" s="25"/>
      <c r="K271" s="25"/>
      <c r="L271" s="25"/>
      <c r="M271" s="22" t="s">
        <v>86</v>
      </c>
      <c r="N271" s="23">
        <v>46083</v>
      </c>
      <c r="O271" s="26" t="str">
        <f t="shared" si="12"/>
        <v>OK</v>
      </c>
      <c r="P271" s="30" t="str">
        <f t="shared" si="13"/>
        <v/>
      </c>
      <c r="Q271" s="26" t="str">
        <f t="shared" si="14"/>
        <v/>
      </c>
    </row>
    <row r="272" spans="1:17" x14ac:dyDescent="0.3">
      <c r="A272" s="33">
        <v>5548100582</v>
      </c>
      <c r="B272" s="21" t="s">
        <v>1374</v>
      </c>
      <c r="C272" s="21" t="s">
        <v>1375</v>
      </c>
      <c r="D272" s="21" t="s">
        <v>1376</v>
      </c>
      <c r="E272" s="21" t="s">
        <v>179</v>
      </c>
      <c r="F272" s="21" t="s">
        <v>1377</v>
      </c>
      <c r="G272" s="21" t="s">
        <v>1378</v>
      </c>
      <c r="H272" s="25"/>
      <c r="I272" s="25"/>
      <c r="J272" s="25"/>
      <c r="K272" s="25"/>
      <c r="L272" s="25"/>
      <c r="M272" s="22" t="s">
        <v>86</v>
      </c>
      <c r="N272" s="23">
        <v>46083</v>
      </c>
      <c r="O272" s="26" t="str">
        <f t="shared" si="12"/>
        <v>OK</v>
      </c>
      <c r="P272" s="30" t="str">
        <f t="shared" si="13"/>
        <v/>
      </c>
      <c r="Q272" s="26" t="str">
        <f t="shared" si="14"/>
        <v/>
      </c>
    </row>
    <row r="273" spans="1:17" x14ac:dyDescent="0.3">
      <c r="A273" s="33">
        <v>4278802007</v>
      </c>
      <c r="B273" s="21" t="s">
        <v>1379</v>
      </c>
      <c r="C273" s="21" t="s">
        <v>1380</v>
      </c>
      <c r="D273" s="21" t="s">
        <v>1381</v>
      </c>
      <c r="E273" s="21" t="s">
        <v>83</v>
      </c>
      <c r="F273" s="21" t="s">
        <v>96</v>
      </c>
      <c r="G273" s="21" t="s">
        <v>1382</v>
      </c>
      <c r="H273" s="25"/>
      <c r="I273" s="25"/>
      <c r="J273" s="25"/>
      <c r="K273" s="25"/>
      <c r="L273" s="25"/>
      <c r="M273" s="22" t="s">
        <v>86</v>
      </c>
      <c r="N273" s="23">
        <v>46083</v>
      </c>
      <c r="O273" s="26" t="str">
        <f t="shared" si="12"/>
        <v>OK</v>
      </c>
      <c r="P273" s="30" t="str">
        <f t="shared" si="13"/>
        <v/>
      </c>
      <c r="Q273" s="26" t="str">
        <f t="shared" si="14"/>
        <v/>
      </c>
    </row>
    <row r="274" spans="1:17" x14ac:dyDescent="0.3">
      <c r="A274" s="33">
        <v>4018139575</v>
      </c>
      <c r="B274" s="21" t="s">
        <v>1383</v>
      </c>
      <c r="C274" s="21" t="s">
        <v>1384</v>
      </c>
      <c r="D274" s="21" t="s">
        <v>1385</v>
      </c>
      <c r="E274" s="21" t="s">
        <v>179</v>
      </c>
      <c r="F274" s="21" t="s">
        <v>1386</v>
      </c>
      <c r="G274" s="21"/>
      <c r="H274" s="25"/>
      <c r="I274" s="25"/>
      <c r="J274" s="25"/>
      <c r="K274" s="25"/>
      <c r="L274" s="25"/>
      <c r="M274" s="22" t="s">
        <v>86</v>
      </c>
      <c r="N274" s="23">
        <v>46083</v>
      </c>
      <c r="O274" s="26" t="str">
        <f t="shared" si="12"/>
        <v>OK</v>
      </c>
      <c r="P274" s="30" t="str">
        <f t="shared" si="13"/>
        <v/>
      </c>
      <c r="Q274" s="26" t="str">
        <f t="shared" si="14"/>
        <v/>
      </c>
    </row>
    <row r="275" spans="1:17" x14ac:dyDescent="0.3">
      <c r="A275" s="33">
        <v>4038182025</v>
      </c>
      <c r="B275" s="21" t="s">
        <v>1387</v>
      </c>
      <c r="C275" s="21" t="s">
        <v>1388</v>
      </c>
      <c r="D275" s="21" t="s">
        <v>1389</v>
      </c>
      <c r="E275" s="21" t="s">
        <v>83</v>
      </c>
      <c r="F275" s="21" t="s">
        <v>1280</v>
      </c>
      <c r="G275" s="21" t="s">
        <v>1390</v>
      </c>
      <c r="H275" s="25"/>
      <c r="I275" s="25"/>
      <c r="J275" s="25"/>
      <c r="K275" s="25"/>
      <c r="L275" s="25"/>
      <c r="M275" s="22" t="s">
        <v>86</v>
      </c>
      <c r="N275" s="23">
        <v>46083</v>
      </c>
      <c r="O275" s="26" t="str">
        <f t="shared" si="12"/>
        <v>OK</v>
      </c>
      <c r="P275" s="30" t="str">
        <f t="shared" si="13"/>
        <v/>
      </c>
      <c r="Q275" s="26" t="str">
        <f t="shared" si="14"/>
        <v/>
      </c>
    </row>
    <row r="276" spans="1:17" x14ac:dyDescent="0.3">
      <c r="A276" s="33">
        <v>4028605786</v>
      </c>
      <c r="B276" s="21" t="s">
        <v>1391</v>
      </c>
      <c r="C276" s="21" t="s">
        <v>1392</v>
      </c>
      <c r="D276" s="21" t="s">
        <v>1393</v>
      </c>
      <c r="E276" s="21" t="s">
        <v>83</v>
      </c>
      <c r="F276" s="21" t="s">
        <v>1394</v>
      </c>
      <c r="G276" s="21" t="s">
        <v>1395</v>
      </c>
      <c r="H276" s="25"/>
      <c r="I276" s="25"/>
      <c r="J276" s="25"/>
      <c r="K276" s="25"/>
      <c r="L276" s="25"/>
      <c r="M276" s="22" t="s">
        <v>86</v>
      </c>
      <c r="N276" s="23">
        <v>46083</v>
      </c>
      <c r="O276" s="26" t="str">
        <f t="shared" si="12"/>
        <v>OK</v>
      </c>
      <c r="P276" s="30" t="str">
        <f t="shared" si="13"/>
        <v/>
      </c>
      <c r="Q276" s="26" t="str">
        <f t="shared" si="14"/>
        <v/>
      </c>
    </row>
    <row r="277" spans="1:17" x14ac:dyDescent="0.3">
      <c r="A277" s="33">
        <v>4028129240</v>
      </c>
      <c r="B277" s="21" t="s">
        <v>1396</v>
      </c>
      <c r="C277" s="21" t="s">
        <v>1397</v>
      </c>
      <c r="D277" s="21" t="s">
        <v>1398</v>
      </c>
      <c r="E277" s="21" t="s">
        <v>83</v>
      </c>
      <c r="F277" s="21" t="s">
        <v>84</v>
      </c>
      <c r="G277" s="21" t="s">
        <v>1399</v>
      </c>
      <c r="H277" s="25"/>
      <c r="I277" s="25"/>
      <c r="J277" s="25"/>
      <c r="K277" s="25"/>
      <c r="L277" s="25"/>
      <c r="M277" s="22" t="s">
        <v>86</v>
      </c>
      <c r="N277" s="23">
        <v>46083</v>
      </c>
      <c r="O277" s="26" t="str">
        <f t="shared" si="12"/>
        <v>OK</v>
      </c>
      <c r="P277" s="30" t="str">
        <f t="shared" si="13"/>
        <v/>
      </c>
      <c r="Q277" s="26" t="str">
        <f t="shared" si="14"/>
        <v/>
      </c>
    </row>
    <row r="278" spans="1:17" x14ac:dyDescent="0.3">
      <c r="A278" s="33">
        <v>4188109574</v>
      </c>
      <c r="B278" s="21" t="s">
        <v>1400</v>
      </c>
      <c r="C278" s="21" t="s">
        <v>1401</v>
      </c>
      <c r="D278" s="21" t="s">
        <v>1402</v>
      </c>
      <c r="E278" s="21" t="s">
        <v>83</v>
      </c>
      <c r="F278" s="21" t="s">
        <v>1403</v>
      </c>
      <c r="G278" s="21" t="s">
        <v>1404</v>
      </c>
      <c r="H278" s="25"/>
      <c r="I278" s="25"/>
      <c r="J278" s="25"/>
      <c r="K278" s="25"/>
      <c r="L278" s="25"/>
      <c r="M278" s="22" t="s">
        <v>86</v>
      </c>
      <c r="N278" s="23">
        <v>46083</v>
      </c>
      <c r="O278" s="26" t="str">
        <f t="shared" si="12"/>
        <v>OK</v>
      </c>
      <c r="P278" s="30" t="str">
        <f t="shared" si="13"/>
        <v/>
      </c>
      <c r="Q278" s="26" t="str">
        <f t="shared" si="14"/>
        <v/>
      </c>
    </row>
    <row r="279" spans="1:17" x14ac:dyDescent="0.3">
      <c r="A279" s="33">
        <v>1808602569</v>
      </c>
      <c r="B279" s="21" t="s">
        <v>1405</v>
      </c>
      <c r="C279" s="21" t="s">
        <v>1406</v>
      </c>
      <c r="D279" s="21" t="s">
        <v>1407</v>
      </c>
      <c r="E279" s="21" t="s">
        <v>83</v>
      </c>
      <c r="F279" s="21" t="s">
        <v>96</v>
      </c>
      <c r="G279" s="21" t="s">
        <v>1408</v>
      </c>
      <c r="H279" s="25"/>
      <c r="I279" s="25"/>
      <c r="J279" s="25"/>
      <c r="K279" s="25"/>
      <c r="L279" s="25"/>
      <c r="M279" s="22" t="s">
        <v>86</v>
      </c>
      <c r="N279" s="23">
        <v>46083</v>
      </c>
      <c r="O279" s="26" t="str">
        <f t="shared" si="12"/>
        <v>OK</v>
      </c>
      <c r="P279" s="30" t="str">
        <f t="shared" si="13"/>
        <v/>
      </c>
      <c r="Q279" s="26" t="str">
        <f t="shared" si="14"/>
        <v/>
      </c>
    </row>
    <row r="280" spans="1:17" x14ac:dyDescent="0.3">
      <c r="A280" s="33">
        <v>4038166952</v>
      </c>
      <c r="B280" s="21" t="s">
        <v>1409</v>
      </c>
      <c r="C280" s="21" t="s">
        <v>1410</v>
      </c>
      <c r="D280" s="21" t="s">
        <v>1411</v>
      </c>
      <c r="E280" s="21" t="s">
        <v>83</v>
      </c>
      <c r="F280" s="21" t="s">
        <v>1412</v>
      </c>
      <c r="G280" s="21" t="s">
        <v>1413</v>
      </c>
      <c r="H280" s="25"/>
      <c r="I280" s="25"/>
      <c r="J280" s="25"/>
      <c r="K280" s="25"/>
      <c r="L280" s="25"/>
      <c r="M280" s="22" t="s">
        <v>86</v>
      </c>
      <c r="N280" s="23">
        <v>46083</v>
      </c>
      <c r="O280" s="26" t="str">
        <f t="shared" si="12"/>
        <v>OK</v>
      </c>
      <c r="P280" s="30" t="str">
        <f t="shared" si="13"/>
        <v/>
      </c>
      <c r="Q280" s="26" t="str">
        <f t="shared" si="14"/>
        <v/>
      </c>
    </row>
    <row r="281" spans="1:17" x14ac:dyDescent="0.3">
      <c r="A281" s="33">
        <v>4078109666</v>
      </c>
      <c r="B281" s="21" t="s">
        <v>1414</v>
      </c>
      <c r="C281" s="21" t="s">
        <v>1366</v>
      </c>
      <c r="D281" s="21" t="s">
        <v>1415</v>
      </c>
      <c r="E281" s="21" t="s">
        <v>83</v>
      </c>
      <c r="F281" s="21" t="s">
        <v>128</v>
      </c>
      <c r="G281" s="21" t="s">
        <v>1416</v>
      </c>
      <c r="H281" s="25"/>
      <c r="I281" s="25"/>
      <c r="J281" s="25"/>
      <c r="K281" s="25"/>
      <c r="L281" s="25"/>
      <c r="M281" s="22" t="s">
        <v>86</v>
      </c>
      <c r="N281" s="23">
        <v>46083</v>
      </c>
      <c r="O281" s="26" t="str">
        <f t="shared" si="12"/>
        <v>OK</v>
      </c>
      <c r="P281" s="30" t="str">
        <f t="shared" si="13"/>
        <v/>
      </c>
      <c r="Q281" s="26" t="str">
        <f t="shared" si="14"/>
        <v/>
      </c>
    </row>
    <row r="282" spans="1:17" x14ac:dyDescent="0.3">
      <c r="A282" s="33">
        <v>1258622291</v>
      </c>
      <c r="B282" s="21" t="s">
        <v>1417</v>
      </c>
      <c r="C282" s="21" t="s">
        <v>1418</v>
      </c>
      <c r="D282" s="21"/>
      <c r="E282" s="21"/>
      <c r="F282" s="21"/>
      <c r="G282" s="21" t="s">
        <v>1419</v>
      </c>
      <c r="H282" s="25"/>
      <c r="I282" s="25"/>
      <c r="J282" s="25"/>
      <c r="K282" s="25"/>
      <c r="L282" s="25"/>
      <c r="M282" s="22" t="s">
        <v>86</v>
      </c>
      <c r="N282" s="23">
        <v>46083</v>
      </c>
      <c r="O282" s="26" t="str">
        <f t="shared" si="12"/>
        <v>OK</v>
      </c>
      <c r="P282" s="30" t="str">
        <f t="shared" si="13"/>
        <v/>
      </c>
      <c r="Q282" s="26" t="str">
        <f t="shared" si="14"/>
        <v/>
      </c>
    </row>
    <row r="283" spans="1:17" x14ac:dyDescent="0.3">
      <c r="A283" s="33">
        <v>4028125642</v>
      </c>
      <c r="B283" s="21" t="s">
        <v>1420</v>
      </c>
      <c r="C283" s="21" t="s">
        <v>1421</v>
      </c>
      <c r="D283" s="21" t="s">
        <v>1422</v>
      </c>
      <c r="E283" s="21" t="s">
        <v>788</v>
      </c>
      <c r="F283" s="21" t="s">
        <v>133</v>
      </c>
      <c r="G283" s="21" t="s">
        <v>1423</v>
      </c>
      <c r="H283" s="25"/>
      <c r="I283" s="25"/>
      <c r="J283" s="25"/>
      <c r="K283" s="25"/>
      <c r="L283" s="25"/>
      <c r="M283" s="22" t="s">
        <v>86</v>
      </c>
      <c r="N283" s="23">
        <v>46083</v>
      </c>
      <c r="O283" s="26" t="str">
        <f t="shared" si="12"/>
        <v>OK</v>
      </c>
      <c r="P283" s="30" t="str">
        <f t="shared" si="13"/>
        <v/>
      </c>
      <c r="Q283" s="26" t="str">
        <f t="shared" si="14"/>
        <v/>
      </c>
    </row>
    <row r="284" spans="1:17" x14ac:dyDescent="0.3">
      <c r="A284" s="33">
        <v>1718701340</v>
      </c>
      <c r="B284" s="21" t="s">
        <v>1424</v>
      </c>
      <c r="C284" s="21" t="s">
        <v>442</v>
      </c>
      <c r="D284" s="21" t="s">
        <v>1425</v>
      </c>
      <c r="E284" s="21" t="s">
        <v>83</v>
      </c>
      <c r="F284" s="21" t="s">
        <v>96</v>
      </c>
      <c r="G284" s="21" t="s">
        <v>1426</v>
      </c>
      <c r="H284" s="25"/>
      <c r="I284" s="25"/>
      <c r="J284" s="25"/>
      <c r="K284" s="25"/>
      <c r="L284" s="25"/>
      <c r="M284" s="22" t="s">
        <v>86</v>
      </c>
      <c r="N284" s="23">
        <v>46083</v>
      </c>
      <c r="O284" s="26" t="str">
        <f t="shared" si="12"/>
        <v>OK</v>
      </c>
      <c r="P284" s="30" t="str">
        <f t="shared" si="13"/>
        <v/>
      </c>
      <c r="Q284" s="26" t="str">
        <f t="shared" si="14"/>
        <v/>
      </c>
    </row>
    <row r="285" spans="1:17" x14ac:dyDescent="0.3">
      <c r="A285" s="33">
        <v>5518800530</v>
      </c>
      <c r="B285" s="21" t="s">
        <v>1427</v>
      </c>
      <c r="C285" s="21" t="s">
        <v>1428</v>
      </c>
      <c r="D285" s="21" t="s">
        <v>1429</v>
      </c>
      <c r="E285" s="21" t="s">
        <v>190</v>
      </c>
      <c r="F285" s="21" t="s">
        <v>277</v>
      </c>
      <c r="G285" s="21" t="s">
        <v>1430</v>
      </c>
      <c r="H285" s="25"/>
      <c r="I285" s="25"/>
      <c r="J285" s="25"/>
      <c r="K285" s="25"/>
      <c r="L285" s="25"/>
      <c r="M285" s="22" t="s">
        <v>86</v>
      </c>
      <c r="N285" s="23">
        <v>46083</v>
      </c>
      <c r="O285" s="26" t="str">
        <f t="shared" si="12"/>
        <v>OK</v>
      </c>
      <c r="P285" s="30" t="str">
        <f t="shared" si="13"/>
        <v/>
      </c>
      <c r="Q285" s="26" t="str">
        <f t="shared" si="14"/>
        <v/>
      </c>
    </row>
    <row r="286" spans="1:17" x14ac:dyDescent="0.3">
      <c r="A286" s="33">
        <v>4078109462</v>
      </c>
      <c r="B286" s="21" t="s">
        <v>1431</v>
      </c>
      <c r="C286" s="21" t="s">
        <v>1432</v>
      </c>
      <c r="D286" s="21" t="s">
        <v>1433</v>
      </c>
      <c r="E286" s="21" t="s">
        <v>83</v>
      </c>
      <c r="F286" s="21" t="s">
        <v>823</v>
      </c>
      <c r="G286" s="21" t="s">
        <v>1434</v>
      </c>
      <c r="H286" s="25"/>
      <c r="I286" s="25"/>
      <c r="J286" s="25"/>
      <c r="K286" s="25"/>
      <c r="L286" s="25"/>
      <c r="M286" s="22" t="s">
        <v>86</v>
      </c>
      <c r="N286" s="23">
        <v>46083</v>
      </c>
      <c r="O286" s="26" t="str">
        <f t="shared" si="12"/>
        <v>OK</v>
      </c>
      <c r="P286" s="30" t="str">
        <f t="shared" si="13"/>
        <v/>
      </c>
      <c r="Q286" s="26" t="str">
        <f t="shared" si="14"/>
        <v/>
      </c>
    </row>
    <row r="287" spans="1:17" x14ac:dyDescent="0.3">
      <c r="A287" s="33">
        <v>3708601300</v>
      </c>
      <c r="B287" s="21" t="s">
        <v>1435</v>
      </c>
      <c r="C287" s="21" t="s">
        <v>1436</v>
      </c>
      <c r="D287" s="21" t="s">
        <v>1437</v>
      </c>
      <c r="E287" s="21" t="s">
        <v>1438</v>
      </c>
      <c r="F287" s="21" t="s">
        <v>1439</v>
      </c>
      <c r="G287" s="21" t="s">
        <v>1440</v>
      </c>
      <c r="H287" s="25"/>
      <c r="I287" s="25"/>
      <c r="J287" s="25"/>
      <c r="K287" s="25"/>
      <c r="L287" s="25"/>
      <c r="M287" s="22" t="s">
        <v>86</v>
      </c>
      <c r="N287" s="23">
        <v>46083</v>
      </c>
      <c r="O287" s="26" t="str">
        <f t="shared" si="12"/>
        <v>OK</v>
      </c>
      <c r="P287" s="30" t="str">
        <f t="shared" si="13"/>
        <v/>
      </c>
      <c r="Q287" s="26" t="str">
        <f t="shared" si="14"/>
        <v/>
      </c>
    </row>
    <row r="288" spans="1:17" x14ac:dyDescent="0.3">
      <c r="A288" s="33">
        <v>1958602090</v>
      </c>
      <c r="B288" s="21" t="s">
        <v>1441</v>
      </c>
      <c r="C288" s="21" t="s">
        <v>1442</v>
      </c>
      <c r="D288" s="21" t="s">
        <v>1443</v>
      </c>
      <c r="E288" s="21" t="s">
        <v>173</v>
      </c>
      <c r="F288" s="21" t="s">
        <v>1444</v>
      </c>
      <c r="G288" s="21" t="s">
        <v>1445</v>
      </c>
      <c r="H288" s="25"/>
      <c r="I288" s="25"/>
      <c r="J288" s="25"/>
      <c r="K288" s="25"/>
      <c r="L288" s="25"/>
      <c r="M288" s="22" t="s">
        <v>86</v>
      </c>
      <c r="N288" s="23">
        <v>46083</v>
      </c>
      <c r="O288" s="26" t="str">
        <f t="shared" si="12"/>
        <v>OK</v>
      </c>
      <c r="P288" s="30" t="str">
        <f t="shared" si="13"/>
        <v/>
      </c>
      <c r="Q288" s="26" t="str">
        <f t="shared" si="14"/>
        <v/>
      </c>
    </row>
    <row r="289" spans="1:17" x14ac:dyDescent="0.3">
      <c r="A289" s="33">
        <v>4180886224</v>
      </c>
      <c r="B289" s="21" t="s">
        <v>1446</v>
      </c>
      <c r="C289" s="21" t="s">
        <v>1447</v>
      </c>
      <c r="D289" s="21" t="s">
        <v>1448</v>
      </c>
      <c r="E289" s="21" t="s">
        <v>179</v>
      </c>
      <c r="F289" s="21" t="s">
        <v>1449</v>
      </c>
      <c r="G289" s="21" t="s">
        <v>1450</v>
      </c>
      <c r="H289" s="25"/>
      <c r="I289" s="25"/>
      <c r="J289" s="25"/>
      <c r="K289" s="25"/>
      <c r="L289" s="25"/>
      <c r="M289" s="22" t="s">
        <v>86</v>
      </c>
      <c r="N289" s="23">
        <v>46083</v>
      </c>
      <c r="O289" s="26" t="str">
        <f t="shared" si="12"/>
        <v>OK</v>
      </c>
      <c r="P289" s="30" t="str">
        <f t="shared" si="13"/>
        <v/>
      </c>
      <c r="Q289" s="26" t="str">
        <f t="shared" si="14"/>
        <v/>
      </c>
    </row>
    <row r="290" spans="1:17" x14ac:dyDescent="0.3">
      <c r="A290" s="33">
        <v>7951401287</v>
      </c>
      <c r="B290" s="21" t="s">
        <v>1451</v>
      </c>
      <c r="C290" s="21" t="s">
        <v>1452</v>
      </c>
      <c r="D290" s="21" t="s">
        <v>1453</v>
      </c>
      <c r="E290" s="21" t="s">
        <v>179</v>
      </c>
      <c r="F290" s="21" t="s">
        <v>1454</v>
      </c>
      <c r="G290" s="21" t="s">
        <v>1455</v>
      </c>
      <c r="H290" s="25"/>
      <c r="I290" s="25"/>
      <c r="J290" s="25"/>
      <c r="K290" s="25"/>
      <c r="L290" s="25"/>
      <c r="M290" s="22" t="s">
        <v>86</v>
      </c>
      <c r="N290" s="23">
        <v>46083</v>
      </c>
      <c r="O290" s="26" t="str">
        <f t="shared" si="12"/>
        <v>OK</v>
      </c>
      <c r="P290" s="30" t="str">
        <f t="shared" si="13"/>
        <v/>
      </c>
      <c r="Q290" s="26" t="str">
        <f t="shared" si="14"/>
        <v/>
      </c>
    </row>
    <row r="291" spans="1:17" x14ac:dyDescent="0.3">
      <c r="A291" s="33">
        <v>4251101510</v>
      </c>
      <c r="B291" s="21" t="s">
        <v>1456</v>
      </c>
      <c r="C291" s="21" t="s">
        <v>1457</v>
      </c>
      <c r="D291" s="21" t="s">
        <v>1458</v>
      </c>
      <c r="E291" s="21" t="s">
        <v>1459</v>
      </c>
      <c r="F291" s="21" t="s">
        <v>96</v>
      </c>
      <c r="G291" s="21" t="s">
        <v>1460</v>
      </c>
      <c r="H291" s="25"/>
      <c r="I291" s="25"/>
      <c r="J291" s="25"/>
      <c r="K291" s="25"/>
      <c r="L291" s="25"/>
      <c r="M291" s="22" t="s">
        <v>86</v>
      </c>
      <c r="N291" s="23">
        <v>46083</v>
      </c>
      <c r="O291" s="26" t="str">
        <f t="shared" si="12"/>
        <v>OK</v>
      </c>
      <c r="P291" s="30" t="str">
        <f t="shared" si="13"/>
        <v/>
      </c>
      <c r="Q291" s="26" t="str">
        <f t="shared" si="14"/>
        <v/>
      </c>
    </row>
    <row r="292" spans="1:17" x14ac:dyDescent="0.3">
      <c r="A292" s="33">
        <v>3050949143</v>
      </c>
      <c r="B292" s="21" t="s">
        <v>1461</v>
      </c>
      <c r="C292" s="21" t="s">
        <v>1462</v>
      </c>
      <c r="D292" s="21" t="s">
        <v>1463</v>
      </c>
      <c r="E292" s="21" t="s">
        <v>117</v>
      </c>
      <c r="F292" s="21" t="s">
        <v>1464</v>
      </c>
      <c r="G292" s="21" t="s">
        <v>1465</v>
      </c>
      <c r="H292" s="25"/>
      <c r="I292" s="25"/>
      <c r="J292" s="25"/>
      <c r="K292" s="25"/>
      <c r="L292" s="25"/>
      <c r="M292" s="22" t="s">
        <v>86</v>
      </c>
      <c r="N292" s="23">
        <v>46083</v>
      </c>
      <c r="O292" s="26" t="str">
        <f t="shared" si="12"/>
        <v>OK</v>
      </c>
      <c r="P292" s="30" t="str">
        <f t="shared" si="13"/>
        <v/>
      </c>
      <c r="Q292" s="26" t="str">
        <f t="shared" si="14"/>
        <v/>
      </c>
    </row>
    <row r="293" spans="1:17" x14ac:dyDescent="0.3">
      <c r="A293" s="33">
        <v>4021623078</v>
      </c>
      <c r="B293" s="21" t="s">
        <v>1466</v>
      </c>
      <c r="C293" s="21" t="s">
        <v>1467</v>
      </c>
      <c r="D293" s="21" t="s">
        <v>1468</v>
      </c>
      <c r="E293" s="21" t="s">
        <v>83</v>
      </c>
      <c r="F293" s="21" t="s">
        <v>96</v>
      </c>
      <c r="G293" s="21" t="s">
        <v>1469</v>
      </c>
      <c r="H293" s="25"/>
      <c r="I293" s="25"/>
      <c r="J293" s="25"/>
      <c r="K293" s="25"/>
      <c r="L293" s="25"/>
      <c r="M293" s="22" t="s">
        <v>86</v>
      </c>
      <c r="N293" s="23">
        <v>46083</v>
      </c>
      <c r="O293" s="26" t="str">
        <f t="shared" si="12"/>
        <v>OK</v>
      </c>
      <c r="P293" s="30" t="str">
        <f t="shared" si="13"/>
        <v/>
      </c>
      <c r="Q293" s="26" t="str">
        <f t="shared" si="14"/>
        <v/>
      </c>
    </row>
    <row r="294" spans="1:17" x14ac:dyDescent="0.3">
      <c r="A294" s="33">
        <v>4030467834</v>
      </c>
      <c r="B294" s="21" t="s">
        <v>1470</v>
      </c>
      <c r="C294" s="21" t="s">
        <v>1471</v>
      </c>
      <c r="D294" s="21" t="s">
        <v>1472</v>
      </c>
      <c r="E294" s="21" t="s">
        <v>247</v>
      </c>
      <c r="F294" s="21" t="s">
        <v>1473</v>
      </c>
      <c r="G294" s="21" t="s">
        <v>1474</v>
      </c>
      <c r="H294" s="25"/>
      <c r="I294" s="25"/>
      <c r="J294" s="25"/>
      <c r="K294" s="25"/>
      <c r="L294" s="25"/>
      <c r="M294" s="22" t="s">
        <v>86</v>
      </c>
      <c r="N294" s="23">
        <v>46083</v>
      </c>
      <c r="O294" s="26" t="str">
        <f t="shared" si="12"/>
        <v>OK</v>
      </c>
      <c r="P294" s="30" t="str">
        <f t="shared" si="13"/>
        <v/>
      </c>
      <c r="Q294" s="26" t="str">
        <f t="shared" si="14"/>
        <v/>
      </c>
    </row>
    <row r="295" spans="1:17" x14ac:dyDescent="0.3">
      <c r="A295" s="33">
        <v>3440402380</v>
      </c>
      <c r="B295" s="21" t="s">
        <v>1475</v>
      </c>
      <c r="C295" s="21" t="s">
        <v>895</v>
      </c>
      <c r="D295" s="21" t="s">
        <v>1476</v>
      </c>
      <c r="E295" s="21" t="s">
        <v>346</v>
      </c>
      <c r="F295" s="21" t="s">
        <v>1477</v>
      </c>
      <c r="G295" s="21"/>
      <c r="H295" s="25"/>
      <c r="I295" s="25"/>
      <c r="J295" s="25"/>
      <c r="K295" s="25"/>
      <c r="L295" s="25"/>
      <c r="M295" s="22" t="s">
        <v>86</v>
      </c>
      <c r="N295" s="23">
        <v>46083</v>
      </c>
      <c r="O295" s="26" t="str">
        <f t="shared" si="12"/>
        <v>OK</v>
      </c>
      <c r="P295" s="30" t="str">
        <f t="shared" si="13"/>
        <v/>
      </c>
      <c r="Q295" s="26" t="str">
        <f t="shared" si="14"/>
        <v/>
      </c>
    </row>
    <row r="296" spans="1:17" x14ac:dyDescent="0.3">
      <c r="A296" s="33">
        <v>4038107268</v>
      </c>
      <c r="B296" s="21" t="s">
        <v>1478</v>
      </c>
      <c r="C296" s="21" t="s">
        <v>1479</v>
      </c>
      <c r="D296" s="21" t="s">
        <v>1480</v>
      </c>
      <c r="E296" s="21" t="s">
        <v>532</v>
      </c>
      <c r="F296" s="21" t="s">
        <v>1481</v>
      </c>
      <c r="G296" s="21" t="s">
        <v>1482</v>
      </c>
      <c r="H296" s="25"/>
      <c r="I296" s="25"/>
      <c r="J296" s="25"/>
      <c r="K296" s="25"/>
      <c r="L296" s="25"/>
      <c r="M296" s="22" t="s">
        <v>86</v>
      </c>
      <c r="N296" s="23">
        <v>46083</v>
      </c>
      <c r="O296" s="26" t="str">
        <f t="shared" si="12"/>
        <v>OK</v>
      </c>
      <c r="P296" s="30" t="str">
        <f t="shared" si="13"/>
        <v/>
      </c>
      <c r="Q296" s="26" t="str">
        <f t="shared" si="14"/>
        <v/>
      </c>
    </row>
    <row r="297" spans="1:17" x14ac:dyDescent="0.3">
      <c r="A297" s="33">
        <v>4018117789</v>
      </c>
      <c r="B297" s="21" t="s">
        <v>1483</v>
      </c>
      <c r="C297" s="21" t="s">
        <v>1484</v>
      </c>
      <c r="D297" s="21" t="s">
        <v>1485</v>
      </c>
      <c r="E297" s="21" t="s">
        <v>1486</v>
      </c>
      <c r="F297" s="21" t="s">
        <v>1487</v>
      </c>
      <c r="G297" s="21" t="s">
        <v>1488</v>
      </c>
      <c r="H297" s="25"/>
      <c r="I297" s="25"/>
      <c r="J297" s="25"/>
      <c r="K297" s="25"/>
      <c r="L297" s="25"/>
      <c r="M297" s="22" t="s">
        <v>86</v>
      </c>
      <c r="N297" s="23">
        <v>46083</v>
      </c>
      <c r="O297" s="26" t="str">
        <f t="shared" si="12"/>
        <v>OK</v>
      </c>
      <c r="P297" s="30" t="str">
        <f t="shared" si="13"/>
        <v/>
      </c>
      <c r="Q297" s="26" t="str">
        <f t="shared" si="14"/>
        <v/>
      </c>
    </row>
    <row r="298" spans="1:17" x14ac:dyDescent="0.3">
      <c r="A298" s="33">
        <v>4028171336</v>
      </c>
      <c r="B298" s="21" t="s">
        <v>1489</v>
      </c>
      <c r="C298" s="21" t="s">
        <v>1490</v>
      </c>
      <c r="D298" s="21" t="s">
        <v>1491</v>
      </c>
      <c r="E298" s="21" t="s">
        <v>83</v>
      </c>
      <c r="F298" s="21" t="s">
        <v>838</v>
      </c>
      <c r="G298" s="21" t="s">
        <v>1492</v>
      </c>
      <c r="H298" s="25"/>
      <c r="I298" s="25"/>
      <c r="J298" s="25"/>
      <c r="K298" s="25"/>
      <c r="L298" s="25"/>
      <c r="M298" s="22" t="s">
        <v>86</v>
      </c>
      <c r="N298" s="23">
        <v>46083</v>
      </c>
      <c r="O298" s="26" t="str">
        <f t="shared" si="12"/>
        <v>OK</v>
      </c>
      <c r="P298" s="30" t="str">
        <f t="shared" si="13"/>
        <v/>
      </c>
      <c r="Q298" s="26" t="str">
        <f t="shared" si="14"/>
        <v/>
      </c>
    </row>
    <row r="299" spans="1:17" x14ac:dyDescent="0.3">
      <c r="A299" s="33">
        <v>2518501768</v>
      </c>
      <c r="B299" s="21" t="s">
        <v>1493</v>
      </c>
      <c r="C299" s="21" t="s">
        <v>1479</v>
      </c>
      <c r="D299" s="21" t="s">
        <v>1494</v>
      </c>
      <c r="E299" s="21" t="s">
        <v>1495</v>
      </c>
      <c r="F299" s="21" t="s">
        <v>1496</v>
      </c>
      <c r="G299" s="21" t="s">
        <v>1482</v>
      </c>
      <c r="H299" s="25"/>
      <c r="I299" s="25"/>
      <c r="J299" s="25"/>
      <c r="K299" s="25"/>
      <c r="L299" s="25"/>
      <c r="M299" s="22" t="s">
        <v>86</v>
      </c>
      <c r="N299" s="23">
        <v>46083</v>
      </c>
      <c r="O299" s="26" t="str">
        <f t="shared" si="12"/>
        <v>OK</v>
      </c>
      <c r="P299" s="30" t="str">
        <f t="shared" si="13"/>
        <v/>
      </c>
      <c r="Q299" s="26" t="str">
        <f t="shared" si="14"/>
        <v/>
      </c>
    </row>
    <row r="300" spans="1:17" x14ac:dyDescent="0.3">
      <c r="A300" s="33">
        <v>4038201771</v>
      </c>
      <c r="B300" s="21" t="s">
        <v>1497</v>
      </c>
      <c r="C300" s="21" t="s">
        <v>1498</v>
      </c>
      <c r="D300" s="21" t="s">
        <v>1499</v>
      </c>
      <c r="E300" s="21" t="s">
        <v>1500</v>
      </c>
      <c r="F300" s="21" t="s">
        <v>1501</v>
      </c>
      <c r="G300" s="21" t="s">
        <v>1502</v>
      </c>
      <c r="H300" s="25"/>
      <c r="I300" s="25"/>
      <c r="J300" s="25"/>
      <c r="K300" s="25"/>
      <c r="L300" s="25"/>
      <c r="M300" s="22" t="s">
        <v>86</v>
      </c>
      <c r="N300" s="23">
        <v>46083</v>
      </c>
      <c r="O300" s="26" t="str">
        <f t="shared" si="12"/>
        <v>OK</v>
      </c>
      <c r="P300" s="30" t="str">
        <f t="shared" si="13"/>
        <v/>
      </c>
      <c r="Q300" s="26" t="str">
        <f t="shared" si="14"/>
        <v/>
      </c>
    </row>
    <row r="301" spans="1:17" x14ac:dyDescent="0.3">
      <c r="A301" s="33">
        <v>7592001939</v>
      </c>
      <c r="B301" s="21" t="s">
        <v>1503</v>
      </c>
      <c r="C301" s="21" t="s">
        <v>1504</v>
      </c>
      <c r="D301" s="21" t="s">
        <v>1505</v>
      </c>
      <c r="E301" s="21" t="s">
        <v>179</v>
      </c>
      <c r="F301" s="21" t="s">
        <v>1506</v>
      </c>
      <c r="G301" s="21"/>
      <c r="H301" s="25"/>
      <c r="I301" s="25"/>
      <c r="J301" s="25"/>
      <c r="K301" s="25"/>
      <c r="L301" s="25"/>
      <c r="M301" s="22" t="s">
        <v>86</v>
      </c>
      <c r="N301" s="23">
        <v>46083</v>
      </c>
      <c r="O301" s="26" t="str">
        <f t="shared" si="12"/>
        <v>OK</v>
      </c>
      <c r="P301" s="30" t="str">
        <f t="shared" si="13"/>
        <v/>
      </c>
      <c r="Q301" s="26" t="str">
        <f t="shared" si="14"/>
        <v/>
      </c>
    </row>
    <row r="302" spans="1:17" x14ac:dyDescent="0.3">
      <c r="A302" s="33">
        <v>4040239297</v>
      </c>
      <c r="B302" s="21" t="s">
        <v>1507</v>
      </c>
      <c r="C302" s="21" t="s">
        <v>1508</v>
      </c>
      <c r="D302" s="21" t="s">
        <v>1509</v>
      </c>
      <c r="E302" s="21" t="s">
        <v>247</v>
      </c>
      <c r="F302" s="21" t="s">
        <v>228</v>
      </c>
      <c r="G302" s="21" t="s">
        <v>1510</v>
      </c>
      <c r="H302" s="25"/>
      <c r="I302" s="25"/>
      <c r="J302" s="25"/>
      <c r="K302" s="25"/>
      <c r="L302" s="25"/>
      <c r="M302" s="22" t="s">
        <v>86</v>
      </c>
      <c r="N302" s="23">
        <v>46083</v>
      </c>
      <c r="O302" s="26" t="str">
        <f t="shared" si="12"/>
        <v>OK</v>
      </c>
      <c r="P302" s="30" t="str">
        <f t="shared" si="13"/>
        <v/>
      </c>
      <c r="Q302" s="26" t="str">
        <f t="shared" si="14"/>
        <v/>
      </c>
    </row>
    <row r="303" spans="1:17" x14ac:dyDescent="0.3">
      <c r="A303" s="33">
        <v>2042296298</v>
      </c>
      <c r="B303" s="21" t="s">
        <v>1511</v>
      </c>
      <c r="C303" s="21" t="s">
        <v>1512</v>
      </c>
      <c r="D303" s="21" t="s">
        <v>1513</v>
      </c>
      <c r="E303" s="21" t="s">
        <v>190</v>
      </c>
      <c r="F303" s="21" t="s">
        <v>1514</v>
      </c>
      <c r="G303" s="21" t="s">
        <v>1515</v>
      </c>
      <c r="H303" s="25"/>
      <c r="I303" s="25"/>
      <c r="J303" s="25"/>
      <c r="K303" s="25"/>
      <c r="L303" s="25"/>
      <c r="M303" s="22" t="s">
        <v>86</v>
      </c>
      <c r="N303" s="23">
        <v>46083</v>
      </c>
      <c r="O303" s="26" t="str">
        <f t="shared" si="12"/>
        <v>OK</v>
      </c>
      <c r="P303" s="30" t="str">
        <f t="shared" si="13"/>
        <v/>
      </c>
      <c r="Q303" s="26" t="str">
        <f t="shared" si="14"/>
        <v/>
      </c>
    </row>
    <row r="304" spans="1:17" x14ac:dyDescent="0.3">
      <c r="A304" s="33">
        <v>1251830642</v>
      </c>
      <c r="B304" s="21" t="s">
        <v>1516</v>
      </c>
      <c r="C304" s="21" t="s">
        <v>1517</v>
      </c>
      <c r="D304" s="21" t="s">
        <v>1518</v>
      </c>
      <c r="E304" s="21" t="s">
        <v>455</v>
      </c>
      <c r="F304" s="21" t="s">
        <v>1519</v>
      </c>
      <c r="G304" s="21" t="s">
        <v>1520</v>
      </c>
      <c r="H304" s="25"/>
      <c r="I304" s="25"/>
      <c r="J304" s="25"/>
      <c r="K304" s="25"/>
      <c r="L304" s="25"/>
      <c r="M304" s="22" t="s">
        <v>86</v>
      </c>
      <c r="N304" s="23">
        <v>46083</v>
      </c>
      <c r="O304" s="26" t="str">
        <f t="shared" si="12"/>
        <v>OK</v>
      </c>
      <c r="P304" s="30" t="str">
        <f t="shared" si="13"/>
        <v/>
      </c>
      <c r="Q304" s="26" t="str">
        <f t="shared" si="14"/>
        <v/>
      </c>
    </row>
    <row r="305" spans="1:17" x14ac:dyDescent="0.3">
      <c r="A305" s="33">
        <v>4028118307</v>
      </c>
      <c r="B305" s="21" t="s">
        <v>1521</v>
      </c>
      <c r="C305" s="21" t="s">
        <v>1522</v>
      </c>
      <c r="D305" s="21" t="s">
        <v>1523</v>
      </c>
      <c r="E305" s="21" t="s">
        <v>455</v>
      </c>
      <c r="F305" s="21" t="s">
        <v>1524</v>
      </c>
      <c r="G305" s="21" t="s">
        <v>1525</v>
      </c>
      <c r="H305" s="25"/>
      <c r="I305" s="25"/>
      <c r="J305" s="25"/>
      <c r="K305" s="25"/>
      <c r="L305" s="25"/>
      <c r="M305" s="22" t="s">
        <v>86</v>
      </c>
      <c r="N305" s="23">
        <v>46083</v>
      </c>
      <c r="O305" s="26" t="str">
        <f t="shared" si="12"/>
        <v>OK</v>
      </c>
      <c r="P305" s="30" t="str">
        <f t="shared" si="13"/>
        <v/>
      </c>
      <c r="Q305" s="26" t="str">
        <f t="shared" si="14"/>
        <v/>
      </c>
    </row>
    <row r="306" spans="1:17" x14ac:dyDescent="0.3">
      <c r="A306" s="33">
        <v>4031343004</v>
      </c>
      <c r="B306" s="21" t="s">
        <v>1526</v>
      </c>
      <c r="C306" s="21" t="s">
        <v>1527</v>
      </c>
      <c r="D306" s="21" t="s">
        <v>1528</v>
      </c>
      <c r="E306" s="21" t="s">
        <v>394</v>
      </c>
      <c r="F306" s="21" t="s">
        <v>1253</v>
      </c>
      <c r="G306" s="21" t="s">
        <v>1529</v>
      </c>
      <c r="H306" s="25"/>
      <c r="I306" s="25"/>
      <c r="J306" s="25"/>
      <c r="K306" s="25"/>
      <c r="L306" s="25"/>
      <c r="M306" s="22" t="s">
        <v>86</v>
      </c>
      <c r="N306" s="23">
        <v>46083</v>
      </c>
      <c r="O306" s="26" t="str">
        <f t="shared" si="12"/>
        <v>OK</v>
      </c>
      <c r="P306" s="30" t="str">
        <f t="shared" si="13"/>
        <v/>
      </c>
      <c r="Q306" s="26" t="str">
        <f t="shared" si="14"/>
        <v/>
      </c>
    </row>
    <row r="307" spans="1:17" x14ac:dyDescent="0.3">
      <c r="A307" s="33">
        <v>4028177664</v>
      </c>
      <c r="B307" s="21" t="s">
        <v>1530</v>
      </c>
      <c r="C307" s="21" t="s">
        <v>1531</v>
      </c>
      <c r="D307" s="21" t="s">
        <v>1532</v>
      </c>
      <c r="E307" s="21" t="s">
        <v>179</v>
      </c>
      <c r="F307" s="21" t="s">
        <v>1533</v>
      </c>
      <c r="G307" s="21" t="s">
        <v>1534</v>
      </c>
      <c r="H307" s="25"/>
      <c r="I307" s="25"/>
      <c r="J307" s="25"/>
      <c r="K307" s="25"/>
      <c r="L307" s="25"/>
      <c r="M307" s="22" t="s">
        <v>86</v>
      </c>
      <c r="N307" s="23">
        <v>46083</v>
      </c>
      <c r="O307" s="26" t="str">
        <f t="shared" si="12"/>
        <v>OK</v>
      </c>
      <c r="P307" s="30" t="str">
        <f t="shared" si="13"/>
        <v/>
      </c>
      <c r="Q307" s="26" t="str">
        <f t="shared" si="14"/>
        <v/>
      </c>
    </row>
    <row r="308" spans="1:17" x14ac:dyDescent="0.3">
      <c r="A308" s="33">
        <v>4180643105</v>
      </c>
      <c r="B308" s="21" t="s">
        <v>1535</v>
      </c>
      <c r="C308" s="21" t="s">
        <v>1536</v>
      </c>
      <c r="D308" s="21" t="s">
        <v>1537</v>
      </c>
      <c r="E308" s="21" t="s">
        <v>83</v>
      </c>
      <c r="F308" s="21" t="s">
        <v>96</v>
      </c>
      <c r="G308" s="21" t="s">
        <v>875</v>
      </c>
      <c r="H308" s="25"/>
      <c r="I308" s="25"/>
      <c r="J308" s="25"/>
      <c r="K308" s="25"/>
      <c r="L308" s="25"/>
      <c r="M308" s="22" t="s">
        <v>86</v>
      </c>
      <c r="N308" s="23">
        <v>46083</v>
      </c>
      <c r="O308" s="26" t="str">
        <f t="shared" si="12"/>
        <v>OK</v>
      </c>
      <c r="P308" s="30" t="str">
        <f t="shared" si="13"/>
        <v/>
      </c>
      <c r="Q308" s="26" t="str">
        <f t="shared" si="14"/>
        <v/>
      </c>
    </row>
    <row r="309" spans="1:17" x14ac:dyDescent="0.3">
      <c r="A309" s="33">
        <v>4030321239</v>
      </c>
      <c r="B309" s="21" t="s">
        <v>1538</v>
      </c>
      <c r="C309" s="21" t="s">
        <v>1539</v>
      </c>
      <c r="D309" s="21" t="s">
        <v>1540</v>
      </c>
      <c r="E309" s="21" t="s">
        <v>83</v>
      </c>
      <c r="F309" s="21" t="s">
        <v>164</v>
      </c>
      <c r="G309" s="21"/>
      <c r="H309" s="25"/>
      <c r="I309" s="25"/>
      <c r="J309" s="25"/>
      <c r="K309" s="25"/>
      <c r="L309" s="25"/>
      <c r="M309" s="22" t="s">
        <v>86</v>
      </c>
      <c r="N309" s="23">
        <v>46083</v>
      </c>
      <c r="O309" s="26" t="str">
        <f t="shared" si="12"/>
        <v>OK</v>
      </c>
      <c r="P309" s="30" t="str">
        <f t="shared" si="13"/>
        <v/>
      </c>
      <c r="Q309" s="26" t="str">
        <f t="shared" si="14"/>
        <v/>
      </c>
    </row>
    <row r="310" spans="1:17" x14ac:dyDescent="0.3">
      <c r="A310" s="33">
        <v>4081743458</v>
      </c>
      <c r="B310" s="21" t="s">
        <v>1541</v>
      </c>
      <c r="C310" s="21" t="s">
        <v>1542</v>
      </c>
      <c r="D310" s="21" t="s">
        <v>1543</v>
      </c>
      <c r="E310" s="21" t="s">
        <v>83</v>
      </c>
      <c r="F310" s="21" t="s">
        <v>1544</v>
      </c>
      <c r="G310" s="21" t="s">
        <v>1545</v>
      </c>
      <c r="H310" s="25"/>
      <c r="I310" s="25"/>
      <c r="J310" s="25"/>
      <c r="K310" s="25"/>
      <c r="L310" s="25"/>
      <c r="M310" s="22" t="s">
        <v>86</v>
      </c>
      <c r="N310" s="23">
        <v>46083</v>
      </c>
      <c r="O310" s="26" t="str">
        <f t="shared" si="12"/>
        <v>OK</v>
      </c>
      <c r="P310" s="30" t="str">
        <f t="shared" si="13"/>
        <v/>
      </c>
      <c r="Q310" s="26" t="str">
        <f t="shared" si="14"/>
        <v/>
      </c>
    </row>
    <row r="311" spans="1:17" x14ac:dyDescent="0.3">
      <c r="A311" s="33">
        <v>4030374338</v>
      </c>
      <c r="B311" s="21" t="s">
        <v>1546</v>
      </c>
      <c r="C311" s="21" t="s">
        <v>1547</v>
      </c>
      <c r="D311" s="21" t="s">
        <v>1548</v>
      </c>
      <c r="E311" s="21" t="s">
        <v>153</v>
      </c>
      <c r="F311" s="21" t="s">
        <v>1549</v>
      </c>
      <c r="G311" s="21" t="s">
        <v>1550</v>
      </c>
      <c r="H311" s="25"/>
      <c r="I311" s="25"/>
      <c r="J311" s="25"/>
      <c r="K311" s="25"/>
      <c r="L311" s="25"/>
      <c r="M311" s="22" t="s">
        <v>86</v>
      </c>
      <c r="N311" s="23">
        <v>46083</v>
      </c>
      <c r="O311" s="26" t="str">
        <f t="shared" si="12"/>
        <v>OK</v>
      </c>
      <c r="P311" s="30" t="str">
        <f t="shared" si="13"/>
        <v/>
      </c>
      <c r="Q311" s="26" t="str">
        <f t="shared" si="14"/>
        <v/>
      </c>
    </row>
    <row r="312" spans="1:17" x14ac:dyDescent="0.3">
      <c r="A312" s="33">
        <v>3735700483</v>
      </c>
      <c r="B312" s="21" t="s">
        <v>1551</v>
      </c>
      <c r="C312" s="21" t="s">
        <v>1552</v>
      </c>
      <c r="D312" s="21" t="s">
        <v>1553</v>
      </c>
      <c r="E312" s="21" t="s">
        <v>1337</v>
      </c>
      <c r="F312" s="21" t="s">
        <v>1554</v>
      </c>
      <c r="G312" s="21" t="s">
        <v>1555</v>
      </c>
      <c r="H312" s="25"/>
      <c r="I312" s="25"/>
      <c r="J312" s="25"/>
      <c r="K312" s="25"/>
      <c r="L312" s="25"/>
      <c r="M312" s="22" t="s">
        <v>86</v>
      </c>
      <c r="N312" s="23">
        <v>46083</v>
      </c>
      <c r="O312" s="26" t="str">
        <f t="shared" si="12"/>
        <v>OK</v>
      </c>
      <c r="P312" s="30" t="str">
        <f t="shared" si="13"/>
        <v/>
      </c>
      <c r="Q312" s="26" t="str">
        <f t="shared" si="14"/>
        <v/>
      </c>
    </row>
    <row r="313" spans="1:17" x14ac:dyDescent="0.3">
      <c r="A313" s="33">
        <v>4030219094</v>
      </c>
      <c r="B313" s="21" t="s">
        <v>1556</v>
      </c>
      <c r="C313" s="21" t="s">
        <v>1557</v>
      </c>
      <c r="D313" s="21" t="s">
        <v>1558</v>
      </c>
      <c r="E313" s="21" t="s">
        <v>1559</v>
      </c>
      <c r="F313" s="21" t="s">
        <v>1560</v>
      </c>
      <c r="G313" s="21" t="s">
        <v>1561</v>
      </c>
      <c r="H313" s="25"/>
      <c r="I313" s="25"/>
      <c r="J313" s="25"/>
      <c r="K313" s="25"/>
      <c r="L313" s="25"/>
      <c r="M313" s="22" t="s">
        <v>86</v>
      </c>
      <c r="N313" s="23">
        <v>46083</v>
      </c>
      <c r="O313" s="26" t="str">
        <f t="shared" si="12"/>
        <v>OK</v>
      </c>
      <c r="P313" s="30" t="str">
        <f t="shared" si="13"/>
        <v/>
      </c>
      <c r="Q313" s="26" t="str">
        <f t="shared" si="14"/>
        <v/>
      </c>
    </row>
    <row r="314" spans="1:17" x14ac:dyDescent="0.3">
      <c r="A314" s="33">
        <v>4038300819</v>
      </c>
      <c r="B314" s="21" t="s">
        <v>1562</v>
      </c>
      <c r="C314" s="21" t="s">
        <v>1563</v>
      </c>
      <c r="D314" s="21" t="s">
        <v>1564</v>
      </c>
      <c r="E314" s="21"/>
      <c r="F314" s="21"/>
      <c r="G314" s="21" t="s">
        <v>1565</v>
      </c>
      <c r="H314" s="25"/>
      <c r="I314" s="25"/>
      <c r="J314" s="25"/>
      <c r="K314" s="25"/>
      <c r="L314" s="25"/>
      <c r="M314" s="22" t="s">
        <v>86</v>
      </c>
      <c r="N314" s="23">
        <v>46083</v>
      </c>
      <c r="O314" s="26" t="str">
        <f t="shared" si="12"/>
        <v>OK</v>
      </c>
      <c r="P314" s="30" t="str">
        <f t="shared" si="13"/>
        <v/>
      </c>
      <c r="Q314" s="26" t="str">
        <f t="shared" si="14"/>
        <v/>
      </c>
    </row>
    <row r="315" spans="1:17" x14ac:dyDescent="0.3">
      <c r="A315" s="33">
        <v>6098162137</v>
      </c>
      <c r="B315" s="21" t="s">
        <v>1566</v>
      </c>
      <c r="C315" s="21" t="s">
        <v>1567</v>
      </c>
      <c r="D315" s="21" t="s">
        <v>1568</v>
      </c>
      <c r="E315" s="21" t="s">
        <v>111</v>
      </c>
      <c r="F315" s="21" t="s">
        <v>1569</v>
      </c>
      <c r="G315" s="21" t="s">
        <v>1570</v>
      </c>
      <c r="H315" s="25"/>
      <c r="I315" s="25"/>
      <c r="J315" s="25"/>
      <c r="K315" s="25"/>
      <c r="L315" s="25"/>
      <c r="M315" s="22" t="s">
        <v>86</v>
      </c>
      <c r="N315" s="23">
        <v>46083</v>
      </c>
      <c r="O315" s="26" t="str">
        <f t="shared" si="12"/>
        <v>OK</v>
      </c>
      <c r="P315" s="30" t="str">
        <f t="shared" si="13"/>
        <v/>
      </c>
      <c r="Q315" s="26" t="str">
        <f t="shared" si="14"/>
        <v/>
      </c>
    </row>
    <row r="316" spans="1:17" x14ac:dyDescent="0.3">
      <c r="A316" s="33">
        <v>4010837569</v>
      </c>
      <c r="B316" s="21" t="s">
        <v>1571</v>
      </c>
      <c r="C316" s="21" t="s">
        <v>1572</v>
      </c>
      <c r="D316" s="21" t="s">
        <v>1573</v>
      </c>
      <c r="E316" s="21" t="s">
        <v>190</v>
      </c>
      <c r="F316" s="21" t="s">
        <v>1574</v>
      </c>
      <c r="G316" s="21" t="s">
        <v>1575</v>
      </c>
      <c r="H316" s="25"/>
      <c r="I316" s="25"/>
      <c r="J316" s="25"/>
      <c r="K316" s="25"/>
      <c r="L316" s="25"/>
      <c r="M316" s="22" t="s">
        <v>86</v>
      </c>
      <c r="N316" s="23">
        <v>46083</v>
      </c>
      <c r="O316" s="26" t="str">
        <f t="shared" si="12"/>
        <v>OK</v>
      </c>
      <c r="P316" s="30" t="str">
        <f t="shared" si="13"/>
        <v/>
      </c>
      <c r="Q316" s="26" t="str">
        <f t="shared" si="14"/>
        <v/>
      </c>
    </row>
    <row r="317" spans="1:17" x14ac:dyDescent="0.3">
      <c r="A317" s="33">
        <v>7638102210</v>
      </c>
      <c r="B317" s="21" t="s">
        <v>1576</v>
      </c>
      <c r="C317" s="21" t="s">
        <v>1577</v>
      </c>
      <c r="D317" s="21" t="s">
        <v>1578</v>
      </c>
      <c r="E317" s="21" t="s">
        <v>83</v>
      </c>
      <c r="F317" s="21" t="s">
        <v>1579</v>
      </c>
      <c r="G317" s="21" t="s">
        <v>1580</v>
      </c>
      <c r="H317" s="25"/>
      <c r="I317" s="25"/>
      <c r="J317" s="25"/>
      <c r="K317" s="25"/>
      <c r="L317" s="25"/>
      <c r="M317" s="22" t="s">
        <v>86</v>
      </c>
      <c r="N317" s="23">
        <v>46083</v>
      </c>
      <c r="O317" s="26" t="str">
        <f t="shared" si="12"/>
        <v>OK</v>
      </c>
      <c r="P317" s="30" t="str">
        <f t="shared" si="13"/>
        <v/>
      </c>
      <c r="Q317" s="26" t="str">
        <f t="shared" si="14"/>
        <v/>
      </c>
    </row>
    <row r="318" spans="1:17" x14ac:dyDescent="0.3">
      <c r="A318" s="33">
        <v>4040521691</v>
      </c>
      <c r="B318" s="21" t="s">
        <v>1581</v>
      </c>
      <c r="C318" s="21" t="s">
        <v>1582</v>
      </c>
      <c r="D318" s="21" t="s">
        <v>1583</v>
      </c>
      <c r="E318" s="21" t="s">
        <v>247</v>
      </c>
      <c r="F318" s="21" t="s">
        <v>228</v>
      </c>
      <c r="G318" s="21"/>
      <c r="H318" s="25"/>
      <c r="I318" s="25"/>
      <c r="J318" s="25"/>
      <c r="K318" s="25"/>
      <c r="L318" s="25"/>
      <c r="M318" s="22" t="s">
        <v>86</v>
      </c>
      <c r="N318" s="23">
        <v>46083</v>
      </c>
      <c r="O318" s="26" t="str">
        <f t="shared" si="12"/>
        <v>OK</v>
      </c>
      <c r="P318" s="30" t="str">
        <f t="shared" si="13"/>
        <v/>
      </c>
      <c r="Q318" s="26" t="str">
        <f t="shared" si="14"/>
        <v/>
      </c>
    </row>
    <row r="319" spans="1:17" x14ac:dyDescent="0.3">
      <c r="A319" s="33">
        <v>8742700112</v>
      </c>
      <c r="B319" s="21" t="s">
        <v>1584</v>
      </c>
      <c r="C319" s="21" t="s">
        <v>1585</v>
      </c>
      <c r="D319" s="21" t="s">
        <v>1586</v>
      </c>
      <c r="E319" s="21" t="s">
        <v>190</v>
      </c>
      <c r="F319" s="21" t="s">
        <v>1587</v>
      </c>
      <c r="G319" s="21" t="s">
        <v>1588</v>
      </c>
      <c r="H319" s="25"/>
      <c r="I319" s="25"/>
      <c r="J319" s="25"/>
      <c r="K319" s="25"/>
      <c r="L319" s="25"/>
      <c r="M319" s="22" t="s">
        <v>86</v>
      </c>
      <c r="N319" s="23">
        <v>46083</v>
      </c>
      <c r="O319" s="26" t="str">
        <f t="shared" si="12"/>
        <v>OK</v>
      </c>
      <c r="P319" s="30" t="str">
        <f t="shared" si="13"/>
        <v/>
      </c>
      <c r="Q319" s="26" t="str">
        <f t="shared" si="14"/>
        <v/>
      </c>
    </row>
    <row r="320" spans="1:17" x14ac:dyDescent="0.3">
      <c r="A320" s="33">
        <v>4038200428</v>
      </c>
      <c r="B320" s="21" t="s">
        <v>1589</v>
      </c>
      <c r="C320" s="21" t="s">
        <v>1590</v>
      </c>
      <c r="D320" s="21" t="s">
        <v>1591</v>
      </c>
      <c r="E320" s="21" t="s">
        <v>1592</v>
      </c>
      <c r="F320" s="21" t="s">
        <v>1593</v>
      </c>
      <c r="G320" s="21" t="s">
        <v>1594</v>
      </c>
      <c r="H320" s="25"/>
      <c r="I320" s="25"/>
      <c r="J320" s="25"/>
      <c r="K320" s="25"/>
      <c r="L320" s="25"/>
      <c r="M320" s="22" t="s">
        <v>86</v>
      </c>
      <c r="N320" s="23">
        <v>46083</v>
      </c>
      <c r="O320" s="26" t="str">
        <f t="shared" si="12"/>
        <v>OK</v>
      </c>
      <c r="P320" s="30" t="str">
        <f t="shared" si="13"/>
        <v/>
      </c>
      <c r="Q320" s="26" t="str">
        <f t="shared" si="14"/>
        <v/>
      </c>
    </row>
    <row r="321" spans="1:17" x14ac:dyDescent="0.3">
      <c r="A321" s="33">
        <v>4021595992</v>
      </c>
      <c r="B321" s="21" t="s">
        <v>1595</v>
      </c>
      <c r="C321" s="21" t="s">
        <v>1596</v>
      </c>
      <c r="D321" s="21" t="s">
        <v>1597</v>
      </c>
      <c r="E321" s="21" t="s">
        <v>1598</v>
      </c>
      <c r="F321" s="21" t="s">
        <v>1599</v>
      </c>
      <c r="G321" s="21" t="s">
        <v>1600</v>
      </c>
      <c r="H321" s="25"/>
      <c r="I321" s="25"/>
      <c r="J321" s="25"/>
      <c r="K321" s="25"/>
      <c r="L321" s="25"/>
      <c r="M321" s="22" t="s">
        <v>86</v>
      </c>
      <c r="N321" s="23">
        <v>46083</v>
      </c>
      <c r="O321" s="26" t="str">
        <f t="shared" si="12"/>
        <v>OK</v>
      </c>
      <c r="P321" s="30" t="str">
        <f t="shared" si="13"/>
        <v/>
      </c>
      <c r="Q321" s="26" t="str">
        <f t="shared" si="14"/>
        <v/>
      </c>
    </row>
    <row r="322" spans="1:17" x14ac:dyDescent="0.3">
      <c r="A322" s="33">
        <v>3210202404</v>
      </c>
      <c r="B322" s="21" t="s">
        <v>1601</v>
      </c>
      <c r="C322" s="21" t="s">
        <v>1602</v>
      </c>
      <c r="D322" s="21" t="s">
        <v>1603</v>
      </c>
      <c r="E322" s="21" t="s">
        <v>83</v>
      </c>
      <c r="F322" s="21" t="s">
        <v>1604</v>
      </c>
      <c r="G322" s="21"/>
      <c r="H322" s="25"/>
      <c r="I322" s="25"/>
      <c r="J322" s="25"/>
      <c r="K322" s="25"/>
      <c r="L322" s="25"/>
      <c r="M322" s="22" t="s">
        <v>86</v>
      </c>
      <c r="N322" s="23">
        <v>46083</v>
      </c>
      <c r="O322" s="26" t="str">
        <f t="shared" ref="O322:O385" si="15">IF(A322="","",IFERROR(IF(AND(LEN(A322)=10,NOT(ISERROR(VALUE(A322)))),"OK","확인"),"확인"))</f>
        <v>OK</v>
      </c>
      <c r="P322" s="30" t="str">
        <f t="shared" ref="P322:P385" si="16">IF(A322="","",IF(COUNTIF($A$2:$A$1946,A322)&gt;1,"중복",""))</f>
        <v/>
      </c>
      <c r="Q322" s="26" t="str">
        <f t="shared" ref="Q322:Q385" si="17">IF(G322="","",IF(ISNUMBER(SEARCH("@",G322)),"","확인"))</f>
        <v/>
      </c>
    </row>
    <row r="323" spans="1:17" x14ac:dyDescent="0.3">
      <c r="A323" s="33">
        <v>5410502222</v>
      </c>
      <c r="B323" s="21" t="s">
        <v>1605</v>
      </c>
      <c r="C323" s="21" t="s">
        <v>545</v>
      </c>
      <c r="D323" s="21" t="s">
        <v>1606</v>
      </c>
      <c r="E323" s="21" t="s">
        <v>669</v>
      </c>
      <c r="F323" s="21" t="s">
        <v>1607</v>
      </c>
      <c r="G323" s="21"/>
      <c r="H323" s="25"/>
      <c r="I323" s="25"/>
      <c r="J323" s="25"/>
      <c r="K323" s="25"/>
      <c r="L323" s="25"/>
      <c r="M323" s="22" t="s">
        <v>86</v>
      </c>
      <c r="N323" s="23">
        <v>46083</v>
      </c>
      <c r="O323" s="26" t="str">
        <f t="shared" si="15"/>
        <v>OK</v>
      </c>
      <c r="P323" s="30" t="str">
        <f t="shared" si="16"/>
        <v/>
      </c>
      <c r="Q323" s="26" t="str">
        <f t="shared" si="17"/>
        <v/>
      </c>
    </row>
    <row r="324" spans="1:17" x14ac:dyDescent="0.3">
      <c r="A324" s="33">
        <v>4030232063</v>
      </c>
      <c r="B324" s="21" t="s">
        <v>1608</v>
      </c>
      <c r="C324" s="21" t="s">
        <v>1609</v>
      </c>
      <c r="D324" s="21" t="s">
        <v>1610</v>
      </c>
      <c r="E324" s="21" t="s">
        <v>247</v>
      </c>
      <c r="F324" s="21" t="s">
        <v>1599</v>
      </c>
      <c r="G324" s="21" t="s">
        <v>1611</v>
      </c>
      <c r="H324" s="25"/>
      <c r="I324" s="25"/>
      <c r="J324" s="25"/>
      <c r="K324" s="25"/>
      <c r="L324" s="25"/>
      <c r="M324" s="22" t="s">
        <v>86</v>
      </c>
      <c r="N324" s="23">
        <v>46083</v>
      </c>
      <c r="O324" s="26" t="str">
        <f t="shared" si="15"/>
        <v>OK</v>
      </c>
      <c r="P324" s="30" t="str">
        <f t="shared" si="16"/>
        <v/>
      </c>
      <c r="Q324" s="26" t="str">
        <f t="shared" si="17"/>
        <v/>
      </c>
    </row>
    <row r="325" spans="1:17" x14ac:dyDescent="0.3">
      <c r="A325" s="33">
        <v>4028137963</v>
      </c>
      <c r="B325" s="21" t="s">
        <v>1612</v>
      </c>
      <c r="C325" s="21" t="s">
        <v>1613</v>
      </c>
      <c r="D325" s="21" t="s">
        <v>1614</v>
      </c>
      <c r="E325" s="21" t="s">
        <v>83</v>
      </c>
      <c r="F325" s="21" t="s">
        <v>84</v>
      </c>
      <c r="G325" s="21" t="s">
        <v>1615</v>
      </c>
      <c r="H325" s="25"/>
      <c r="I325" s="25"/>
      <c r="J325" s="25"/>
      <c r="K325" s="25"/>
      <c r="L325" s="25"/>
      <c r="M325" s="22" t="s">
        <v>86</v>
      </c>
      <c r="N325" s="23">
        <v>46083</v>
      </c>
      <c r="O325" s="26" t="str">
        <f t="shared" si="15"/>
        <v>OK</v>
      </c>
      <c r="P325" s="30" t="str">
        <f t="shared" si="16"/>
        <v/>
      </c>
      <c r="Q325" s="26" t="str">
        <f t="shared" si="17"/>
        <v/>
      </c>
    </row>
    <row r="326" spans="1:17" x14ac:dyDescent="0.3">
      <c r="A326" s="33">
        <v>4030727129</v>
      </c>
      <c r="B326" s="21" t="s">
        <v>1616</v>
      </c>
      <c r="C326" s="21" t="s">
        <v>1617</v>
      </c>
      <c r="D326" s="21" t="s">
        <v>1618</v>
      </c>
      <c r="E326" s="21" t="s">
        <v>247</v>
      </c>
      <c r="F326" s="21" t="s">
        <v>1619</v>
      </c>
      <c r="G326" s="21" t="s">
        <v>1620</v>
      </c>
      <c r="H326" s="25"/>
      <c r="I326" s="25"/>
      <c r="J326" s="25"/>
      <c r="K326" s="25"/>
      <c r="L326" s="25"/>
      <c r="M326" s="22" t="s">
        <v>86</v>
      </c>
      <c r="N326" s="23">
        <v>46083</v>
      </c>
      <c r="O326" s="26" t="str">
        <f t="shared" si="15"/>
        <v>OK</v>
      </c>
      <c r="P326" s="30" t="str">
        <f t="shared" si="16"/>
        <v/>
      </c>
      <c r="Q326" s="26" t="str">
        <f t="shared" si="17"/>
        <v/>
      </c>
    </row>
    <row r="327" spans="1:17" x14ac:dyDescent="0.3">
      <c r="A327" s="33">
        <v>4050790327</v>
      </c>
      <c r="B327" s="21" t="s">
        <v>1621</v>
      </c>
      <c r="C327" s="21" t="s">
        <v>1622</v>
      </c>
      <c r="D327" s="21" t="s">
        <v>1623</v>
      </c>
      <c r="E327" s="21" t="s">
        <v>190</v>
      </c>
      <c r="F327" s="21" t="s">
        <v>1624</v>
      </c>
      <c r="G327" s="21"/>
      <c r="H327" s="25"/>
      <c r="I327" s="25"/>
      <c r="J327" s="25"/>
      <c r="K327" s="25"/>
      <c r="L327" s="25"/>
      <c r="M327" s="22" t="s">
        <v>86</v>
      </c>
      <c r="N327" s="23">
        <v>46083</v>
      </c>
      <c r="O327" s="26" t="str">
        <f t="shared" si="15"/>
        <v>OK</v>
      </c>
      <c r="P327" s="30" t="str">
        <f t="shared" si="16"/>
        <v/>
      </c>
      <c r="Q327" s="26" t="str">
        <f t="shared" si="17"/>
        <v/>
      </c>
    </row>
    <row r="328" spans="1:17" x14ac:dyDescent="0.3">
      <c r="A328" s="33">
        <v>4180847522</v>
      </c>
      <c r="B328" s="21" t="s">
        <v>1625</v>
      </c>
      <c r="C328" s="21" t="s">
        <v>1626</v>
      </c>
      <c r="D328" s="21" t="s">
        <v>1627</v>
      </c>
      <c r="E328" s="21" t="s">
        <v>190</v>
      </c>
      <c r="F328" s="21" t="s">
        <v>1628</v>
      </c>
      <c r="G328" s="21" t="s">
        <v>1629</v>
      </c>
      <c r="H328" s="25"/>
      <c r="I328" s="25"/>
      <c r="J328" s="25"/>
      <c r="K328" s="25"/>
      <c r="L328" s="25"/>
      <c r="M328" s="22" t="s">
        <v>86</v>
      </c>
      <c r="N328" s="23">
        <v>46083</v>
      </c>
      <c r="O328" s="26" t="str">
        <f t="shared" si="15"/>
        <v>OK</v>
      </c>
      <c r="P328" s="30" t="str">
        <f t="shared" si="16"/>
        <v/>
      </c>
      <c r="Q328" s="26" t="str">
        <f t="shared" si="17"/>
        <v/>
      </c>
    </row>
    <row r="329" spans="1:17" x14ac:dyDescent="0.3">
      <c r="A329" s="33">
        <v>3080198803</v>
      </c>
      <c r="B329" s="21" t="s">
        <v>1630</v>
      </c>
      <c r="C329" s="21" t="s">
        <v>1631</v>
      </c>
      <c r="D329" s="21" t="s">
        <v>1632</v>
      </c>
      <c r="E329" s="21" t="s">
        <v>247</v>
      </c>
      <c r="F329" s="21" t="s">
        <v>1633</v>
      </c>
      <c r="G329" s="21" t="s">
        <v>1634</v>
      </c>
      <c r="H329" s="25"/>
      <c r="I329" s="25"/>
      <c r="J329" s="25"/>
      <c r="K329" s="25"/>
      <c r="L329" s="25"/>
      <c r="M329" s="22" t="s">
        <v>86</v>
      </c>
      <c r="N329" s="23">
        <v>46083</v>
      </c>
      <c r="O329" s="26" t="str">
        <f t="shared" si="15"/>
        <v>OK</v>
      </c>
      <c r="P329" s="30" t="str">
        <f t="shared" si="16"/>
        <v/>
      </c>
      <c r="Q329" s="26" t="str">
        <f t="shared" si="17"/>
        <v/>
      </c>
    </row>
    <row r="330" spans="1:17" x14ac:dyDescent="0.3">
      <c r="A330" s="33">
        <v>4031108584</v>
      </c>
      <c r="B330" s="21" t="s">
        <v>1635</v>
      </c>
      <c r="C330" s="21" t="s">
        <v>1636</v>
      </c>
      <c r="D330" s="21" t="s">
        <v>1637</v>
      </c>
      <c r="E330" s="21" t="s">
        <v>247</v>
      </c>
      <c r="F330" s="21" t="s">
        <v>1638</v>
      </c>
      <c r="G330" s="21" t="s">
        <v>1639</v>
      </c>
      <c r="H330" s="25"/>
      <c r="I330" s="25"/>
      <c r="J330" s="25"/>
      <c r="K330" s="25"/>
      <c r="L330" s="25"/>
      <c r="M330" s="22" t="s">
        <v>86</v>
      </c>
      <c r="N330" s="23">
        <v>46083</v>
      </c>
      <c r="O330" s="26" t="str">
        <f t="shared" si="15"/>
        <v>OK</v>
      </c>
      <c r="P330" s="30" t="str">
        <f t="shared" si="16"/>
        <v/>
      </c>
      <c r="Q330" s="26" t="str">
        <f t="shared" si="17"/>
        <v/>
      </c>
    </row>
    <row r="331" spans="1:17" x14ac:dyDescent="0.3">
      <c r="A331" s="33">
        <v>4031578002</v>
      </c>
      <c r="B331" s="21" t="s">
        <v>1640</v>
      </c>
      <c r="C331" s="21" t="s">
        <v>1641</v>
      </c>
      <c r="D331" s="21" t="s">
        <v>1642</v>
      </c>
      <c r="E331" s="21" t="s">
        <v>1643</v>
      </c>
      <c r="F331" s="21" t="s">
        <v>1644</v>
      </c>
      <c r="G331" s="21" t="s">
        <v>1645</v>
      </c>
      <c r="H331" s="25"/>
      <c r="I331" s="25"/>
      <c r="J331" s="25"/>
      <c r="K331" s="25"/>
      <c r="L331" s="25"/>
      <c r="M331" s="22" t="s">
        <v>86</v>
      </c>
      <c r="N331" s="23">
        <v>46083</v>
      </c>
      <c r="O331" s="26" t="str">
        <f t="shared" si="15"/>
        <v>OK</v>
      </c>
      <c r="P331" s="30" t="str">
        <f t="shared" si="16"/>
        <v/>
      </c>
      <c r="Q331" s="26" t="str">
        <f t="shared" si="17"/>
        <v/>
      </c>
    </row>
    <row r="332" spans="1:17" x14ac:dyDescent="0.3">
      <c r="A332" s="33">
        <v>4031431029</v>
      </c>
      <c r="B332" s="21" t="s">
        <v>1646</v>
      </c>
      <c r="C332" s="21" t="s">
        <v>1647</v>
      </c>
      <c r="D332" s="21" t="s">
        <v>1648</v>
      </c>
      <c r="E332" s="21" t="s">
        <v>1649</v>
      </c>
      <c r="F332" s="21" t="s">
        <v>1650</v>
      </c>
      <c r="G332" s="21"/>
      <c r="H332" s="25"/>
      <c r="I332" s="25"/>
      <c r="J332" s="25"/>
      <c r="K332" s="25"/>
      <c r="L332" s="25"/>
      <c r="M332" s="22" t="s">
        <v>86</v>
      </c>
      <c r="N332" s="23">
        <v>46083</v>
      </c>
      <c r="O332" s="26" t="str">
        <f t="shared" si="15"/>
        <v>OK</v>
      </c>
      <c r="P332" s="30" t="str">
        <f t="shared" si="16"/>
        <v/>
      </c>
      <c r="Q332" s="26" t="str">
        <f t="shared" si="17"/>
        <v/>
      </c>
    </row>
    <row r="333" spans="1:17" x14ac:dyDescent="0.3">
      <c r="A333" s="33">
        <v>6658602212</v>
      </c>
      <c r="B333" s="21" t="s">
        <v>1651</v>
      </c>
      <c r="C333" s="21" t="s">
        <v>1652</v>
      </c>
      <c r="D333" s="21" t="s">
        <v>1653</v>
      </c>
      <c r="E333" s="21" t="s">
        <v>83</v>
      </c>
      <c r="F333" s="21" t="s">
        <v>1654</v>
      </c>
      <c r="G333" s="21" t="s">
        <v>1655</v>
      </c>
      <c r="H333" s="25"/>
      <c r="I333" s="25"/>
      <c r="J333" s="25"/>
      <c r="K333" s="25"/>
      <c r="L333" s="25"/>
      <c r="M333" s="22" t="s">
        <v>86</v>
      </c>
      <c r="N333" s="23">
        <v>46083</v>
      </c>
      <c r="O333" s="26" t="str">
        <f t="shared" si="15"/>
        <v>OK</v>
      </c>
      <c r="P333" s="30" t="str">
        <f t="shared" si="16"/>
        <v/>
      </c>
      <c r="Q333" s="26" t="str">
        <f t="shared" si="17"/>
        <v/>
      </c>
    </row>
    <row r="334" spans="1:17" x14ac:dyDescent="0.3">
      <c r="A334" s="33">
        <v>1465800215</v>
      </c>
      <c r="B334" s="21" t="s">
        <v>1656</v>
      </c>
      <c r="C334" s="21" t="s">
        <v>1657</v>
      </c>
      <c r="D334" s="21" t="s">
        <v>1658</v>
      </c>
      <c r="E334" s="21" t="s">
        <v>1659</v>
      </c>
      <c r="F334" s="21" t="s">
        <v>1660</v>
      </c>
      <c r="G334" s="21" t="s">
        <v>1661</v>
      </c>
      <c r="H334" s="25"/>
      <c r="I334" s="25"/>
      <c r="J334" s="25"/>
      <c r="K334" s="25"/>
      <c r="L334" s="25"/>
      <c r="M334" s="22" t="s">
        <v>86</v>
      </c>
      <c r="N334" s="23">
        <v>46083</v>
      </c>
      <c r="O334" s="26" t="str">
        <f t="shared" si="15"/>
        <v>OK</v>
      </c>
      <c r="P334" s="30" t="str">
        <f t="shared" si="16"/>
        <v/>
      </c>
      <c r="Q334" s="26" t="str">
        <f t="shared" si="17"/>
        <v/>
      </c>
    </row>
    <row r="335" spans="1:17" x14ac:dyDescent="0.3">
      <c r="A335" s="33">
        <v>1542500917</v>
      </c>
      <c r="B335" s="21" t="s">
        <v>1662</v>
      </c>
      <c r="C335" s="21" t="s">
        <v>1663</v>
      </c>
      <c r="D335" s="21" t="s">
        <v>1664</v>
      </c>
      <c r="E335" s="21" t="s">
        <v>83</v>
      </c>
      <c r="F335" s="21" t="s">
        <v>1665</v>
      </c>
      <c r="G335" s="21" t="s">
        <v>1666</v>
      </c>
      <c r="H335" s="25"/>
      <c r="I335" s="25"/>
      <c r="J335" s="25"/>
      <c r="K335" s="25"/>
      <c r="L335" s="25"/>
      <c r="M335" s="22" t="s">
        <v>86</v>
      </c>
      <c r="N335" s="23">
        <v>46083</v>
      </c>
      <c r="O335" s="26" t="str">
        <f t="shared" si="15"/>
        <v>OK</v>
      </c>
      <c r="P335" s="30" t="str">
        <f t="shared" si="16"/>
        <v/>
      </c>
      <c r="Q335" s="26" t="str">
        <f t="shared" si="17"/>
        <v/>
      </c>
    </row>
    <row r="336" spans="1:17" x14ac:dyDescent="0.3">
      <c r="A336" s="33">
        <v>4180196081</v>
      </c>
      <c r="B336" s="21" t="s">
        <v>1667</v>
      </c>
      <c r="C336" s="21"/>
      <c r="D336" s="21" t="s">
        <v>1668</v>
      </c>
      <c r="E336" s="21" t="s">
        <v>1669</v>
      </c>
      <c r="F336" s="21" t="s">
        <v>1670</v>
      </c>
      <c r="G336" s="21" t="s">
        <v>1671</v>
      </c>
      <c r="H336" s="25"/>
      <c r="I336" s="25"/>
      <c r="J336" s="25"/>
      <c r="K336" s="25"/>
      <c r="L336" s="25"/>
      <c r="M336" s="22" t="s">
        <v>86</v>
      </c>
      <c r="N336" s="23">
        <v>46083</v>
      </c>
      <c r="O336" s="26" t="str">
        <f t="shared" si="15"/>
        <v>OK</v>
      </c>
      <c r="P336" s="30" t="str">
        <f t="shared" si="16"/>
        <v/>
      </c>
      <c r="Q336" s="26" t="str">
        <f t="shared" si="17"/>
        <v/>
      </c>
    </row>
    <row r="337" spans="1:17" x14ac:dyDescent="0.3">
      <c r="A337" s="33">
        <v>5042445427</v>
      </c>
      <c r="B337" s="21" t="s">
        <v>1672</v>
      </c>
      <c r="C337" s="21" t="s">
        <v>1479</v>
      </c>
      <c r="D337" s="21" t="s">
        <v>1673</v>
      </c>
      <c r="E337" s="21" t="s">
        <v>190</v>
      </c>
      <c r="F337" s="21" t="s">
        <v>1674</v>
      </c>
      <c r="G337" s="21" t="s">
        <v>1675</v>
      </c>
      <c r="H337" s="25"/>
      <c r="I337" s="25"/>
      <c r="J337" s="25"/>
      <c r="K337" s="25"/>
      <c r="L337" s="25"/>
      <c r="M337" s="22" t="s">
        <v>86</v>
      </c>
      <c r="N337" s="23">
        <v>46083</v>
      </c>
      <c r="O337" s="26" t="str">
        <f t="shared" si="15"/>
        <v>OK</v>
      </c>
      <c r="P337" s="30" t="str">
        <f t="shared" si="16"/>
        <v/>
      </c>
      <c r="Q337" s="26" t="str">
        <f t="shared" si="17"/>
        <v/>
      </c>
    </row>
    <row r="338" spans="1:17" x14ac:dyDescent="0.3">
      <c r="A338" s="33">
        <v>4030468847</v>
      </c>
      <c r="B338" s="21" t="s">
        <v>1676</v>
      </c>
      <c r="C338" s="21" t="s">
        <v>1677</v>
      </c>
      <c r="D338" s="21" t="s">
        <v>1678</v>
      </c>
      <c r="E338" s="21" t="s">
        <v>1679</v>
      </c>
      <c r="F338" s="21" t="s">
        <v>1680</v>
      </c>
      <c r="G338" s="21" t="s">
        <v>1681</v>
      </c>
      <c r="H338" s="25"/>
      <c r="I338" s="25"/>
      <c r="J338" s="25"/>
      <c r="K338" s="25"/>
      <c r="L338" s="25"/>
      <c r="M338" s="22" t="s">
        <v>86</v>
      </c>
      <c r="N338" s="23">
        <v>46083</v>
      </c>
      <c r="O338" s="26" t="str">
        <f t="shared" si="15"/>
        <v>OK</v>
      </c>
      <c r="P338" s="30" t="str">
        <f t="shared" si="16"/>
        <v/>
      </c>
      <c r="Q338" s="26" t="str">
        <f t="shared" si="17"/>
        <v/>
      </c>
    </row>
    <row r="339" spans="1:17" x14ac:dyDescent="0.3">
      <c r="A339" s="33">
        <v>4011197489</v>
      </c>
      <c r="B339" s="21" t="s">
        <v>1682</v>
      </c>
      <c r="C339" s="21" t="s">
        <v>1683</v>
      </c>
      <c r="D339" s="21" t="s">
        <v>1684</v>
      </c>
      <c r="E339" s="21" t="s">
        <v>190</v>
      </c>
      <c r="F339" s="21" t="s">
        <v>1685</v>
      </c>
      <c r="G339" s="21" t="s">
        <v>1686</v>
      </c>
      <c r="H339" s="25"/>
      <c r="I339" s="25"/>
      <c r="J339" s="25"/>
      <c r="K339" s="25"/>
      <c r="L339" s="25"/>
      <c r="M339" s="22" t="s">
        <v>86</v>
      </c>
      <c r="N339" s="23">
        <v>46083</v>
      </c>
      <c r="O339" s="26" t="str">
        <f t="shared" si="15"/>
        <v>OK</v>
      </c>
      <c r="P339" s="30" t="str">
        <f t="shared" si="16"/>
        <v/>
      </c>
      <c r="Q339" s="26" t="str">
        <f t="shared" si="17"/>
        <v/>
      </c>
    </row>
    <row r="340" spans="1:17" x14ac:dyDescent="0.3">
      <c r="A340" s="33">
        <v>4021888342</v>
      </c>
      <c r="B340" s="21" t="s">
        <v>1687</v>
      </c>
      <c r="C340" s="21" t="s">
        <v>1688</v>
      </c>
      <c r="D340" s="21" t="s">
        <v>1689</v>
      </c>
      <c r="E340" s="21" t="s">
        <v>83</v>
      </c>
      <c r="F340" s="21" t="s">
        <v>96</v>
      </c>
      <c r="G340" s="21" t="s">
        <v>1690</v>
      </c>
      <c r="H340" s="25"/>
      <c r="I340" s="25"/>
      <c r="J340" s="25"/>
      <c r="K340" s="25"/>
      <c r="L340" s="25"/>
      <c r="M340" s="22" t="s">
        <v>86</v>
      </c>
      <c r="N340" s="23">
        <v>46083</v>
      </c>
      <c r="O340" s="26" t="str">
        <f t="shared" si="15"/>
        <v>OK</v>
      </c>
      <c r="P340" s="30" t="str">
        <f t="shared" si="16"/>
        <v/>
      </c>
      <c r="Q340" s="26" t="str">
        <f t="shared" si="17"/>
        <v/>
      </c>
    </row>
    <row r="341" spans="1:17" x14ac:dyDescent="0.3">
      <c r="A341" s="33">
        <v>5652400110</v>
      </c>
      <c r="B341" s="21" t="s">
        <v>1691</v>
      </c>
      <c r="C341" s="21" t="s">
        <v>1692</v>
      </c>
      <c r="D341" s="21" t="s">
        <v>1693</v>
      </c>
      <c r="E341" s="21" t="s">
        <v>95</v>
      </c>
      <c r="F341" s="21" t="s">
        <v>1694</v>
      </c>
      <c r="G341" s="21" t="s">
        <v>1695</v>
      </c>
      <c r="H341" s="25"/>
      <c r="I341" s="25"/>
      <c r="J341" s="25"/>
      <c r="K341" s="25"/>
      <c r="L341" s="25"/>
      <c r="M341" s="22" t="s">
        <v>86</v>
      </c>
      <c r="N341" s="23">
        <v>46083</v>
      </c>
      <c r="O341" s="26" t="str">
        <f t="shared" si="15"/>
        <v>OK</v>
      </c>
      <c r="P341" s="30" t="str">
        <f t="shared" si="16"/>
        <v/>
      </c>
      <c r="Q341" s="26" t="str">
        <f t="shared" si="17"/>
        <v/>
      </c>
    </row>
    <row r="342" spans="1:17" x14ac:dyDescent="0.3">
      <c r="A342" s="33">
        <v>4188278118</v>
      </c>
      <c r="B342" s="21" t="s">
        <v>1696</v>
      </c>
      <c r="C342" s="21" t="s">
        <v>1697</v>
      </c>
      <c r="D342" s="21" t="s">
        <v>1698</v>
      </c>
      <c r="E342" s="21" t="s">
        <v>179</v>
      </c>
      <c r="F342" s="21" t="s">
        <v>1699</v>
      </c>
      <c r="G342" s="21" t="s">
        <v>1700</v>
      </c>
      <c r="H342" s="25"/>
      <c r="I342" s="25"/>
      <c r="J342" s="25"/>
      <c r="K342" s="25"/>
      <c r="L342" s="25"/>
      <c r="M342" s="22" t="s">
        <v>86</v>
      </c>
      <c r="N342" s="23">
        <v>46083</v>
      </c>
      <c r="O342" s="26" t="str">
        <f t="shared" si="15"/>
        <v>OK</v>
      </c>
      <c r="P342" s="30" t="str">
        <f t="shared" si="16"/>
        <v/>
      </c>
      <c r="Q342" s="26" t="str">
        <f t="shared" si="17"/>
        <v/>
      </c>
    </row>
    <row r="343" spans="1:17" x14ac:dyDescent="0.3">
      <c r="A343" s="33">
        <v>4118133995</v>
      </c>
      <c r="B343" s="21" t="s">
        <v>1701</v>
      </c>
      <c r="C343" s="21" t="s">
        <v>1702</v>
      </c>
      <c r="D343" s="21" t="s">
        <v>1703</v>
      </c>
      <c r="E343" s="21" t="s">
        <v>111</v>
      </c>
      <c r="F343" s="21" t="s">
        <v>148</v>
      </c>
      <c r="G343" s="21" t="s">
        <v>1704</v>
      </c>
      <c r="H343" s="25"/>
      <c r="I343" s="25"/>
      <c r="J343" s="25"/>
      <c r="K343" s="25"/>
      <c r="L343" s="25"/>
      <c r="M343" s="22" t="s">
        <v>86</v>
      </c>
      <c r="N343" s="23">
        <v>46083</v>
      </c>
      <c r="O343" s="26" t="str">
        <f t="shared" si="15"/>
        <v>OK</v>
      </c>
      <c r="P343" s="30" t="str">
        <f t="shared" si="16"/>
        <v/>
      </c>
      <c r="Q343" s="26" t="str">
        <f t="shared" si="17"/>
        <v/>
      </c>
    </row>
    <row r="344" spans="1:17" x14ac:dyDescent="0.3">
      <c r="A344" s="33">
        <v>2108180288</v>
      </c>
      <c r="B344" s="21" t="s">
        <v>1705</v>
      </c>
      <c r="C344" s="21" t="s">
        <v>1706</v>
      </c>
      <c r="D344" s="21" t="s">
        <v>1707</v>
      </c>
      <c r="E344" s="21" t="s">
        <v>1708</v>
      </c>
      <c r="F344" s="21" t="s">
        <v>1709</v>
      </c>
      <c r="G344" s="21" t="s">
        <v>1710</v>
      </c>
      <c r="H344" s="25"/>
      <c r="I344" s="25"/>
      <c r="J344" s="25"/>
      <c r="K344" s="25"/>
      <c r="L344" s="25"/>
      <c r="M344" s="22" t="s">
        <v>86</v>
      </c>
      <c r="N344" s="23">
        <v>46083</v>
      </c>
      <c r="O344" s="26" t="str">
        <f t="shared" si="15"/>
        <v>OK</v>
      </c>
      <c r="P344" s="30" t="str">
        <f t="shared" si="16"/>
        <v/>
      </c>
      <c r="Q344" s="26" t="str">
        <f t="shared" si="17"/>
        <v/>
      </c>
    </row>
    <row r="345" spans="1:17" x14ac:dyDescent="0.3">
      <c r="A345" s="33">
        <v>8680100970</v>
      </c>
      <c r="B345" s="21" t="s">
        <v>1711</v>
      </c>
      <c r="C345" s="21" t="s">
        <v>83</v>
      </c>
      <c r="D345" s="21" t="s">
        <v>1712</v>
      </c>
      <c r="E345" s="21" t="s">
        <v>83</v>
      </c>
      <c r="F345" s="21" t="s">
        <v>96</v>
      </c>
      <c r="G345" s="21" t="s">
        <v>1713</v>
      </c>
      <c r="H345" s="25"/>
      <c r="I345" s="25"/>
      <c r="J345" s="25"/>
      <c r="K345" s="25"/>
      <c r="L345" s="25"/>
      <c r="M345" s="22" t="s">
        <v>86</v>
      </c>
      <c r="N345" s="23">
        <v>46083</v>
      </c>
      <c r="O345" s="26" t="str">
        <f t="shared" si="15"/>
        <v>OK</v>
      </c>
      <c r="P345" s="30" t="str">
        <f t="shared" si="16"/>
        <v/>
      </c>
      <c r="Q345" s="26" t="str">
        <f t="shared" si="17"/>
        <v/>
      </c>
    </row>
    <row r="346" spans="1:17" x14ac:dyDescent="0.3">
      <c r="A346" s="33">
        <v>1113093733</v>
      </c>
      <c r="B346" s="21" t="s">
        <v>1714</v>
      </c>
      <c r="C346" s="21" t="s">
        <v>1715</v>
      </c>
      <c r="D346" s="21" t="s">
        <v>1716</v>
      </c>
      <c r="E346" s="21" t="s">
        <v>83</v>
      </c>
      <c r="F346" s="21" t="s">
        <v>96</v>
      </c>
      <c r="G346" s="21" t="s">
        <v>1717</v>
      </c>
      <c r="H346" s="25"/>
      <c r="I346" s="25"/>
      <c r="J346" s="25"/>
      <c r="K346" s="25"/>
      <c r="L346" s="25"/>
      <c r="M346" s="22" t="s">
        <v>86</v>
      </c>
      <c r="N346" s="23">
        <v>46083</v>
      </c>
      <c r="O346" s="26" t="str">
        <f t="shared" si="15"/>
        <v>OK</v>
      </c>
      <c r="P346" s="30" t="str">
        <f t="shared" si="16"/>
        <v/>
      </c>
      <c r="Q346" s="26" t="str">
        <f t="shared" si="17"/>
        <v/>
      </c>
    </row>
    <row r="347" spans="1:17" x14ac:dyDescent="0.3">
      <c r="A347" s="33">
        <v>2223901308</v>
      </c>
      <c r="B347" s="21" t="s">
        <v>1718</v>
      </c>
      <c r="C347" s="21" t="s">
        <v>1719</v>
      </c>
      <c r="D347" s="21" t="s">
        <v>1720</v>
      </c>
      <c r="E347" s="21" t="s">
        <v>83</v>
      </c>
      <c r="F347" s="21" t="s">
        <v>1721</v>
      </c>
      <c r="G347" s="21"/>
      <c r="H347" s="25"/>
      <c r="I347" s="25"/>
      <c r="J347" s="25"/>
      <c r="K347" s="25"/>
      <c r="L347" s="25"/>
      <c r="M347" s="22" t="s">
        <v>86</v>
      </c>
      <c r="N347" s="23">
        <v>46083</v>
      </c>
      <c r="O347" s="26" t="str">
        <f t="shared" si="15"/>
        <v>OK</v>
      </c>
      <c r="P347" s="30" t="str">
        <f t="shared" si="16"/>
        <v/>
      </c>
      <c r="Q347" s="26" t="str">
        <f t="shared" si="17"/>
        <v/>
      </c>
    </row>
    <row r="348" spans="1:17" x14ac:dyDescent="0.3">
      <c r="A348" s="33">
        <v>7238701118</v>
      </c>
      <c r="B348" s="21" t="s">
        <v>1722</v>
      </c>
      <c r="C348" s="21" t="s">
        <v>1723</v>
      </c>
      <c r="D348" s="21" t="s">
        <v>1724</v>
      </c>
      <c r="E348" s="21" t="s">
        <v>83</v>
      </c>
      <c r="F348" s="21" t="s">
        <v>1654</v>
      </c>
      <c r="G348" s="21" t="s">
        <v>1725</v>
      </c>
      <c r="H348" s="25"/>
      <c r="I348" s="25"/>
      <c r="J348" s="25"/>
      <c r="K348" s="25"/>
      <c r="L348" s="25"/>
      <c r="M348" s="22" t="s">
        <v>86</v>
      </c>
      <c r="N348" s="23">
        <v>46083</v>
      </c>
      <c r="O348" s="26" t="str">
        <f t="shared" si="15"/>
        <v>OK</v>
      </c>
      <c r="P348" s="30" t="str">
        <f t="shared" si="16"/>
        <v/>
      </c>
      <c r="Q348" s="26" t="str">
        <f t="shared" si="17"/>
        <v/>
      </c>
    </row>
    <row r="349" spans="1:17" x14ac:dyDescent="0.3">
      <c r="A349" s="33">
        <v>4028138619</v>
      </c>
      <c r="B349" s="21" t="s">
        <v>1726</v>
      </c>
      <c r="C349" s="21" t="s">
        <v>1727</v>
      </c>
      <c r="D349" s="21" t="s">
        <v>1728</v>
      </c>
      <c r="E349" s="21" t="s">
        <v>190</v>
      </c>
      <c r="F349" s="21" t="s">
        <v>1729</v>
      </c>
      <c r="G349" s="21" t="s">
        <v>1730</v>
      </c>
      <c r="H349" s="25"/>
      <c r="I349" s="25"/>
      <c r="J349" s="25"/>
      <c r="K349" s="25"/>
      <c r="L349" s="25"/>
      <c r="M349" s="22" t="s">
        <v>86</v>
      </c>
      <c r="N349" s="23">
        <v>46083</v>
      </c>
      <c r="O349" s="26" t="str">
        <f t="shared" si="15"/>
        <v>OK</v>
      </c>
      <c r="P349" s="30" t="str">
        <f t="shared" si="16"/>
        <v/>
      </c>
      <c r="Q349" s="26" t="str">
        <f t="shared" si="17"/>
        <v/>
      </c>
    </row>
    <row r="350" spans="1:17" x14ac:dyDescent="0.3">
      <c r="A350" s="33">
        <v>4031476064</v>
      </c>
      <c r="B350" s="21" t="s">
        <v>1731</v>
      </c>
      <c r="C350" s="21" t="s">
        <v>1732</v>
      </c>
      <c r="D350" s="21" t="s">
        <v>1733</v>
      </c>
      <c r="E350" s="21" t="s">
        <v>190</v>
      </c>
      <c r="F350" s="21" t="s">
        <v>1734</v>
      </c>
      <c r="G350" s="21" t="s">
        <v>1735</v>
      </c>
      <c r="H350" s="25"/>
      <c r="I350" s="25"/>
      <c r="J350" s="25"/>
      <c r="K350" s="25"/>
      <c r="L350" s="25"/>
      <c r="M350" s="22" t="s">
        <v>86</v>
      </c>
      <c r="N350" s="23">
        <v>46083</v>
      </c>
      <c r="O350" s="26" t="str">
        <f t="shared" si="15"/>
        <v>OK</v>
      </c>
      <c r="P350" s="30" t="str">
        <f t="shared" si="16"/>
        <v/>
      </c>
      <c r="Q350" s="26" t="str">
        <f t="shared" si="17"/>
        <v/>
      </c>
    </row>
    <row r="351" spans="1:17" x14ac:dyDescent="0.3">
      <c r="A351" s="33">
        <v>4031151039</v>
      </c>
      <c r="B351" s="21" t="s">
        <v>1736</v>
      </c>
      <c r="C351" s="21" t="s">
        <v>1737</v>
      </c>
      <c r="D351" s="21" t="s">
        <v>1738</v>
      </c>
      <c r="E351" s="21" t="s">
        <v>247</v>
      </c>
      <c r="F351" s="21" t="s">
        <v>282</v>
      </c>
      <c r="G351" s="21"/>
      <c r="H351" s="25"/>
      <c r="I351" s="25"/>
      <c r="J351" s="25"/>
      <c r="K351" s="25"/>
      <c r="L351" s="25"/>
      <c r="M351" s="22" t="s">
        <v>86</v>
      </c>
      <c r="N351" s="23">
        <v>46083</v>
      </c>
      <c r="O351" s="26" t="str">
        <f t="shared" si="15"/>
        <v>OK</v>
      </c>
      <c r="P351" s="30" t="str">
        <f t="shared" si="16"/>
        <v/>
      </c>
      <c r="Q351" s="26" t="str">
        <f t="shared" si="17"/>
        <v/>
      </c>
    </row>
    <row r="352" spans="1:17" x14ac:dyDescent="0.3">
      <c r="A352" s="33">
        <v>4012039481</v>
      </c>
      <c r="B352" s="21" t="s">
        <v>1739</v>
      </c>
      <c r="C352" s="21" t="s">
        <v>1740</v>
      </c>
      <c r="D352" s="21" t="s">
        <v>1741</v>
      </c>
      <c r="E352" s="21" t="s">
        <v>179</v>
      </c>
      <c r="F352" s="21" t="s">
        <v>1742</v>
      </c>
      <c r="G352" s="21"/>
      <c r="H352" s="25"/>
      <c r="I352" s="25"/>
      <c r="J352" s="25"/>
      <c r="K352" s="25"/>
      <c r="L352" s="25"/>
      <c r="M352" s="22" t="s">
        <v>86</v>
      </c>
      <c r="N352" s="23">
        <v>46083</v>
      </c>
      <c r="O352" s="26" t="str">
        <f t="shared" si="15"/>
        <v>OK</v>
      </c>
      <c r="P352" s="30" t="str">
        <f t="shared" si="16"/>
        <v/>
      </c>
      <c r="Q352" s="26" t="str">
        <f t="shared" si="17"/>
        <v/>
      </c>
    </row>
    <row r="353" spans="1:17" x14ac:dyDescent="0.3">
      <c r="A353" s="33">
        <v>4038116073</v>
      </c>
      <c r="B353" s="21" t="s">
        <v>1743</v>
      </c>
      <c r="C353" s="21" t="s">
        <v>1744</v>
      </c>
      <c r="D353" s="21" t="s">
        <v>1745</v>
      </c>
      <c r="E353" s="21" t="s">
        <v>83</v>
      </c>
      <c r="F353" s="21" t="s">
        <v>96</v>
      </c>
      <c r="G353" s="21" t="s">
        <v>1746</v>
      </c>
      <c r="H353" s="25"/>
      <c r="I353" s="25"/>
      <c r="J353" s="25"/>
      <c r="K353" s="25"/>
      <c r="L353" s="25"/>
      <c r="M353" s="22" t="s">
        <v>86</v>
      </c>
      <c r="N353" s="23">
        <v>46083</v>
      </c>
      <c r="O353" s="26" t="str">
        <f t="shared" si="15"/>
        <v>OK</v>
      </c>
      <c r="P353" s="30" t="str">
        <f t="shared" si="16"/>
        <v/>
      </c>
      <c r="Q353" s="26" t="str">
        <f t="shared" si="17"/>
        <v/>
      </c>
    </row>
    <row r="354" spans="1:17" x14ac:dyDescent="0.3">
      <c r="A354" s="33">
        <v>1410303177</v>
      </c>
      <c r="B354" s="21" t="s">
        <v>1747</v>
      </c>
      <c r="C354" s="21" t="s">
        <v>1748</v>
      </c>
      <c r="D354" s="21" t="s">
        <v>1749</v>
      </c>
      <c r="E354" s="21" t="s">
        <v>394</v>
      </c>
      <c r="F354" s="21" t="s">
        <v>228</v>
      </c>
      <c r="G354" s="21" t="s">
        <v>1750</v>
      </c>
      <c r="H354" s="25"/>
      <c r="I354" s="25"/>
      <c r="J354" s="25"/>
      <c r="K354" s="25"/>
      <c r="L354" s="25"/>
      <c r="M354" s="22" t="s">
        <v>86</v>
      </c>
      <c r="N354" s="23">
        <v>46083</v>
      </c>
      <c r="O354" s="26" t="str">
        <f t="shared" si="15"/>
        <v>OK</v>
      </c>
      <c r="P354" s="30" t="str">
        <f t="shared" si="16"/>
        <v/>
      </c>
      <c r="Q354" s="26" t="str">
        <f t="shared" si="17"/>
        <v/>
      </c>
    </row>
    <row r="355" spans="1:17" x14ac:dyDescent="0.3">
      <c r="A355" s="33">
        <v>4561002156</v>
      </c>
      <c r="B355" s="21" t="s">
        <v>1751</v>
      </c>
      <c r="C355" s="21" t="s">
        <v>1752</v>
      </c>
      <c r="D355" s="21" t="s">
        <v>1753</v>
      </c>
      <c r="E355" s="21" t="s">
        <v>1754</v>
      </c>
      <c r="F355" s="21" t="s">
        <v>1755</v>
      </c>
      <c r="G355" s="21"/>
      <c r="H355" s="25"/>
      <c r="I355" s="25"/>
      <c r="J355" s="25"/>
      <c r="K355" s="25"/>
      <c r="L355" s="25"/>
      <c r="M355" s="22" t="s">
        <v>86</v>
      </c>
      <c r="N355" s="23">
        <v>46083</v>
      </c>
      <c r="O355" s="26" t="str">
        <f t="shared" si="15"/>
        <v>OK</v>
      </c>
      <c r="P355" s="30" t="str">
        <f t="shared" si="16"/>
        <v/>
      </c>
      <c r="Q355" s="26" t="str">
        <f t="shared" si="17"/>
        <v/>
      </c>
    </row>
    <row r="356" spans="1:17" x14ac:dyDescent="0.3">
      <c r="A356" s="33">
        <v>4031873560</v>
      </c>
      <c r="B356" s="21" t="s">
        <v>1756</v>
      </c>
      <c r="C356" s="21" t="s">
        <v>1757</v>
      </c>
      <c r="D356" s="21" t="s">
        <v>1758</v>
      </c>
      <c r="E356" s="21" t="s">
        <v>117</v>
      </c>
      <c r="F356" s="21" t="s">
        <v>1759</v>
      </c>
      <c r="G356" s="21" t="s">
        <v>1760</v>
      </c>
      <c r="H356" s="25"/>
      <c r="I356" s="25"/>
      <c r="J356" s="25"/>
      <c r="K356" s="25"/>
      <c r="L356" s="25"/>
      <c r="M356" s="22" t="s">
        <v>86</v>
      </c>
      <c r="N356" s="23">
        <v>46083</v>
      </c>
      <c r="O356" s="26" t="str">
        <f t="shared" si="15"/>
        <v>OK</v>
      </c>
      <c r="P356" s="30" t="str">
        <f t="shared" si="16"/>
        <v/>
      </c>
      <c r="Q356" s="26" t="str">
        <f t="shared" si="17"/>
        <v/>
      </c>
    </row>
    <row r="357" spans="1:17" x14ac:dyDescent="0.3">
      <c r="A357" s="33">
        <v>6053994448</v>
      </c>
      <c r="B357" s="21" t="s">
        <v>1761</v>
      </c>
      <c r="C357" s="21" t="s">
        <v>1762</v>
      </c>
      <c r="D357" s="21" t="s">
        <v>1763</v>
      </c>
      <c r="E357" s="21" t="s">
        <v>179</v>
      </c>
      <c r="F357" s="21" t="s">
        <v>1764</v>
      </c>
      <c r="G357" s="21" t="s">
        <v>1765</v>
      </c>
      <c r="H357" s="25"/>
      <c r="I357" s="25"/>
      <c r="J357" s="25"/>
      <c r="K357" s="25"/>
      <c r="L357" s="25"/>
      <c r="M357" s="22" t="s">
        <v>86</v>
      </c>
      <c r="N357" s="23">
        <v>46083</v>
      </c>
      <c r="O357" s="26" t="str">
        <f t="shared" si="15"/>
        <v>OK</v>
      </c>
      <c r="P357" s="30" t="str">
        <f t="shared" si="16"/>
        <v/>
      </c>
      <c r="Q357" s="26" t="str">
        <f t="shared" si="17"/>
        <v/>
      </c>
    </row>
    <row r="358" spans="1:17" x14ac:dyDescent="0.3">
      <c r="A358" s="33">
        <v>4030913158</v>
      </c>
      <c r="B358" s="21" t="s">
        <v>1766</v>
      </c>
      <c r="C358" s="21" t="s">
        <v>1767</v>
      </c>
      <c r="D358" s="21" t="s">
        <v>1768</v>
      </c>
      <c r="E358" s="21" t="s">
        <v>247</v>
      </c>
      <c r="F358" s="21" t="s">
        <v>228</v>
      </c>
      <c r="G358" s="21" t="s">
        <v>1769</v>
      </c>
      <c r="H358" s="25"/>
      <c r="I358" s="25"/>
      <c r="J358" s="25"/>
      <c r="K358" s="25"/>
      <c r="L358" s="25"/>
      <c r="M358" s="22" t="s">
        <v>86</v>
      </c>
      <c r="N358" s="23">
        <v>46083</v>
      </c>
      <c r="O358" s="26" t="str">
        <f t="shared" si="15"/>
        <v>OK</v>
      </c>
      <c r="P358" s="30" t="str">
        <f t="shared" si="16"/>
        <v/>
      </c>
      <c r="Q358" s="26" t="str">
        <f t="shared" si="17"/>
        <v/>
      </c>
    </row>
    <row r="359" spans="1:17" x14ac:dyDescent="0.3">
      <c r="A359" s="33">
        <v>4108161300</v>
      </c>
      <c r="B359" s="21" t="s">
        <v>1770</v>
      </c>
      <c r="C359" s="21" t="s">
        <v>1771</v>
      </c>
      <c r="D359" s="21" t="s">
        <v>1772</v>
      </c>
      <c r="E359" s="21" t="s">
        <v>111</v>
      </c>
      <c r="F359" s="21" t="s">
        <v>1773</v>
      </c>
      <c r="G359" s="21" t="s">
        <v>1774</v>
      </c>
      <c r="H359" s="25"/>
      <c r="I359" s="25"/>
      <c r="J359" s="25"/>
      <c r="K359" s="25"/>
      <c r="L359" s="25"/>
      <c r="M359" s="22" t="s">
        <v>86</v>
      </c>
      <c r="N359" s="23">
        <v>46083</v>
      </c>
      <c r="O359" s="26" t="str">
        <f t="shared" si="15"/>
        <v>OK</v>
      </c>
      <c r="P359" s="30" t="str">
        <f t="shared" si="16"/>
        <v/>
      </c>
      <c r="Q359" s="26" t="str">
        <f t="shared" si="17"/>
        <v/>
      </c>
    </row>
    <row r="360" spans="1:17" x14ac:dyDescent="0.3">
      <c r="A360" s="33">
        <v>4028160542</v>
      </c>
      <c r="B360" s="21" t="s">
        <v>1775</v>
      </c>
      <c r="C360" s="21" t="s">
        <v>1776</v>
      </c>
      <c r="D360" s="21" t="s">
        <v>1777</v>
      </c>
      <c r="E360" s="21" t="s">
        <v>1778</v>
      </c>
      <c r="F360" s="21" t="s">
        <v>1779</v>
      </c>
      <c r="G360" s="21" t="s">
        <v>1780</v>
      </c>
      <c r="H360" s="25"/>
      <c r="I360" s="25"/>
      <c r="J360" s="25"/>
      <c r="K360" s="25"/>
      <c r="L360" s="25"/>
      <c r="M360" s="22" t="s">
        <v>86</v>
      </c>
      <c r="N360" s="23">
        <v>46083</v>
      </c>
      <c r="O360" s="26" t="str">
        <f t="shared" si="15"/>
        <v>OK</v>
      </c>
      <c r="P360" s="30" t="str">
        <f t="shared" si="16"/>
        <v/>
      </c>
      <c r="Q360" s="26" t="str">
        <f t="shared" si="17"/>
        <v/>
      </c>
    </row>
    <row r="361" spans="1:17" x14ac:dyDescent="0.3">
      <c r="A361" s="33">
        <v>4070144754</v>
      </c>
      <c r="B361" s="21" t="s">
        <v>1781</v>
      </c>
      <c r="C361" s="21" t="s">
        <v>1782</v>
      </c>
      <c r="D361" s="21" t="s">
        <v>1783</v>
      </c>
      <c r="E361" s="21" t="s">
        <v>179</v>
      </c>
      <c r="F361" s="21" t="s">
        <v>1784</v>
      </c>
      <c r="G361" s="21" t="s">
        <v>1785</v>
      </c>
      <c r="H361" s="25"/>
      <c r="I361" s="25"/>
      <c r="J361" s="25"/>
      <c r="K361" s="25"/>
      <c r="L361" s="25"/>
      <c r="M361" s="22" t="s">
        <v>86</v>
      </c>
      <c r="N361" s="23">
        <v>46083</v>
      </c>
      <c r="O361" s="26" t="str">
        <f t="shared" si="15"/>
        <v>OK</v>
      </c>
      <c r="P361" s="30" t="str">
        <f t="shared" si="16"/>
        <v/>
      </c>
      <c r="Q361" s="26" t="str">
        <f t="shared" si="17"/>
        <v/>
      </c>
    </row>
    <row r="362" spans="1:17" x14ac:dyDescent="0.3">
      <c r="A362" s="33">
        <v>4021244357</v>
      </c>
      <c r="B362" s="21" t="s">
        <v>1786</v>
      </c>
      <c r="C362" s="21" t="s">
        <v>1787</v>
      </c>
      <c r="D362" s="21" t="s">
        <v>1788</v>
      </c>
      <c r="E362" s="21"/>
      <c r="F362" s="21"/>
      <c r="G362" s="21" t="s">
        <v>1789</v>
      </c>
      <c r="H362" s="25"/>
      <c r="I362" s="25"/>
      <c r="J362" s="25"/>
      <c r="K362" s="25"/>
      <c r="L362" s="25"/>
      <c r="M362" s="22" t="s">
        <v>86</v>
      </c>
      <c r="N362" s="23">
        <v>46083</v>
      </c>
      <c r="O362" s="26" t="str">
        <f t="shared" si="15"/>
        <v>OK</v>
      </c>
      <c r="P362" s="30" t="str">
        <f t="shared" si="16"/>
        <v/>
      </c>
      <c r="Q362" s="26" t="str">
        <f t="shared" si="17"/>
        <v/>
      </c>
    </row>
    <row r="363" spans="1:17" x14ac:dyDescent="0.3">
      <c r="A363" s="33">
        <v>4178115734</v>
      </c>
      <c r="B363" s="21" t="s">
        <v>1790</v>
      </c>
      <c r="C363" s="21" t="s">
        <v>1791</v>
      </c>
      <c r="D363" s="21" t="s">
        <v>1792</v>
      </c>
      <c r="E363" s="21" t="s">
        <v>83</v>
      </c>
      <c r="F363" s="21" t="s">
        <v>148</v>
      </c>
      <c r="G363" s="21" t="s">
        <v>1793</v>
      </c>
      <c r="H363" s="25"/>
      <c r="I363" s="25"/>
      <c r="J363" s="25"/>
      <c r="K363" s="25"/>
      <c r="L363" s="25"/>
      <c r="M363" s="22" t="s">
        <v>86</v>
      </c>
      <c r="N363" s="23">
        <v>46083</v>
      </c>
      <c r="O363" s="26" t="str">
        <f t="shared" si="15"/>
        <v>OK</v>
      </c>
      <c r="P363" s="30" t="str">
        <f t="shared" si="16"/>
        <v/>
      </c>
      <c r="Q363" s="26" t="str">
        <f t="shared" si="17"/>
        <v/>
      </c>
    </row>
    <row r="364" spans="1:17" x14ac:dyDescent="0.3">
      <c r="A364" s="33">
        <v>4022279758</v>
      </c>
      <c r="B364" s="21" t="s">
        <v>1794</v>
      </c>
      <c r="C364" s="21" t="s">
        <v>1795</v>
      </c>
      <c r="D364" s="21" t="s">
        <v>1796</v>
      </c>
      <c r="E364" s="21" t="s">
        <v>190</v>
      </c>
      <c r="F364" s="21" t="s">
        <v>1797</v>
      </c>
      <c r="G364" s="21" t="s">
        <v>1798</v>
      </c>
      <c r="H364" s="25"/>
      <c r="I364" s="25"/>
      <c r="J364" s="25"/>
      <c r="K364" s="25"/>
      <c r="L364" s="25"/>
      <c r="M364" s="22" t="s">
        <v>86</v>
      </c>
      <c r="N364" s="23">
        <v>46083</v>
      </c>
      <c r="O364" s="26" t="str">
        <f t="shared" si="15"/>
        <v>OK</v>
      </c>
      <c r="P364" s="30" t="str">
        <f t="shared" si="16"/>
        <v/>
      </c>
      <c r="Q364" s="26" t="str">
        <f t="shared" si="17"/>
        <v/>
      </c>
    </row>
    <row r="365" spans="1:17" x14ac:dyDescent="0.3">
      <c r="A365" s="33">
        <v>1068133808</v>
      </c>
      <c r="B365" s="21" t="s">
        <v>1799</v>
      </c>
      <c r="C365" s="21" t="s">
        <v>1800</v>
      </c>
      <c r="D365" s="21" t="s">
        <v>1801</v>
      </c>
      <c r="E365" s="21" t="s">
        <v>83</v>
      </c>
      <c r="F365" s="21" t="s">
        <v>1802</v>
      </c>
      <c r="G365" s="21" t="s">
        <v>1803</v>
      </c>
      <c r="H365" s="25"/>
      <c r="I365" s="25"/>
      <c r="J365" s="25"/>
      <c r="K365" s="25"/>
      <c r="L365" s="25"/>
      <c r="M365" s="22" t="s">
        <v>86</v>
      </c>
      <c r="N365" s="23">
        <v>46083</v>
      </c>
      <c r="O365" s="26" t="str">
        <f t="shared" si="15"/>
        <v>OK</v>
      </c>
      <c r="P365" s="30" t="str">
        <f t="shared" si="16"/>
        <v/>
      </c>
      <c r="Q365" s="26" t="str">
        <f t="shared" si="17"/>
        <v/>
      </c>
    </row>
    <row r="366" spans="1:17" x14ac:dyDescent="0.3">
      <c r="A366" s="33">
        <v>4030371554</v>
      </c>
      <c r="B366" s="21" t="s">
        <v>1804</v>
      </c>
      <c r="C366" s="21" t="s">
        <v>1805</v>
      </c>
      <c r="D366" s="21" t="s">
        <v>1806</v>
      </c>
      <c r="E366" s="21" t="s">
        <v>179</v>
      </c>
      <c r="F366" s="21" t="s">
        <v>1807</v>
      </c>
      <c r="G366" s="21"/>
      <c r="H366" s="25"/>
      <c r="I366" s="25"/>
      <c r="J366" s="25"/>
      <c r="K366" s="25"/>
      <c r="L366" s="25"/>
      <c r="M366" s="22" t="s">
        <v>86</v>
      </c>
      <c r="N366" s="23">
        <v>46083</v>
      </c>
      <c r="O366" s="26" t="str">
        <f t="shared" si="15"/>
        <v>OK</v>
      </c>
      <c r="P366" s="30" t="str">
        <f t="shared" si="16"/>
        <v/>
      </c>
      <c r="Q366" s="26" t="str">
        <f t="shared" si="17"/>
        <v/>
      </c>
    </row>
    <row r="367" spans="1:17" x14ac:dyDescent="0.3">
      <c r="A367" s="33">
        <v>6648102664</v>
      </c>
      <c r="B367" s="21" t="s">
        <v>1808</v>
      </c>
      <c r="C367" s="21" t="s">
        <v>1809</v>
      </c>
      <c r="D367" s="21" t="s">
        <v>1810</v>
      </c>
      <c r="E367" s="21" t="s">
        <v>1217</v>
      </c>
      <c r="F367" s="21" t="s">
        <v>1811</v>
      </c>
      <c r="G367" s="21" t="s">
        <v>1812</v>
      </c>
      <c r="H367" s="25"/>
      <c r="I367" s="25"/>
      <c r="J367" s="25"/>
      <c r="K367" s="25"/>
      <c r="L367" s="25"/>
      <c r="M367" s="22" t="s">
        <v>86</v>
      </c>
      <c r="N367" s="23">
        <v>46083</v>
      </c>
      <c r="O367" s="26" t="str">
        <f t="shared" si="15"/>
        <v>OK</v>
      </c>
      <c r="P367" s="30" t="str">
        <f t="shared" si="16"/>
        <v/>
      </c>
      <c r="Q367" s="26" t="str">
        <f t="shared" si="17"/>
        <v/>
      </c>
    </row>
    <row r="368" spans="1:17" x14ac:dyDescent="0.3">
      <c r="A368" s="33">
        <v>4028159180</v>
      </c>
      <c r="B368" s="21" t="s">
        <v>1813</v>
      </c>
      <c r="C368" s="21" t="s">
        <v>1814</v>
      </c>
      <c r="D368" s="21" t="s">
        <v>1815</v>
      </c>
      <c r="E368" s="21" t="s">
        <v>1068</v>
      </c>
      <c r="F368" s="21" t="s">
        <v>1816</v>
      </c>
      <c r="G368" s="21" t="s">
        <v>1817</v>
      </c>
      <c r="H368" s="25"/>
      <c r="I368" s="25"/>
      <c r="J368" s="25"/>
      <c r="K368" s="25"/>
      <c r="L368" s="25"/>
      <c r="M368" s="22" t="s">
        <v>86</v>
      </c>
      <c r="N368" s="23">
        <v>46083</v>
      </c>
      <c r="O368" s="26" t="str">
        <f t="shared" si="15"/>
        <v>OK</v>
      </c>
      <c r="P368" s="30" t="str">
        <f t="shared" si="16"/>
        <v/>
      </c>
      <c r="Q368" s="26" t="str">
        <f t="shared" si="17"/>
        <v/>
      </c>
    </row>
    <row r="369" spans="1:17" x14ac:dyDescent="0.3">
      <c r="A369" s="33">
        <v>7313600307</v>
      </c>
      <c r="B369" s="21" t="s">
        <v>1818</v>
      </c>
      <c r="C369" s="21" t="s">
        <v>1819</v>
      </c>
      <c r="D369" s="21" t="s">
        <v>1820</v>
      </c>
      <c r="E369" s="21" t="s">
        <v>190</v>
      </c>
      <c r="F369" s="21" t="s">
        <v>1821</v>
      </c>
      <c r="G369" s="21" t="s">
        <v>1822</v>
      </c>
      <c r="H369" s="25"/>
      <c r="I369" s="25"/>
      <c r="J369" s="25"/>
      <c r="K369" s="25"/>
      <c r="L369" s="25"/>
      <c r="M369" s="22" t="s">
        <v>86</v>
      </c>
      <c r="N369" s="23">
        <v>46083</v>
      </c>
      <c r="O369" s="26" t="str">
        <f t="shared" si="15"/>
        <v>OK</v>
      </c>
      <c r="P369" s="30" t="str">
        <f t="shared" si="16"/>
        <v/>
      </c>
      <c r="Q369" s="26" t="str">
        <f t="shared" si="17"/>
        <v/>
      </c>
    </row>
    <row r="370" spans="1:17" x14ac:dyDescent="0.3">
      <c r="A370" s="33">
        <v>6701400878</v>
      </c>
      <c r="B370" s="21" t="s">
        <v>1823</v>
      </c>
      <c r="C370" s="21" t="s">
        <v>1824</v>
      </c>
      <c r="D370" s="21" t="s">
        <v>1825</v>
      </c>
      <c r="E370" s="21" t="s">
        <v>179</v>
      </c>
      <c r="F370" s="21" t="s">
        <v>96</v>
      </c>
      <c r="G370" s="21" t="s">
        <v>1826</v>
      </c>
      <c r="H370" s="25"/>
      <c r="I370" s="25"/>
      <c r="J370" s="25"/>
      <c r="K370" s="25"/>
      <c r="L370" s="25"/>
      <c r="M370" s="22" t="s">
        <v>86</v>
      </c>
      <c r="N370" s="23">
        <v>46083</v>
      </c>
      <c r="O370" s="26" t="str">
        <f t="shared" si="15"/>
        <v>OK</v>
      </c>
      <c r="P370" s="30" t="str">
        <f t="shared" si="16"/>
        <v/>
      </c>
      <c r="Q370" s="26" t="str">
        <f t="shared" si="17"/>
        <v/>
      </c>
    </row>
    <row r="371" spans="1:17" x14ac:dyDescent="0.3">
      <c r="A371" s="33">
        <v>3080554424</v>
      </c>
      <c r="B371" s="21" t="s">
        <v>1827</v>
      </c>
      <c r="C371" s="21" t="s">
        <v>1828</v>
      </c>
      <c r="D371" s="21" t="s">
        <v>1829</v>
      </c>
      <c r="E371" s="21" t="s">
        <v>190</v>
      </c>
      <c r="F371" s="21" t="s">
        <v>1830</v>
      </c>
      <c r="G371" s="21" t="s">
        <v>1831</v>
      </c>
      <c r="H371" s="25"/>
      <c r="I371" s="25"/>
      <c r="J371" s="25"/>
      <c r="K371" s="25"/>
      <c r="L371" s="25"/>
      <c r="M371" s="22" t="s">
        <v>86</v>
      </c>
      <c r="N371" s="23">
        <v>46083</v>
      </c>
      <c r="O371" s="26" t="str">
        <f t="shared" si="15"/>
        <v>OK</v>
      </c>
      <c r="P371" s="30" t="str">
        <f t="shared" si="16"/>
        <v/>
      </c>
      <c r="Q371" s="26" t="str">
        <f t="shared" si="17"/>
        <v/>
      </c>
    </row>
    <row r="372" spans="1:17" x14ac:dyDescent="0.3">
      <c r="A372" s="33">
        <v>6892101980</v>
      </c>
      <c r="B372" s="21" t="s">
        <v>1832</v>
      </c>
      <c r="C372" s="21" t="s">
        <v>1833</v>
      </c>
      <c r="D372" s="21" t="s">
        <v>1834</v>
      </c>
      <c r="E372" s="21" t="s">
        <v>83</v>
      </c>
      <c r="F372" s="21" t="s">
        <v>96</v>
      </c>
      <c r="G372" s="21" t="s">
        <v>1835</v>
      </c>
      <c r="H372" s="25"/>
      <c r="I372" s="25"/>
      <c r="J372" s="25"/>
      <c r="K372" s="25"/>
      <c r="L372" s="25"/>
      <c r="M372" s="22" t="s">
        <v>86</v>
      </c>
      <c r="N372" s="23">
        <v>46083</v>
      </c>
      <c r="O372" s="26" t="str">
        <f t="shared" si="15"/>
        <v>OK</v>
      </c>
      <c r="P372" s="30" t="str">
        <f t="shared" si="16"/>
        <v/>
      </c>
      <c r="Q372" s="26" t="str">
        <f t="shared" si="17"/>
        <v/>
      </c>
    </row>
    <row r="373" spans="1:17" x14ac:dyDescent="0.3">
      <c r="A373" s="33">
        <v>6784600311</v>
      </c>
      <c r="B373" s="21" t="s">
        <v>1836</v>
      </c>
      <c r="C373" s="21" t="s">
        <v>1837</v>
      </c>
      <c r="D373" s="21" t="s">
        <v>1838</v>
      </c>
      <c r="E373" s="21" t="s">
        <v>190</v>
      </c>
      <c r="F373" s="21" t="s">
        <v>1839</v>
      </c>
      <c r="G373" s="21"/>
      <c r="H373" s="25"/>
      <c r="I373" s="25"/>
      <c r="J373" s="25"/>
      <c r="K373" s="25"/>
      <c r="L373" s="25"/>
      <c r="M373" s="22" t="s">
        <v>86</v>
      </c>
      <c r="N373" s="23">
        <v>46083</v>
      </c>
      <c r="O373" s="26" t="str">
        <f t="shared" si="15"/>
        <v>OK</v>
      </c>
      <c r="P373" s="30" t="str">
        <f t="shared" si="16"/>
        <v/>
      </c>
      <c r="Q373" s="26" t="str">
        <f t="shared" si="17"/>
        <v/>
      </c>
    </row>
    <row r="374" spans="1:17" x14ac:dyDescent="0.3">
      <c r="A374" s="33">
        <v>4028138720</v>
      </c>
      <c r="B374" s="21" t="s">
        <v>1840</v>
      </c>
      <c r="C374" s="21" t="s">
        <v>1841</v>
      </c>
      <c r="D374" s="21" t="s">
        <v>1842</v>
      </c>
      <c r="E374" s="21" t="s">
        <v>83</v>
      </c>
      <c r="F374" s="21" t="s">
        <v>96</v>
      </c>
      <c r="G374" s="21" t="s">
        <v>1843</v>
      </c>
      <c r="H374" s="25"/>
      <c r="I374" s="25"/>
      <c r="J374" s="25"/>
      <c r="K374" s="25"/>
      <c r="L374" s="25"/>
      <c r="M374" s="22" t="s">
        <v>86</v>
      </c>
      <c r="N374" s="23">
        <v>46083</v>
      </c>
      <c r="O374" s="26" t="str">
        <f t="shared" si="15"/>
        <v>OK</v>
      </c>
      <c r="P374" s="30" t="str">
        <f t="shared" si="16"/>
        <v/>
      </c>
      <c r="Q374" s="26" t="str">
        <f t="shared" si="17"/>
        <v/>
      </c>
    </row>
    <row r="375" spans="1:17" x14ac:dyDescent="0.3">
      <c r="A375" s="33">
        <v>4078120434</v>
      </c>
      <c r="B375" s="21" t="s">
        <v>1844</v>
      </c>
      <c r="C375" s="21" t="s">
        <v>1845</v>
      </c>
      <c r="D375" s="21" t="s">
        <v>1846</v>
      </c>
      <c r="E375" s="21" t="s">
        <v>537</v>
      </c>
      <c r="F375" s="21" t="s">
        <v>1847</v>
      </c>
      <c r="G375" s="21" t="s">
        <v>1848</v>
      </c>
      <c r="H375" s="25"/>
      <c r="I375" s="25"/>
      <c r="J375" s="25"/>
      <c r="K375" s="25"/>
      <c r="L375" s="25"/>
      <c r="M375" s="22" t="s">
        <v>86</v>
      </c>
      <c r="N375" s="23">
        <v>46083</v>
      </c>
      <c r="O375" s="26" t="str">
        <f t="shared" si="15"/>
        <v>OK</v>
      </c>
      <c r="P375" s="30" t="str">
        <f t="shared" si="16"/>
        <v/>
      </c>
      <c r="Q375" s="26" t="str">
        <f t="shared" si="17"/>
        <v/>
      </c>
    </row>
    <row r="376" spans="1:17" x14ac:dyDescent="0.3">
      <c r="A376" s="33">
        <v>4038177895</v>
      </c>
      <c r="B376" s="21" t="s">
        <v>1849</v>
      </c>
      <c r="C376" s="21" t="s">
        <v>1850</v>
      </c>
      <c r="D376" s="21" t="s">
        <v>1851</v>
      </c>
      <c r="E376" s="21" t="s">
        <v>83</v>
      </c>
      <c r="F376" s="21"/>
      <c r="G376" s="21" t="s">
        <v>1852</v>
      </c>
      <c r="H376" s="25"/>
      <c r="I376" s="25"/>
      <c r="J376" s="25"/>
      <c r="K376" s="25"/>
      <c r="L376" s="25"/>
      <c r="M376" s="22" t="s">
        <v>86</v>
      </c>
      <c r="N376" s="23">
        <v>46083</v>
      </c>
      <c r="O376" s="26" t="str">
        <f t="shared" si="15"/>
        <v>OK</v>
      </c>
      <c r="P376" s="30" t="str">
        <f t="shared" si="16"/>
        <v/>
      </c>
      <c r="Q376" s="26" t="str">
        <f t="shared" si="17"/>
        <v/>
      </c>
    </row>
    <row r="377" spans="1:17" x14ac:dyDescent="0.3">
      <c r="A377" s="33">
        <v>4030629187</v>
      </c>
      <c r="B377" s="21" t="s">
        <v>1853</v>
      </c>
      <c r="C377" s="21" t="s">
        <v>1854</v>
      </c>
      <c r="D377" s="21" t="s">
        <v>1855</v>
      </c>
      <c r="E377" s="21" t="s">
        <v>1856</v>
      </c>
      <c r="F377" s="21" t="s">
        <v>1857</v>
      </c>
      <c r="G377" s="21"/>
      <c r="H377" s="25"/>
      <c r="I377" s="25"/>
      <c r="J377" s="25"/>
      <c r="K377" s="25"/>
      <c r="L377" s="25"/>
      <c r="M377" s="22" t="s">
        <v>86</v>
      </c>
      <c r="N377" s="23">
        <v>46083</v>
      </c>
      <c r="O377" s="26" t="str">
        <f t="shared" si="15"/>
        <v>OK</v>
      </c>
      <c r="P377" s="30" t="str">
        <f t="shared" si="16"/>
        <v/>
      </c>
      <c r="Q377" s="26" t="str">
        <f t="shared" si="17"/>
        <v/>
      </c>
    </row>
    <row r="378" spans="1:17" x14ac:dyDescent="0.3">
      <c r="A378" s="33">
        <v>7520203043</v>
      </c>
      <c r="B378" s="21" t="s">
        <v>1858</v>
      </c>
      <c r="C378" s="21" t="s">
        <v>1859</v>
      </c>
      <c r="D378" s="21" t="s">
        <v>1860</v>
      </c>
      <c r="E378" s="21" t="s">
        <v>83</v>
      </c>
      <c r="F378" s="21" t="s">
        <v>96</v>
      </c>
      <c r="G378" s="21"/>
      <c r="H378" s="25"/>
      <c r="I378" s="25"/>
      <c r="J378" s="25"/>
      <c r="K378" s="25"/>
      <c r="L378" s="25"/>
      <c r="M378" s="22" t="s">
        <v>86</v>
      </c>
      <c r="N378" s="23">
        <v>46083</v>
      </c>
      <c r="O378" s="26" t="str">
        <f t="shared" si="15"/>
        <v>OK</v>
      </c>
      <c r="P378" s="30" t="str">
        <f t="shared" si="16"/>
        <v/>
      </c>
      <c r="Q378" s="26" t="str">
        <f t="shared" si="17"/>
        <v/>
      </c>
    </row>
    <row r="379" spans="1:17" x14ac:dyDescent="0.3">
      <c r="A379" s="33">
        <v>3763800759</v>
      </c>
      <c r="B379" s="21" t="s">
        <v>1861</v>
      </c>
      <c r="C379" s="21" t="s">
        <v>1862</v>
      </c>
      <c r="D379" s="21" t="s">
        <v>1863</v>
      </c>
      <c r="E379" s="21" t="s">
        <v>179</v>
      </c>
      <c r="F379" s="21" t="s">
        <v>1864</v>
      </c>
      <c r="G379" s="21" t="s">
        <v>1865</v>
      </c>
      <c r="H379" s="25"/>
      <c r="I379" s="25"/>
      <c r="J379" s="25"/>
      <c r="K379" s="25"/>
      <c r="L379" s="25"/>
      <c r="M379" s="22" t="s">
        <v>86</v>
      </c>
      <c r="N379" s="23">
        <v>46083</v>
      </c>
      <c r="O379" s="26" t="str">
        <f t="shared" si="15"/>
        <v>OK</v>
      </c>
      <c r="P379" s="30" t="str">
        <f t="shared" si="16"/>
        <v/>
      </c>
      <c r="Q379" s="26" t="str">
        <f t="shared" si="17"/>
        <v/>
      </c>
    </row>
    <row r="380" spans="1:17" x14ac:dyDescent="0.3">
      <c r="A380" s="33">
        <v>4030598746</v>
      </c>
      <c r="B380" s="21" t="s">
        <v>1866</v>
      </c>
      <c r="C380" s="21" t="s">
        <v>1867</v>
      </c>
      <c r="D380" s="21" t="s">
        <v>1868</v>
      </c>
      <c r="E380" s="21" t="s">
        <v>394</v>
      </c>
      <c r="F380" s="21" t="s">
        <v>1869</v>
      </c>
      <c r="G380" s="21" t="s">
        <v>1870</v>
      </c>
      <c r="H380" s="25"/>
      <c r="I380" s="25"/>
      <c r="J380" s="25"/>
      <c r="K380" s="25"/>
      <c r="L380" s="25"/>
      <c r="M380" s="22" t="s">
        <v>86</v>
      </c>
      <c r="N380" s="23">
        <v>46083</v>
      </c>
      <c r="O380" s="26" t="str">
        <f t="shared" si="15"/>
        <v>OK</v>
      </c>
      <c r="P380" s="30" t="str">
        <f t="shared" si="16"/>
        <v/>
      </c>
      <c r="Q380" s="26" t="str">
        <f t="shared" si="17"/>
        <v/>
      </c>
    </row>
    <row r="381" spans="1:17" x14ac:dyDescent="0.3">
      <c r="A381" s="33">
        <v>4070343079</v>
      </c>
      <c r="B381" s="21" t="s">
        <v>1871</v>
      </c>
      <c r="C381" s="21" t="s">
        <v>1872</v>
      </c>
      <c r="D381" s="21" t="s">
        <v>1873</v>
      </c>
      <c r="E381" s="21" t="s">
        <v>190</v>
      </c>
      <c r="F381" s="21" t="s">
        <v>1874</v>
      </c>
      <c r="G381" s="21"/>
      <c r="H381" s="25"/>
      <c r="I381" s="25"/>
      <c r="J381" s="25"/>
      <c r="K381" s="25"/>
      <c r="L381" s="25"/>
      <c r="M381" s="22" t="s">
        <v>86</v>
      </c>
      <c r="N381" s="23">
        <v>46083</v>
      </c>
      <c r="O381" s="26" t="str">
        <f t="shared" si="15"/>
        <v>OK</v>
      </c>
      <c r="P381" s="30" t="str">
        <f t="shared" si="16"/>
        <v/>
      </c>
      <c r="Q381" s="26" t="str">
        <f t="shared" si="17"/>
        <v/>
      </c>
    </row>
    <row r="382" spans="1:17" x14ac:dyDescent="0.3">
      <c r="A382" s="33">
        <v>1348670948</v>
      </c>
      <c r="B382" s="21" t="s">
        <v>1875</v>
      </c>
      <c r="C382" s="21" t="s">
        <v>1876</v>
      </c>
      <c r="D382" s="21" t="s">
        <v>1877</v>
      </c>
      <c r="E382" s="21" t="s">
        <v>83</v>
      </c>
      <c r="F382" s="21" t="s">
        <v>148</v>
      </c>
      <c r="G382" s="21" t="s">
        <v>1878</v>
      </c>
      <c r="H382" s="25"/>
      <c r="I382" s="25"/>
      <c r="J382" s="25"/>
      <c r="K382" s="25"/>
      <c r="L382" s="25"/>
      <c r="M382" s="22" t="s">
        <v>86</v>
      </c>
      <c r="N382" s="23">
        <v>46083</v>
      </c>
      <c r="O382" s="26" t="str">
        <f t="shared" si="15"/>
        <v>OK</v>
      </c>
      <c r="P382" s="30" t="str">
        <f t="shared" si="16"/>
        <v/>
      </c>
      <c r="Q382" s="26" t="str">
        <f t="shared" si="17"/>
        <v/>
      </c>
    </row>
    <row r="383" spans="1:17" x14ac:dyDescent="0.3">
      <c r="A383" s="33">
        <v>2018701807</v>
      </c>
      <c r="B383" s="21" t="s">
        <v>1879</v>
      </c>
      <c r="C383" s="21" t="s">
        <v>1880</v>
      </c>
      <c r="D383" s="21" t="s">
        <v>1881</v>
      </c>
      <c r="E383" s="21" t="s">
        <v>83</v>
      </c>
      <c r="F383" s="21" t="s">
        <v>1882</v>
      </c>
      <c r="G383" s="21" t="s">
        <v>1883</v>
      </c>
      <c r="H383" s="25"/>
      <c r="I383" s="25"/>
      <c r="J383" s="25"/>
      <c r="K383" s="25"/>
      <c r="L383" s="25"/>
      <c r="M383" s="22" t="s">
        <v>86</v>
      </c>
      <c r="N383" s="23">
        <v>46083</v>
      </c>
      <c r="O383" s="26" t="str">
        <f t="shared" si="15"/>
        <v>OK</v>
      </c>
      <c r="P383" s="30" t="str">
        <f t="shared" si="16"/>
        <v/>
      </c>
      <c r="Q383" s="26" t="str">
        <f t="shared" si="17"/>
        <v/>
      </c>
    </row>
    <row r="384" spans="1:17" x14ac:dyDescent="0.3">
      <c r="A384" s="33">
        <v>4038128190</v>
      </c>
      <c r="B384" s="21" t="s">
        <v>1884</v>
      </c>
      <c r="C384" s="21" t="s">
        <v>1885</v>
      </c>
      <c r="D384" s="21" t="s">
        <v>1886</v>
      </c>
      <c r="E384" s="21" t="s">
        <v>83</v>
      </c>
      <c r="F384" s="21" t="s">
        <v>138</v>
      </c>
      <c r="G384" s="21" t="s">
        <v>1887</v>
      </c>
      <c r="H384" s="25"/>
      <c r="I384" s="25"/>
      <c r="J384" s="25"/>
      <c r="K384" s="25"/>
      <c r="L384" s="25"/>
      <c r="M384" s="22" t="s">
        <v>86</v>
      </c>
      <c r="N384" s="23">
        <v>46083</v>
      </c>
      <c r="O384" s="26" t="str">
        <f t="shared" si="15"/>
        <v>OK</v>
      </c>
      <c r="P384" s="30" t="str">
        <f t="shared" si="16"/>
        <v/>
      </c>
      <c r="Q384" s="26" t="str">
        <f t="shared" si="17"/>
        <v/>
      </c>
    </row>
    <row r="385" spans="1:17" x14ac:dyDescent="0.3">
      <c r="A385" s="33">
        <v>5228100829</v>
      </c>
      <c r="B385" s="21" t="s">
        <v>1888</v>
      </c>
      <c r="C385" s="21" t="s">
        <v>1889</v>
      </c>
      <c r="D385" s="21" t="s">
        <v>1890</v>
      </c>
      <c r="E385" s="21" t="s">
        <v>83</v>
      </c>
      <c r="F385" s="21" t="s">
        <v>1891</v>
      </c>
      <c r="G385" s="21" t="s">
        <v>1892</v>
      </c>
      <c r="H385" s="25"/>
      <c r="I385" s="25"/>
      <c r="J385" s="25"/>
      <c r="K385" s="25"/>
      <c r="L385" s="25"/>
      <c r="M385" s="22" t="s">
        <v>86</v>
      </c>
      <c r="N385" s="23">
        <v>46083</v>
      </c>
      <c r="O385" s="26" t="str">
        <f t="shared" si="15"/>
        <v>OK</v>
      </c>
      <c r="P385" s="30" t="str">
        <f t="shared" si="16"/>
        <v/>
      </c>
      <c r="Q385" s="26" t="str">
        <f t="shared" si="17"/>
        <v/>
      </c>
    </row>
    <row r="386" spans="1:17" x14ac:dyDescent="0.3">
      <c r="A386" s="33">
        <v>4108124566</v>
      </c>
      <c r="B386" s="21" t="s">
        <v>1893</v>
      </c>
      <c r="C386" s="21" t="s">
        <v>1894</v>
      </c>
      <c r="D386" s="27" t="s">
        <v>1895</v>
      </c>
      <c r="E386" s="21" t="s">
        <v>83</v>
      </c>
      <c r="F386" s="21" t="s">
        <v>1896</v>
      </c>
      <c r="G386" s="21" t="s">
        <v>1897</v>
      </c>
      <c r="H386" s="25"/>
      <c r="I386" s="25"/>
      <c r="J386" s="25"/>
      <c r="K386" s="25"/>
      <c r="L386" s="25"/>
      <c r="M386" s="22" t="s">
        <v>86</v>
      </c>
      <c r="N386" s="23">
        <v>46083</v>
      </c>
      <c r="O386" s="26" t="str">
        <f t="shared" ref="O386:O449" si="18">IF(A386="","",IFERROR(IF(AND(LEN(A386)=10,NOT(ISERROR(VALUE(A386)))),"OK","확인"),"확인"))</f>
        <v>OK</v>
      </c>
      <c r="P386" s="30" t="str">
        <f t="shared" ref="P386:P449" si="19">IF(A386="","",IF(COUNTIF($A$2:$A$1946,A386)&gt;1,"중복",""))</f>
        <v/>
      </c>
      <c r="Q386" s="26" t="str">
        <f t="shared" ref="Q386:Q449" si="20">IF(G386="","",IF(ISNUMBER(SEARCH("@",G386)),"","확인"))</f>
        <v/>
      </c>
    </row>
    <row r="387" spans="1:17" x14ac:dyDescent="0.3">
      <c r="A387" s="33">
        <v>4022027538</v>
      </c>
      <c r="B387" s="21" t="s">
        <v>1898</v>
      </c>
      <c r="C387" s="21" t="s">
        <v>1899</v>
      </c>
      <c r="D387" s="21" t="s">
        <v>1900</v>
      </c>
      <c r="E387" s="21" t="s">
        <v>179</v>
      </c>
      <c r="F387" s="21" t="s">
        <v>191</v>
      </c>
      <c r="G387" s="21" t="s">
        <v>1901</v>
      </c>
      <c r="H387" s="25"/>
      <c r="I387" s="25"/>
      <c r="J387" s="25"/>
      <c r="K387" s="25"/>
      <c r="L387" s="25"/>
      <c r="M387" s="22" t="s">
        <v>86</v>
      </c>
      <c r="N387" s="23">
        <v>46083</v>
      </c>
      <c r="O387" s="26" t="str">
        <f t="shared" si="18"/>
        <v>OK</v>
      </c>
      <c r="P387" s="30" t="str">
        <f t="shared" si="19"/>
        <v/>
      </c>
      <c r="Q387" s="26" t="str">
        <f t="shared" si="20"/>
        <v/>
      </c>
    </row>
    <row r="388" spans="1:17" x14ac:dyDescent="0.3">
      <c r="A388" s="33">
        <v>7471402031</v>
      </c>
      <c r="B388" s="21" t="s">
        <v>1902</v>
      </c>
      <c r="C388" s="21" t="s">
        <v>1903</v>
      </c>
      <c r="D388" s="21" t="s">
        <v>1904</v>
      </c>
      <c r="E388" s="21" t="s">
        <v>346</v>
      </c>
      <c r="F388" s="21" t="s">
        <v>1905</v>
      </c>
      <c r="G388" s="21" t="s">
        <v>1906</v>
      </c>
      <c r="H388" s="25"/>
      <c r="I388" s="25"/>
      <c r="J388" s="25"/>
      <c r="K388" s="25"/>
      <c r="L388" s="25"/>
      <c r="M388" s="22" t="s">
        <v>86</v>
      </c>
      <c r="N388" s="23">
        <v>46083</v>
      </c>
      <c r="O388" s="26" t="str">
        <f t="shared" si="18"/>
        <v>OK</v>
      </c>
      <c r="P388" s="30" t="str">
        <f t="shared" si="19"/>
        <v/>
      </c>
      <c r="Q388" s="26" t="str">
        <f t="shared" si="20"/>
        <v/>
      </c>
    </row>
    <row r="389" spans="1:17" x14ac:dyDescent="0.3">
      <c r="A389" s="33">
        <v>4038156963</v>
      </c>
      <c r="B389" s="21" t="s">
        <v>1907</v>
      </c>
      <c r="C389" s="21" t="s">
        <v>1908</v>
      </c>
      <c r="D389" s="21" t="s">
        <v>1909</v>
      </c>
      <c r="E389" s="21" t="s">
        <v>647</v>
      </c>
      <c r="F389" s="21" t="s">
        <v>1910</v>
      </c>
      <c r="G389" s="21" t="s">
        <v>1911</v>
      </c>
      <c r="H389" s="25"/>
      <c r="I389" s="25"/>
      <c r="J389" s="25"/>
      <c r="K389" s="25"/>
      <c r="L389" s="25"/>
      <c r="M389" s="22" t="s">
        <v>86</v>
      </c>
      <c r="N389" s="23">
        <v>46083</v>
      </c>
      <c r="O389" s="26" t="str">
        <f t="shared" si="18"/>
        <v>OK</v>
      </c>
      <c r="P389" s="30" t="str">
        <f t="shared" si="19"/>
        <v/>
      </c>
      <c r="Q389" s="26" t="str">
        <f t="shared" si="20"/>
        <v/>
      </c>
    </row>
    <row r="390" spans="1:17" x14ac:dyDescent="0.3">
      <c r="A390" s="33">
        <v>4038149929</v>
      </c>
      <c r="B390" s="21" t="s">
        <v>1912</v>
      </c>
      <c r="C390" s="21" t="s">
        <v>1913</v>
      </c>
      <c r="D390" s="21" t="s">
        <v>1914</v>
      </c>
      <c r="E390" s="21" t="s">
        <v>414</v>
      </c>
      <c r="F390" s="21" t="s">
        <v>1915</v>
      </c>
      <c r="G390" s="21" t="s">
        <v>1916</v>
      </c>
      <c r="H390" s="25"/>
      <c r="I390" s="25"/>
      <c r="J390" s="25"/>
      <c r="K390" s="25"/>
      <c r="L390" s="25"/>
      <c r="M390" s="22" t="s">
        <v>86</v>
      </c>
      <c r="N390" s="23">
        <v>46083</v>
      </c>
      <c r="O390" s="26" t="str">
        <f t="shared" si="18"/>
        <v>OK</v>
      </c>
      <c r="P390" s="30" t="str">
        <f t="shared" si="19"/>
        <v/>
      </c>
      <c r="Q390" s="26" t="str">
        <f t="shared" si="20"/>
        <v/>
      </c>
    </row>
    <row r="391" spans="1:17" x14ac:dyDescent="0.3">
      <c r="A391" s="33">
        <v>7661201908</v>
      </c>
      <c r="B391" s="21" t="s">
        <v>1917</v>
      </c>
      <c r="C391" s="21" t="s">
        <v>1918</v>
      </c>
      <c r="D391" s="21" t="s">
        <v>1919</v>
      </c>
      <c r="E391" s="21" t="s">
        <v>179</v>
      </c>
      <c r="F391" s="21" t="s">
        <v>1920</v>
      </c>
      <c r="G391" s="21" t="s">
        <v>1921</v>
      </c>
      <c r="H391" s="25"/>
      <c r="I391" s="25"/>
      <c r="J391" s="25"/>
      <c r="K391" s="25"/>
      <c r="L391" s="25"/>
      <c r="M391" s="22" t="s">
        <v>86</v>
      </c>
      <c r="N391" s="23">
        <v>46083</v>
      </c>
      <c r="O391" s="26" t="str">
        <f t="shared" si="18"/>
        <v>OK</v>
      </c>
      <c r="P391" s="30" t="str">
        <f t="shared" si="19"/>
        <v/>
      </c>
      <c r="Q391" s="26" t="str">
        <f t="shared" si="20"/>
        <v/>
      </c>
    </row>
    <row r="392" spans="1:17" x14ac:dyDescent="0.3">
      <c r="A392" s="33">
        <v>3080252196</v>
      </c>
      <c r="B392" s="21" t="s">
        <v>1922</v>
      </c>
      <c r="C392" s="21" t="s">
        <v>1923</v>
      </c>
      <c r="D392" s="21" t="s">
        <v>1924</v>
      </c>
      <c r="E392" s="21" t="s">
        <v>190</v>
      </c>
      <c r="F392" s="21" t="s">
        <v>228</v>
      </c>
      <c r="G392" s="21" t="s">
        <v>1925</v>
      </c>
      <c r="H392" s="25"/>
      <c r="I392" s="25"/>
      <c r="J392" s="25"/>
      <c r="K392" s="25"/>
      <c r="L392" s="25"/>
      <c r="M392" s="22" t="s">
        <v>86</v>
      </c>
      <c r="N392" s="23">
        <v>46083</v>
      </c>
      <c r="O392" s="26" t="str">
        <f t="shared" si="18"/>
        <v>OK</v>
      </c>
      <c r="P392" s="30" t="str">
        <f t="shared" si="19"/>
        <v/>
      </c>
      <c r="Q392" s="26" t="str">
        <f t="shared" si="20"/>
        <v/>
      </c>
    </row>
    <row r="393" spans="1:17" x14ac:dyDescent="0.3">
      <c r="A393" s="33">
        <v>1370145058</v>
      </c>
      <c r="B393" s="21" t="s">
        <v>1926</v>
      </c>
      <c r="C393" s="21" t="s">
        <v>1927</v>
      </c>
      <c r="D393" s="21" t="s">
        <v>1928</v>
      </c>
      <c r="E393" s="21" t="s">
        <v>366</v>
      </c>
      <c r="F393" s="21" t="s">
        <v>367</v>
      </c>
      <c r="G393" s="21" t="s">
        <v>1929</v>
      </c>
      <c r="H393" s="25"/>
      <c r="I393" s="25"/>
      <c r="J393" s="25"/>
      <c r="K393" s="25"/>
      <c r="L393" s="25"/>
      <c r="M393" s="22" t="s">
        <v>86</v>
      </c>
      <c r="N393" s="23">
        <v>46083</v>
      </c>
      <c r="O393" s="26" t="str">
        <f t="shared" si="18"/>
        <v>OK</v>
      </c>
      <c r="P393" s="30" t="str">
        <f t="shared" si="19"/>
        <v/>
      </c>
      <c r="Q393" s="26" t="str">
        <f t="shared" si="20"/>
        <v/>
      </c>
    </row>
    <row r="394" spans="1:17" x14ac:dyDescent="0.3">
      <c r="A394" s="33">
        <v>4048122485</v>
      </c>
      <c r="B394" s="21" t="s">
        <v>1930</v>
      </c>
      <c r="C394" s="21" t="s">
        <v>1931</v>
      </c>
      <c r="D394" s="21" t="s">
        <v>1932</v>
      </c>
      <c r="E394" s="21" t="s">
        <v>117</v>
      </c>
      <c r="F394" s="21" t="s">
        <v>1933</v>
      </c>
      <c r="G394" s="21" t="s">
        <v>1934</v>
      </c>
      <c r="H394" s="25"/>
      <c r="I394" s="25"/>
      <c r="J394" s="25"/>
      <c r="K394" s="25"/>
      <c r="L394" s="25"/>
      <c r="M394" s="22" t="s">
        <v>86</v>
      </c>
      <c r="N394" s="23">
        <v>46083</v>
      </c>
      <c r="O394" s="26" t="str">
        <f t="shared" si="18"/>
        <v>OK</v>
      </c>
      <c r="P394" s="30" t="str">
        <f t="shared" si="19"/>
        <v/>
      </c>
      <c r="Q394" s="26" t="str">
        <f t="shared" si="20"/>
        <v/>
      </c>
    </row>
    <row r="395" spans="1:17" x14ac:dyDescent="0.3">
      <c r="A395" s="33">
        <v>1871600254</v>
      </c>
      <c r="B395" s="21" t="s">
        <v>1935</v>
      </c>
      <c r="C395" s="21" t="s">
        <v>1936</v>
      </c>
      <c r="D395" s="21" t="s">
        <v>1937</v>
      </c>
      <c r="E395" s="21" t="s">
        <v>190</v>
      </c>
      <c r="F395" s="21" t="s">
        <v>1938</v>
      </c>
      <c r="G395" s="21" t="s">
        <v>1939</v>
      </c>
      <c r="H395" s="25"/>
      <c r="I395" s="25"/>
      <c r="J395" s="25"/>
      <c r="K395" s="25"/>
      <c r="L395" s="25"/>
      <c r="M395" s="22" t="s">
        <v>86</v>
      </c>
      <c r="N395" s="23">
        <v>46083</v>
      </c>
      <c r="O395" s="26" t="str">
        <f t="shared" si="18"/>
        <v>OK</v>
      </c>
      <c r="P395" s="30" t="str">
        <f t="shared" si="19"/>
        <v/>
      </c>
      <c r="Q395" s="26" t="str">
        <f t="shared" si="20"/>
        <v/>
      </c>
    </row>
    <row r="396" spans="1:17" x14ac:dyDescent="0.3">
      <c r="A396" s="33">
        <v>1138189111</v>
      </c>
      <c r="B396" s="21" t="s">
        <v>1940</v>
      </c>
      <c r="C396" s="21" t="s">
        <v>1941</v>
      </c>
      <c r="D396" s="21" t="s">
        <v>1942</v>
      </c>
      <c r="E396" s="21" t="s">
        <v>83</v>
      </c>
      <c r="F396" s="21" t="s">
        <v>242</v>
      </c>
      <c r="G396" s="21" t="s">
        <v>1943</v>
      </c>
      <c r="H396" s="25"/>
      <c r="I396" s="25"/>
      <c r="J396" s="25"/>
      <c r="K396" s="25"/>
      <c r="L396" s="25"/>
      <c r="M396" s="22" t="s">
        <v>86</v>
      </c>
      <c r="N396" s="23">
        <v>46083</v>
      </c>
      <c r="O396" s="26" t="str">
        <f t="shared" si="18"/>
        <v>OK</v>
      </c>
      <c r="P396" s="30" t="str">
        <f t="shared" si="19"/>
        <v/>
      </c>
      <c r="Q396" s="26" t="str">
        <f t="shared" si="20"/>
        <v/>
      </c>
    </row>
    <row r="397" spans="1:17" x14ac:dyDescent="0.3">
      <c r="A397" s="33">
        <v>5083700776</v>
      </c>
      <c r="B397" s="21" t="s">
        <v>1944</v>
      </c>
      <c r="C397" s="21" t="s">
        <v>1945</v>
      </c>
      <c r="D397" s="21" t="s">
        <v>1946</v>
      </c>
      <c r="E397" s="21" t="s">
        <v>1947</v>
      </c>
      <c r="F397" s="21" t="s">
        <v>1948</v>
      </c>
      <c r="G397" s="21"/>
      <c r="H397" s="25"/>
      <c r="I397" s="25"/>
      <c r="J397" s="25"/>
      <c r="K397" s="25"/>
      <c r="L397" s="25"/>
      <c r="M397" s="22" t="s">
        <v>86</v>
      </c>
      <c r="N397" s="23">
        <v>46083</v>
      </c>
      <c r="O397" s="26" t="str">
        <f t="shared" si="18"/>
        <v>OK</v>
      </c>
      <c r="P397" s="30" t="str">
        <f t="shared" si="19"/>
        <v/>
      </c>
      <c r="Q397" s="26" t="str">
        <f t="shared" si="20"/>
        <v/>
      </c>
    </row>
    <row r="398" spans="1:17" x14ac:dyDescent="0.3">
      <c r="A398" s="33">
        <v>4038151065</v>
      </c>
      <c r="B398" s="21" t="s">
        <v>1949</v>
      </c>
      <c r="C398" s="21" t="s">
        <v>1950</v>
      </c>
      <c r="D398" s="21" t="s">
        <v>1951</v>
      </c>
      <c r="E398" s="21" t="s">
        <v>190</v>
      </c>
      <c r="F398" s="21" t="s">
        <v>1952</v>
      </c>
      <c r="G398" s="21" t="s">
        <v>1953</v>
      </c>
      <c r="H398" s="25"/>
      <c r="I398" s="25"/>
      <c r="J398" s="25"/>
      <c r="K398" s="25"/>
      <c r="L398" s="25"/>
      <c r="M398" s="22" t="s">
        <v>86</v>
      </c>
      <c r="N398" s="23">
        <v>46083</v>
      </c>
      <c r="O398" s="26" t="str">
        <f t="shared" si="18"/>
        <v>OK</v>
      </c>
      <c r="P398" s="30" t="str">
        <f t="shared" si="19"/>
        <v/>
      </c>
      <c r="Q398" s="26" t="str">
        <f t="shared" si="20"/>
        <v/>
      </c>
    </row>
    <row r="399" spans="1:17" x14ac:dyDescent="0.3">
      <c r="A399" s="33">
        <v>4031542426</v>
      </c>
      <c r="B399" s="21" t="s">
        <v>1954</v>
      </c>
      <c r="C399" s="21" t="s">
        <v>1955</v>
      </c>
      <c r="D399" s="21" t="s">
        <v>1956</v>
      </c>
      <c r="E399" s="21" t="s">
        <v>190</v>
      </c>
      <c r="F399" s="21" t="s">
        <v>1957</v>
      </c>
      <c r="G399" s="21" t="s">
        <v>1958</v>
      </c>
      <c r="H399" s="25"/>
      <c r="I399" s="25"/>
      <c r="J399" s="25"/>
      <c r="K399" s="25"/>
      <c r="L399" s="25"/>
      <c r="M399" s="22" t="s">
        <v>86</v>
      </c>
      <c r="N399" s="23">
        <v>46083</v>
      </c>
      <c r="O399" s="26" t="str">
        <f t="shared" si="18"/>
        <v>OK</v>
      </c>
      <c r="P399" s="30" t="str">
        <f t="shared" si="19"/>
        <v/>
      </c>
      <c r="Q399" s="26" t="str">
        <f t="shared" si="20"/>
        <v/>
      </c>
    </row>
    <row r="400" spans="1:17" x14ac:dyDescent="0.3">
      <c r="A400" s="33">
        <v>4028196531</v>
      </c>
      <c r="B400" s="21" t="s">
        <v>1959</v>
      </c>
      <c r="C400" s="21" t="s">
        <v>1960</v>
      </c>
      <c r="D400" s="21" t="s">
        <v>1961</v>
      </c>
      <c r="E400" s="21" t="s">
        <v>83</v>
      </c>
      <c r="F400" s="21" t="s">
        <v>1962</v>
      </c>
      <c r="G400" s="21" t="s">
        <v>1963</v>
      </c>
      <c r="H400" s="25"/>
      <c r="I400" s="25"/>
      <c r="J400" s="25"/>
      <c r="K400" s="25"/>
      <c r="L400" s="25"/>
      <c r="M400" s="22" t="s">
        <v>86</v>
      </c>
      <c r="N400" s="23">
        <v>46083</v>
      </c>
      <c r="O400" s="26" t="str">
        <f t="shared" si="18"/>
        <v>OK</v>
      </c>
      <c r="P400" s="30" t="str">
        <f t="shared" si="19"/>
        <v/>
      </c>
      <c r="Q400" s="26" t="str">
        <f t="shared" si="20"/>
        <v/>
      </c>
    </row>
    <row r="401" spans="1:17" x14ac:dyDescent="0.3">
      <c r="A401" s="33">
        <v>4040877968</v>
      </c>
      <c r="B401" s="21" t="s">
        <v>1964</v>
      </c>
      <c r="C401" s="21" t="s">
        <v>1965</v>
      </c>
      <c r="D401" s="21" t="s">
        <v>1966</v>
      </c>
      <c r="E401" s="21" t="s">
        <v>366</v>
      </c>
      <c r="F401" s="21" t="s">
        <v>1967</v>
      </c>
      <c r="G401" s="21"/>
      <c r="H401" s="25"/>
      <c r="I401" s="25"/>
      <c r="J401" s="25"/>
      <c r="K401" s="25"/>
      <c r="L401" s="25"/>
      <c r="M401" s="22" t="s">
        <v>86</v>
      </c>
      <c r="N401" s="23">
        <v>46083</v>
      </c>
      <c r="O401" s="26" t="str">
        <f t="shared" si="18"/>
        <v>OK</v>
      </c>
      <c r="P401" s="30" t="str">
        <f t="shared" si="19"/>
        <v/>
      </c>
      <c r="Q401" s="26" t="str">
        <f t="shared" si="20"/>
        <v/>
      </c>
    </row>
    <row r="402" spans="1:17" x14ac:dyDescent="0.3">
      <c r="A402" s="33">
        <v>4070671542</v>
      </c>
      <c r="B402" s="21" t="s">
        <v>1968</v>
      </c>
      <c r="C402" s="21" t="s">
        <v>1969</v>
      </c>
      <c r="D402" s="21" t="s">
        <v>1970</v>
      </c>
      <c r="E402" s="21" t="s">
        <v>336</v>
      </c>
      <c r="F402" s="21" t="s">
        <v>1971</v>
      </c>
      <c r="G402" s="21" t="s">
        <v>1972</v>
      </c>
      <c r="H402" s="25"/>
      <c r="I402" s="25"/>
      <c r="J402" s="25"/>
      <c r="K402" s="25"/>
      <c r="L402" s="25"/>
      <c r="M402" s="22" t="s">
        <v>86</v>
      </c>
      <c r="N402" s="23">
        <v>46083</v>
      </c>
      <c r="O402" s="26" t="str">
        <f t="shared" si="18"/>
        <v>OK</v>
      </c>
      <c r="P402" s="30" t="str">
        <f t="shared" si="19"/>
        <v/>
      </c>
      <c r="Q402" s="26" t="str">
        <f t="shared" si="20"/>
        <v/>
      </c>
    </row>
    <row r="403" spans="1:17" x14ac:dyDescent="0.3">
      <c r="A403" s="33">
        <v>4031553239</v>
      </c>
      <c r="B403" s="21" t="s">
        <v>1973</v>
      </c>
      <c r="C403" s="21" t="s">
        <v>1974</v>
      </c>
      <c r="D403" s="21" t="s">
        <v>1975</v>
      </c>
      <c r="E403" s="21" t="s">
        <v>190</v>
      </c>
      <c r="F403" s="21" t="s">
        <v>228</v>
      </c>
      <c r="G403" s="21" t="s">
        <v>1976</v>
      </c>
      <c r="H403" s="25"/>
      <c r="I403" s="25"/>
      <c r="J403" s="25"/>
      <c r="K403" s="25"/>
      <c r="L403" s="25"/>
      <c r="M403" s="22" t="s">
        <v>86</v>
      </c>
      <c r="N403" s="23">
        <v>46083</v>
      </c>
      <c r="O403" s="26" t="str">
        <f t="shared" si="18"/>
        <v>OK</v>
      </c>
      <c r="P403" s="30" t="str">
        <f t="shared" si="19"/>
        <v/>
      </c>
      <c r="Q403" s="26" t="str">
        <f t="shared" si="20"/>
        <v/>
      </c>
    </row>
    <row r="404" spans="1:17" x14ac:dyDescent="0.3">
      <c r="A404" s="33">
        <v>4188101650</v>
      </c>
      <c r="B404" s="21" t="s">
        <v>1977</v>
      </c>
      <c r="C404" s="21" t="s">
        <v>1978</v>
      </c>
      <c r="D404" s="21" t="s">
        <v>1979</v>
      </c>
      <c r="E404" s="21" t="s">
        <v>83</v>
      </c>
      <c r="F404" s="21" t="s">
        <v>808</v>
      </c>
      <c r="G404" s="21" t="s">
        <v>1980</v>
      </c>
      <c r="H404" s="25"/>
      <c r="I404" s="25"/>
      <c r="J404" s="25"/>
      <c r="K404" s="25"/>
      <c r="L404" s="25"/>
      <c r="M404" s="22" t="s">
        <v>86</v>
      </c>
      <c r="N404" s="23">
        <v>46083</v>
      </c>
      <c r="O404" s="26" t="str">
        <f t="shared" si="18"/>
        <v>OK</v>
      </c>
      <c r="P404" s="30" t="str">
        <f t="shared" si="19"/>
        <v/>
      </c>
      <c r="Q404" s="26" t="str">
        <f t="shared" si="20"/>
        <v/>
      </c>
    </row>
    <row r="405" spans="1:17" x14ac:dyDescent="0.3">
      <c r="A405" s="33">
        <v>1513200880</v>
      </c>
      <c r="B405" s="21" t="s">
        <v>1981</v>
      </c>
      <c r="C405" s="21" t="s">
        <v>1982</v>
      </c>
      <c r="D405" s="21" t="s">
        <v>1983</v>
      </c>
      <c r="E405" s="21" t="s">
        <v>1856</v>
      </c>
      <c r="F405" s="21" t="s">
        <v>1984</v>
      </c>
      <c r="G405" s="21" t="s">
        <v>1985</v>
      </c>
      <c r="H405" s="25"/>
      <c r="I405" s="25"/>
      <c r="J405" s="25"/>
      <c r="K405" s="25"/>
      <c r="L405" s="25"/>
      <c r="M405" s="22" t="s">
        <v>86</v>
      </c>
      <c r="N405" s="23">
        <v>46083</v>
      </c>
      <c r="O405" s="26" t="str">
        <f t="shared" si="18"/>
        <v>OK</v>
      </c>
      <c r="P405" s="30" t="str">
        <f t="shared" si="19"/>
        <v/>
      </c>
      <c r="Q405" s="26" t="str">
        <f t="shared" si="20"/>
        <v/>
      </c>
    </row>
    <row r="406" spans="1:17" x14ac:dyDescent="0.3">
      <c r="A406" s="33">
        <v>2438600810</v>
      </c>
      <c r="B406" s="21" t="s">
        <v>1986</v>
      </c>
      <c r="C406" s="21" t="s">
        <v>1987</v>
      </c>
      <c r="D406" s="21"/>
      <c r="E406" s="21"/>
      <c r="F406" s="21"/>
      <c r="G406" s="21"/>
      <c r="H406" s="25"/>
      <c r="I406" s="25"/>
      <c r="J406" s="25"/>
      <c r="K406" s="25"/>
      <c r="L406" s="25"/>
      <c r="M406" s="22" t="s">
        <v>86</v>
      </c>
      <c r="N406" s="23">
        <v>46083</v>
      </c>
      <c r="O406" s="26" t="str">
        <f t="shared" si="18"/>
        <v>OK</v>
      </c>
      <c r="P406" s="30" t="str">
        <f t="shared" si="19"/>
        <v/>
      </c>
      <c r="Q406" s="26" t="str">
        <f t="shared" si="20"/>
        <v/>
      </c>
    </row>
    <row r="407" spans="1:17" x14ac:dyDescent="0.3">
      <c r="A407" s="33">
        <v>7760500102</v>
      </c>
      <c r="B407" s="21" t="s">
        <v>1988</v>
      </c>
      <c r="C407" s="21" t="s">
        <v>1322</v>
      </c>
      <c r="D407" s="21" t="s">
        <v>1989</v>
      </c>
      <c r="E407" s="21" t="s">
        <v>190</v>
      </c>
      <c r="F407" s="21" t="s">
        <v>1990</v>
      </c>
      <c r="G407" s="21"/>
      <c r="H407" s="25"/>
      <c r="I407" s="25"/>
      <c r="J407" s="25"/>
      <c r="K407" s="25"/>
      <c r="L407" s="25"/>
      <c r="M407" s="22" t="s">
        <v>86</v>
      </c>
      <c r="N407" s="23">
        <v>46083</v>
      </c>
      <c r="O407" s="26" t="str">
        <f t="shared" si="18"/>
        <v>OK</v>
      </c>
      <c r="P407" s="30" t="str">
        <f t="shared" si="19"/>
        <v/>
      </c>
      <c r="Q407" s="26" t="str">
        <f t="shared" si="20"/>
        <v/>
      </c>
    </row>
    <row r="408" spans="1:17" x14ac:dyDescent="0.3">
      <c r="A408" s="33">
        <v>4020844684</v>
      </c>
      <c r="B408" s="21" t="s">
        <v>1991</v>
      </c>
      <c r="C408" s="21" t="s">
        <v>1992</v>
      </c>
      <c r="D408" s="21" t="s">
        <v>1993</v>
      </c>
      <c r="E408" s="21" t="s">
        <v>111</v>
      </c>
      <c r="F408" s="21" t="s">
        <v>96</v>
      </c>
      <c r="G408" s="21" t="s">
        <v>1994</v>
      </c>
      <c r="H408" s="25"/>
      <c r="I408" s="25"/>
      <c r="J408" s="25"/>
      <c r="K408" s="25"/>
      <c r="L408" s="25"/>
      <c r="M408" s="22" t="s">
        <v>86</v>
      </c>
      <c r="N408" s="23">
        <v>46083</v>
      </c>
      <c r="O408" s="26" t="str">
        <f t="shared" si="18"/>
        <v>OK</v>
      </c>
      <c r="P408" s="30" t="str">
        <f t="shared" si="19"/>
        <v/>
      </c>
      <c r="Q408" s="26" t="str">
        <f t="shared" si="20"/>
        <v/>
      </c>
    </row>
    <row r="409" spans="1:17" x14ac:dyDescent="0.3">
      <c r="A409" s="33">
        <v>4048105282</v>
      </c>
      <c r="B409" s="21" t="s">
        <v>1995</v>
      </c>
      <c r="C409" s="21" t="s">
        <v>1996</v>
      </c>
      <c r="D409" s="21" t="s">
        <v>1997</v>
      </c>
      <c r="E409" s="21" t="s">
        <v>83</v>
      </c>
      <c r="F409" s="21" t="s">
        <v>606</v>
      </c>
      <c r="G409" s="21" t="s">
        <v>1998</v>
      </c>
      <c r="H409" s="25"/>
      <c r="I409" s="25"/>
      <c r="J409" s="25"/>
      <c r="K409" s="25"/>
      <c r="L409" s="25"/>
      <c r="M409" s="22" t="s">
        <v>86</v>
      </c>
      <c r="N409" s="23">
        <v>46083</v>
      </c>
      <c r="O409" s="26" t="str">
        <f t="shared" si="18"/>
        <v>OK</v>
      </c>
      <c r="P409" s="30" t="str">
        <f t="shared" si="19"/>
        <v/>
      </c>
      <c r="Q409" s="26" t="str">
        <f t="shared" si="20"/>
        <v/>
      </c>
    </row>
    <row r="410" spans="1:17" x14ac:dyDescent="0.3">
      <c r="A410" s="33">
        <v>1953401656</v>
      </c>
      <c r="B410" s="21" t="s">
        <v>1999</v>
      </c>
      <c r="C410" s="21" t="s">
        <v>2000</v>
      </c>
      <c r="D410" s="21" t="s">
        <v>2001</v>
      </c>
      <c r="E410" s="21" t="s">
        <v>179</v>
      </c>
      <c r="F410" s="21" t="s">
        <v>2002</v>
      </c>
      <c r="G410" s="21"/>
      <c r="H410" s="25"/>
      <c r="I410" s="25"/>
      <c r="J410" s="25"/>
      <c r="K410" s="25"/>
      <c r="L410" s="25"/>
      <c r="M410" s="22" t="s">
        <v>86</v>
      </c>
      <c r="N410" s="23">
        <v>46083</v>
      </c>
      <c r="O410" s="26" t="str">
        <f t="shared" si="18"/>
        <v>OK</v>
      </c>
      <c r="P410" s="30" t="str">
        <f t="shared" si="19"/>
        <v/>
      </c>
      <c r="Q410" s="26" t="str">
        <f t="shared" si="20"/>
        <v/>
      </c>
    </row>
    <row r="411" spans="1:17" x14ac:dyDescent="0.3">
      <c r="A411" s="33">
        <v>4031523486</v>
      </c>
      <c r="B411" s="21" t="s">
        <v>2003</v>
      </c>
      <c r="C411" s="21" t="s">
        <v>2004</v>
      </c>
      <c r="D411" s="21" t="s">
        <v>2005</v>
      </c>
      <c r="E411" s="21" t="s">
        <v>179</v>
      </c>
      <c r="F411" s="21" t="s">
        <v>2006</v>
      </c>
      <c r="G411" s="21" t="s">
        <v>2007</v>
      </c>
      <c r="H411" s="25"/>
      <c r="I411" s="25"/>
      <c r="J411" s="25"/>
      <c r="K411" s="25"/>
      <c r="L411" s="25"/>
      <c r="M411" s="22" t="s">
        <v>86</v>
      </c>
      <c r="N411" s="23">
        <v>46083</v>
      </c>
      <c r="O411" s="26" t="str">
        <f t="shared" si="18"/>
        <v>OK</v>
      </c>
      <c r="P411" s="30" t="str">
        <f t="shared" si="19"/>
        <v/>
      </c>
      <c r="Q411" s="26" t="str">
        <f t="shared" si="20"/>
        <v/>
      </c>
    </row>
    <row r="412" spans="1:17" x14ac:dyDescent="0.3">
      <c r="A412" s="33">
        <v>1430123888</v>
      </c>
      <c r="B412" s="21" t="s">
        <v>2008</v>
      </c>
      <c r="C412" s="21" t="s">
        <v>2009</v>
      </c>
      <c r="D412" s="21" t="s">
        <v>2010</v>
      </c>
      <c r="E412" s="21" t="s">
        <v>2011</v>
      </c>
      <c r="F412" s="21" t="s">
        <v>2012</v>
      </c>
      <c r="G412" s="21" t="s">
        <v>2013</v>
      </c>
      <c r="H412" s="25"/>
      <c r="I412" s="25"/>
      <c r="J412" s="25"/>
      <c r="K412" s="25"/>
      <c r="L412" s="25"/>
      <c r="M412" s="22" t="s">
        <v>86</v>
      </c>
      <c r="N412" s="23">
        <v>46083</v>
      </c>
      <c r="O412" s="26" t="str">
        <f t="shared" si="18"/>
        <v>OK</v>
      </c>
      <c r="P412" s="30" t="str">
        <f t="shared" si="19"/>
        <v/>
      </c>
      <c r="Q412" s="26" t="str">
        <f t="shared" si="20"/>
        <v/>
      </c>
    </row>
    <row r="413" spans="1:17" x14ac:dyDescent="0.3">
      <c r="A413" s="33">
        <v>4030659056</v>
      </c>
      <c r="B413" s="21" t="s">
        <v>2014</v>
      </c>
      <c r="C413" s="21" t="s">
        <v>2015</v>
      </c>
      <c r="D413" s="21" t="s">
        <v>2016</v>
      </c>
      <c r="E413" s="21" t="s">
        <v>190</v>
      </c>
      <c r="F413" s="21" t="s">
        <v>1074</v>
      </c>
      <c r="G413" s="21" t="s">
        <v>2017</v>
      </c>
      <c r="H413" s="25"/>
      <c r="I413" s="25"/>
      <c r="J413" s="25"/>
      <c r="K413" s="25"/>
      <c r="L413" s="25"/>
      <c r="M413" s="22" t="s">
        <v>86</v>
      </c>
      <c r="N413" s="23">
        <v>46083</v>
      </c>
      <c r="O413" s="26" t="str">
        <f t="shared" si="18"/>
        <v>OK</v>
      </c>
      <c r="P413" s="30" t="str">
        <f t="shared" si="19"/>
        <v/>
      </c>
      <c r="Q413" s="26" t="str">
        <f t="shared" si="20"/>
        <v/>
      </c>
    </row>
    <row r="414" spans="1:17" x14ac:dyDescent="0.3">
      <c r="A414" s="33">
        <v>4020419305</v>
      </c>
      <c r="B414" s="21" t="s">
        <v>2018</v>
      </c>
      <c r="C414" s="21" t="s">
        <v>2019</v>
      </c>
      <c r="D414" s="21" t="s">
        <v>2020</v>
      </c>
      <c r="E414" s="21" t="s">
        <v>247</v>
      </c>
      <c r="F414" s="21" t="s">
        <v>228</v>
      </c>
      <c r="G414" s="21" t="s">
        <v>2021</v>
      </c>
      <c r="H414" s="25"/>
      <c r="I414" s="25"/>
      <c r="J414" s="25"/>
      <c r="K414" s="25"/>
      <c r="L414" s="25"/>
      <c r="M414" s="22" t="s">
        <v>86</v>
      </c>
      <c r="N414" s="23">
        <v>46083</v>
      </c>
      <c r="O414" s="26" t="str">
        <f t="shared" si="18"/>
        <v>OK</v>
      </c>
      <c r="P414" s="30" t="str">
        <f t="shared" si="19"/>
        <v/>
      </c>
      <c r="Q414" s="26" t="str">
        <f t="shared" si="20"/>
        <v/>
      </c>
    </row>
    <row r="415" spans="1:17" x14ac:dyDescent="0.3">
      <c r="A415" s="33">
        <v>4028174202</v>
      </c>
      <c r="B415" s="21" t="s">
        <v>2022</v>
      </c>
      <c r="C415" s="21" t="s">
        <v>2023</v>
      </c>
      <c r="D415" s="21" t="s">
        <v>2024</v>
      </c>
      <c r="E415" s="21" t="s">
        <v>83</v>
      </c>
      <c r="F415" s="21" t="s">
        <v>148</v>
      </c>
      <c r="G415" s="21" t="s">
        <v>2025</v>
      </c>
      <c r="H415" s="25"/>
      <c r="I415" s="25"/>
      <c r="J415" s="25"/>
      <c r="K415" s="25"/>
      <c r="L415" s="25"/>
      <c r="M415" s="22" t="s">
        <v>86</v>
      </c>
      <c r="N415" s="23">
        <v>46083</v>
      </c>
      <c r="O415" s="26" t="str">
        <f t="shared" si="18"/>
        <v>OK</v>
      </c>
      <c r="P415" s="30" t="str">
        <f t="shared" si="19"/>
        <v/>
      </c>
      <c r="Q415" s="26" t="str">
        <f t="shared" si="20"/>
        <v/>
      </c>
    </row>
    <row r="416" spans="1:17" x14ac:dyDescent="0.3">
      <c r="A416" s="33">
        <v>4030845522</v>
      </c>
      <c r="B416" s="21" t="s">
        <v>2026</v>
      </c>
      <c r="C416" s="21" t="s">
        <v>2027</v>
      </c>
      <c r="D416" s="21" t="s">
        <v>2028</v>
      </c>
      <c r="E416" s="21" t="s">
        <v>247</v>
      </c>
      <c r="F416" s="21" t="s">
        <v>228</v>
      </c>
      <c r="G416" s="21" t="s">
        <v>2029</v>
      </c>
      <c r="H416" s="25"/>
      <c r="I416" s="25"/>
      <c r="J416" s="25"/>
      <c r="K416" s="25"/>
      <c r="L416" s="25"/>
      <c r="M416" s="22" t="s">
        <v>86</v>
      </c>
      <c r="N416" s="23">
        <v>46083</v>
      </c>
      <c r="O416" s="26" t="str">
        <f t="shared" si="18"/>
        <v>OK</v>
      </c>
      <c r="P416" s="30" t="str">
        <f t="shared" si="19"/>
        <v/>
      </c>
      <c r="Q416" s="26" t="str">
        <f t="shared" si="20"/>
        <v/>
      </c>
    </row>
    <row r="417" spans="1:17" x14ac:dyDescent="0.3">
      <c r="A417" s="33">
        <v>5158103599</v>
      </c>
      <c r="B417" s="21" t="s">
        <v>2030</v>
      </c>
      <c r="C417" s="21" t="s">
        <v>2031</v>
      </c>
      <c r="D417" s="21" t="s">
        <v>2032</v>
      </c>
      <c r="E417" s="21" t="s">
        <v>190</v>
      </c>
      <c r="F417" s="21" t="s">
        <v>2033</v>
      </c>
      <c r="G417" s="21" t="s">
        <v>1998</v>
      </c>
      <c r="H417" s="25"/>
      <c r="I417" s="25"/>
      <c r="J417" s="25"/>
      <c r="K417" s="25"/>
      <c r="L417" s="25"/>
      <c r="M417" s="22" t="s">
        <v>86</v>
      </c>
      <c r="N417" s="23">
        <v>46083</v>
      </c>
      <c r="O417" s="26" t="str">
        <f t="shared" si="18"/>
        <v>OK</v>
      </c>
      <c r="P417" s="30" t="str">
        <f t="shared" si="19"/>
        <v/>
      </c>
      <c r="Q417" s="26" t="str">
        <f t="shared" si="20"/>
        <v/>
      </c>
    </row>
    <row r="418" spans="1:17" x14ac:dyDescent="0.3">
      <c r="A418" s="33">
        <v>4030776557</v>
      </c>
      <c r="B418" s="21" t="s">
        <v>2034</v>
      </c>
      <c r="C418" s="21" t="s">
        <v>2035</v>
      </c>
      <c r="D418" s="21" t="s">
        <v>2036</v>
      </c>
      <c r="E418" s="21" t="s">
        <v>190</v>
      </c>
      <c r="F418" s="21" t="s">
        <v>2037</v>
      </c>
      <c r="G418" s="21" t="s">
        <v>2038</v>
      </c>
      <c r="H418" s="25"/>
      <c r="I418" s="25"/>
      <c r="J418" s="25"/>
      <c r="K418" s="25"/>
      <c r="L418" s="25"/>
      <c r="M418" s="22" t="s">
        <v>86</v>
      </c>
      <c r="N418" s="23">
        <v>46083</v>
      </c>
      <c r="O418" s="26" t="str">
        <f t="shared" si="18"/>
        <v>OK</v>
      </c>
      <c r="P418" s="30" t="str">
        <f t="shared" si="19"/>
        <v/>
      </c>
      <c r="Q418" s="26" t="str">
        <f t="shared" si="20"/>
        <v/>
      </c>
    </row>
    <row r="419" spans="1:17" x14ac:dyDescent="0.3">
      <c r="A419" s="33">
        <v>7491700118</v>
      </c>
      <c r="B419" s="21" t="s">
        <v>2039</v>
      </c>
      <c r="C419" s="21" t="s">
        <v>2040</v>
      </c>
      <c r="D419" s="21" t="s">
        <v>2041</v>
      </c>
      <c r="E419" s="21" t="s">
        <v>728</v>
      </c>
      <c r="F419" s="21" t="s">
        <v>556</v>
      </c>
      <c r="G419" s="21"/>
      <c r="H419" s="25"/>
      <c r="I419" s="25"/>
      <c r="J419" s="25"/>
      <c r="K419" s="25"/>
      <c r="L419" s="25"/>
      <c r="M419" s="22" t="s">
        <v>86</v>
      </c>
      <c r="N419" s="23">
        <v>46083</v>
      </c>
      <c r="O419" s="26" t="str">
        <f t="shared" si="18"/>
        <v>OK</v>
      </c>
      <c r="P419" s="30" t="str">
        <f t="shared" si="19"/>
        <v/>
      </c>
      <c r="Q419" s="26" t="str">
        <f t="shared" si="20"/>
        <v/>
      </c>
    </row>
    <row r="420" spans="1:17" x14ac:dyDescent="0.3">
      <c r="A420" s="33">
        <v>5683601386</v>
      </c>
      <c r="B420" s="21" t="s">
        <v>2042</v>
      </c>
      <c r="C420" s="21" t="s">
        <v>2043</v>
      </c>
      <c r="D420" s="21" t="s">
        <v>2044</v>
      </c>
      <c r="E420" s="21" t="s">
        <v>173</v>
      </c>
      <c r="F420" s="21" t="s">
        <v>2045</v>
      </c>
      <c r="G420" s="21"/>
      <c r="H420" s="25"/>
      <c r="I420" s="25"/>
      <c r="J420" s="25"/>
      <c r="K420" s="25"/>
      <c r="L420" s="25"/>
      <c r="M420" s="22" t="s">
        <v>86</v>
      </c>
      <c r="N420" s="23">
        <v>46083</v>
      </c>
      <c r="O420" s="26" t="str">
        <f t="shared" si="18"/>
        <v>OK</v>
      </c>
      <c r="P420" s="30" t="str">
        <f t="shared" si="19"/>
        <v/>
      </c>
      <c r="Q420" s="26" t="str">
        <f t="shared" si="20"/>
        <v/>
      </c>
    </row>
    <row r="421" spans="1:17" x14ac:dyDescent="0.3">
      <c r="A421" s="33">
        <v>4038201276</v>
      </c>
      <c r="B421" s="21" t="s">
        <v>2046</v>
      </c>
      <c r="C421" s="21" t="s">
        <v>2047</v>
      </c>
      <c r="D421" s="21" t="s">
        <v>2048</v>
      </c>
      <c r="E421" s="21" t="s">
        <v>2049</v>
      </c>
      <c r="F421" s="21" t="s">
        <v>2050</v>
      </c>
      <c r="G421" s="21" t="s">
        <v>2051</v>
      </c>
      <c r="H421" s="25"/>
      <c r="I421" s="25"/>
      <c r="J421" s="25"/>
      <c r="K421" s="25"/>
      <c r="L421" s="25"/>
      <c r="M421" s="22" t="s">
        <v>86</v>
      </c>
      <c r="N421" s="23">
        <v>46083</v>
      </c>
      <c r="O421" s="26" t="str">
        <f t="shared" si="18"/>
        <v>OK</v>
      </c>
      <c r="P421" s="30" t="str">
        <f t="shared" si="19"/>
        <v/>
      </c>
      <c r="Q421" s="26" t="str">
        <f t="shared" si="20"/>
        <v/>
      </c>
    </row>
    <row r="422" spans="1:17" x14ac:dyDescent="0.3">
      <c r="A422" s="33">
        <v>6413500268</v>
      </c>
      <c r="B422" s="21" t="s">
        <v>2052</v>
      </c>
      <c r="C422" s="21" t="s">
        <v>2053</v>
      </c>
      <c r="D422" s="21" t="s">
        <v>2054</v>
      </c>
      <c r="E422" s="21" t="s">
        <v>247</v>
      </c>
      <c r="F422" s="21" t="s">
        <v>2055</v>
      </c>
      <c r="G422" s="21" t="s">
        <v>2056</v>
      </c>
      <c r="H422" s="25"/>
      <c r="I422" s="25"/>
      <c r="J422" s="25"/>
      <c r="K422" s="25"/>
      <c r="L422" s="25"/>
      <c r="M422" s="22" t="s">
        <v>86</v>
      </c>
      <c r="N422" s="23">
        <v>46083</v>
      </c>
      <c r="O422" s="26" t="str">
        <f t="shared" si="18"/>
        <v>OK</v>
      </c>
      <c r="P422" s="30" t="str">
        <f t="shared" si="19"/>
        <v/>
      </c>
      <c r="Q422" s="26" t="str">
        <f t="shared" si="20"/>
        <v/>
      </c>
    </row>
    <row r="423" spans="1:17" x14ac:dyDescent="0.3">
      <c r="A423" s="33">
        <v>2680300378</v>
      </c>
      <c r="B423" s="21" t="s">
        <v>2057</v>
      </c>
      <c r="C423" s="21" t="s">
        <v>2000</v>
      </c>
      <c r="D423" s="21" t="s">
        <v>2058</v>
      </c>
      <c r="E423" s="21" t="s">
        <v>179</v>
      </c>
      <c r="F423" s="21" t="s">
        <v>2059</v>
      </c>
      <c r="G423" s="21" t="s">
        <v>2060</v>
      </c>
      <c r="H423" s="25"/>
      <c r="I423" s="25"/>
      <c r="J423" s="25"/>
      <c r="K423" s="25"/>
      <c r="L423" s="25"/>
      <c r="M423" s="22" t="s">
        <v>86</v>
      </c>
      <c r="N423" s="23">
        <v>46083</v>
      </c>
      <c r="O423" s="26" t="str">
        <f t="shared" si="18"/>
        <v>OK</v>
      </c>
      <c r="P423" s="30" t="str">
        <f t="shared" si="19"/>
        <v/>
      </c>
      <c r="Q423" s="26" t="str">
        <f t="shared" si="20"/>
        <v/>
      </c>
    </row>
    <row r="424" spans="1:17" x14ac:dyDescent="0.3">
      <c r="A424" s="33">
        <v>4022467862</v>
      </c>
      <c r="B424" s="21" t="s">
        <v>1778</v>
      </c>
      <c r="C424" s="21" t="s">
        <v>2061</v>
      </c>
      <c r="D424" s="21" t="s">
        <v>2062</v>
      </c>
      <c r="E424" s="21" t="s">
        <v>669</v>
      </c>
      <c r="F424" s="21" t="s">
        <v>2063</v>
      </c>
      <c r="G424" s="21" t="s">
        <v>2064</v>
      </c>
      <c r="H424" s="25"/>
      <c r="I424" s="25"/>
      <c r="J424" s="25"/>
      <c r="K424" s="25"/>
      <c r="L424" s="25"/>
      <c r="M424" s="22" t="s">
        <v>86</v>
      </c>
      <c r="N424" s="23">
        <v>46083</v>
      </c>
      <c r="O424" s="26" t="str">
        <f t="shared" si="18"/>
        <v>OK</v>
      </c>
      <c r="P424" s="30" t="str">
        <f t="shared" si="19"/>
        <v/>
      </c>
      <c r="Q424" s="26" t="str">
        <f t="shared" si="20"/>
        <v/>
      </c>
    </row>
    <row r="425" spans="1:17" x14ac:dyDescent="0.3">
      <c r="A425" s="33">
        <v>4020793489</v>
      </c>
      <c r="B425" s="21" t="s">
        <v>2065</v>
      </c>
      <c r="C425" s="21" t="s">
        <v>2066</v>
      </c>
      <c r="D425" s="21" t="s">
        <v>2067</v>
      </c>
      <c r="E425" s="21" t="s">
        <v>179</v>
      </c>
      <c r="F425" s="21" t="s">
        <v>2068</v>
      </c>
      <c r="G425" s="21" t="s">
        <v>2069</v>
      </c>
      <c r="H425" s="25"/>
      <c r="I425" s="25"/>
      <c r="J425" s="25"/>
      <c r="K425" s="25"/>
      <c r="L425" s="25"/>
      <c r="M425" s="22" t="s">
        <v>86</v>
      </c>
      <c r="N425" s="23">
        <v>46083</v>
      </c>
      <c r="O425" s="26" t="str">
        <f t="shared" si="18"/>
        <v>OK</v>
      </c>
      <c r="P425" s="30" t="str">
        <f t="shared" si="19"/>
        <v/>
      </c>
      <c r="Q425" s="26" t="str">
        <f t="shared" si="20"/>
        <v/>
      </c>
    </row>
    <row r="426" spans="1:17" x14ac:dyDescent="0.3">
      <c r="A426" s="33">
        <v>4018128364</v>
      </c>
      <c r="B426" s="21" t="s">
        <v>2070</v>
      </c>
      <c r="C426" s="21" t="s">
        <v>2071</v>
      </c>
      <c r="D426" s="21" t="s">
        <v>2072</v>
      </c>
      <c r="E426" s="21" t="s">
        <v>83</v>
      </c>
      <c r="F426" s="21" t="s">
        <v>2073</v>
      </c>
      <c r="G426" s="21" t="s">
        <v>2074</v>
      </c>
      <c r="H426" s="25"/>
      <c r="I426" s="25"/>
      <c r="J426" s="25"/>
      <c r="K426" s="25"/>
      <c r="L426" s="25"/>
      <c r="M426" s="22" t="s">
        <v>86</v>
      </c>
      <c r="N426" s="23">
        <v>46083</v>
      </c>
      <c r="O426" s="26" t="str">
        <f t="shared" si="18"/>
        <v>OK</v>
      </c>
      <c r="P426" s="30" t="str">
        <f t="shared" si="19"/>
        <v/>
      </c>
      <c r="Q426" s="26" t="str">
        <f t="shared" si="20"/>
        <v/>
      </c>
    </row>
    <row r="427" spans="1:17" x14ac:dyDescent="0.3">
      <c r="A427" s="33">
        <v>5378602386</v>
      </c>
      <c r="B427" s="21" t="s">
        <v>2075</v>
      </c>
      <c r="C427" s="21" t="s">
        <v>2076</v>
      </c>
      <c r="D427" s="21" t="s">
        <v>2077</v>
      </c>
      <c r="E427" s="21" t="s">
        <v>2078</v>
      </c>
      <c r="F427" s="21" t="s">
        <v>2079</v>
      </c>
      <c r="G427" s="21"/>
      <c r="H427" s="25"/>
      <c r="I427" s="25"/>
      <c r="J427" s="25"/>
      <c r="K427" s="25"/>
      <c r="L427" s="25"/>
      <c r="M427" s="22" t="s">
        <v>86</v>
      </c>
      <c r="N427" s="23">
        <v>46083</v>
      </c>
      <c r="O427" s="26" t="str">
        <f t="shared" si="18"/>
        <v>OK</v>
      </c>
      <c r="P427" s="30" t="str">
        <f t="shared" si="19"/>
        <v/>
      </c>
      <c r="Q427" s="26" t="str">
        <f t="shared" si="20"/>
        <v/>
      </c>
    </row>
    <row r="428" spans="1:17" x14ac:dyDescent="0.3">
      <c r="A428" s="33">
        <v>4030711137</v>
      </c>
      <c r="B428" s="21" t="s">
        <v>2080</v>
      </c>
      <c r="C428" s="21" t="s">
        <v>2081</v>
      </c>
      <c r="D428" s="21" t="s">
        <v>2082</v>
      </c>
      <c r="E428" s="21" t="s">
        <v>247</v>
      </c>
      <c r="F428" s="21" t="s">
        <v>228</v>
      </c>
      <c r="G428" s="21" t="s">
        <v>2083</v>
      </c>
      <c r="H428" s="25"/>
      <c r="I428" s="25"/>
      <c r="J428" s="25"/>
      <c r="K428" s="25"/>
      <c r="L428" s="25"/>
      <c r="M428" s="22" t="s">
        <v>86</v>
      </c>
      <c r="N428" s="23">
        <v>46083</v>
      </c>
      <c r="O428" s="26" t="str">
        <f t="shared" si="18"/>
        <v>OK</v>
      </c>
      <c r="P428" s="30" t="str">
        <f t="shared" si="19"/>
        <v/>
      </c>
      <c r="Q428" s="26" t="str">
        <f t="shared" si="20"/>
        <v/>
      </c>
    </row>
    <row r="429" spans="1:17" x14ac:dyDescent="0.3">
      <c r="A429" s="33">
        <v>5128108479</v>
      </c>
      <c r="B429" s="21" t="s">
        <v>2084</v>
      </c>
      <c r="C429" s="21" t="s">
        <v>2085</v>
      </c>
      <c r="D429" s="21" t="s">
        <v>2086</v>
      </c>
      <c r="E429" s="21" t="s">
        <v>83</v>
      </c>
      <c r="F429" s="21" t="s">
        <v>606</v>
      </c>
      <c r="G429" s="21" t="s">
        <v>2087</v>
      </c>
      <c r="H429" s="25"/>
      <c r="I429" s="25"/>
      <c r="J429" s="25"/>
      <c r="K429" s="25"/>
      <c r="L429" s="25"/>
      <c r="M429" s="22" t="s">
        <v>86</v>
      </c>
      <c r="N429" s="23">
        <v>46083</v>
      </c>
      <c r="O429" s="26" t="str">
        <f t="shared" si="18"/>
        <v>OK</v>
      </c>
      <c r="P429" s="30" t="str">
        <f t="shared" si="19"/>
        <v/>
      </c>
      <c r="Q429" s="26" t="str">
        <f t="shared" si="20"/>
        <v/>
      </c>
    </row>
    <row r="430" spans="1:17" x14ac:dyDescent="0.3">
      <c r="A430" s="33">
        <v>1213951524</v>
      </c>
      <c r="B430" s="21" t="s">
        <v>2088</v>
      </c>
      <c r="C430" s="21" t="s">
        <v>2089</v>
      </c>
      <c r="D430" s="21" t="s">
        <v>2090</v>
      </c>
      <c r="E430" s="21" t="s">
        <v>83</v>
      </c>
      <c r="F430" s="21" t="s">
        <v>96</v>
      </c>
      <c r="G430" s="21" t="s">
        <v>2091</v>
      </c>
      <c r="H430" s="25"/>
      <c r="I430" s="25"/>
      <c r="J430" s="25"/>
      <c r="K430" s="25"/>
      <c r="L430" s="25"/>
      <c r="M430" s="22" t="s">
        <v>86</v>
      </c>
      <c r="N430" s="23">
        <v>46083</v>
      </c>
      <c r="O430" s="26" t="str">
        <f t="shared" si="18"/>
        <v>OK</v>
      </c>
      <c r="P430" s="30" t="str">
        <f t="shared" si="19"/>
        <v/>
      </c>
      <c r="Q430" s="26" t="str">
        <f t="shared" si="20"/>
        <v/>
      </c>
    </row>
    <row r="431" spans="1:17" x14ac:dyDescent="0.3">
      <c r="A431" s="33">
        <v>4011162582</v>
      </c>
      <c r="B431" s="21" t="s">
        <v>2092</v>
      </c>
      <c r="C431" s="21" t="s">
        <v>2093</v>
      </c>
      <c r="D431" s="21" t="s">
        <v>2094</v>
      </c>
      <c r="E431" s="21" t="s">
        <v>247</v>
      </c>
      <c r="F431" s="21" t="s">
        <v>228</v>
      </c>
      <c r="G431" s="21"/>
      <c r="H431" s="25"/>
      <c r="I431" s="25"/>
      <c r="J431" s="25"/>
      <c r="K431" s="25"/>
      <c r="L431" s="25"/>
      <c r="M431" s="22" t="s">
        <v>86</v>
      </c>
      <c r="N431" s="23">
        <v>46083</v>
      </c>
      <c r="O431" s="26" t="str">
        <f t="shared" si="18"/>
        <v>OK</v>
      </c>
      <c r="P431" s="30" t="str">
        <f t="shared" si="19"/>
        <v/>
      </c>
      <c r="Q431" s="26" t="str">
        <f t="shared" si="20"/>
        <v/>
      </c>
    </row>
    <row r="432" spans="1:17" x14ac:dyDescent="0.3">
      <c r="A432" s="33">
        <v>4674600424</v>
      </c>
      <c r="B432" s="21" t="s">
        <v>2095</v>
      </c>
      <c r="C432" s="21" t="s">
        <v>2096</v>
      </c>
      <c r="D432" s="21" t="s">
        <v>2097</v>
      </c>
      <c r="E432" s="21" t="s">
        <v>2098</v>
      </c>
      <c r="F432" s="21" t="s">
        <v>2099</v>
      </c>
      <c r="G432" s="21" t="s">
        <v>2100</v>
      </c>
      <c r="H432" s="25"/>
      <c r="I432" s="25"/>
      <c r="J432" s="25"/>
      <c r="K432" s="25"/>
      <c r="L432" s="25"/>
      <c r="M432" s="22" t="s">
        <v>86</v>
      </c>
      <c r="N432" s="23">
        <v>46083</v>
      </c>
      <c r="O432" s="26" t="str">
        <f t="shared" si="18"/>
        <v>OK</v>
      </c>
      <c r="P432" s="30" t="str">
        <f t="shared" si="19"/>
        <v/>
      </c>
      <c r="Q432" s="26" t="str">
        <f t="shared" si="20"/>
        <v/>
      </c>
    </row>
    <row r="433" spans="1:17" x14ac:dyDescent="0.3">
      <c r="A433" s="33">
        <v>2400303227</v>
      </c>
      <c r="B433" s="21" t="s">
        <v>2101</v>
      </c>
      <c r="C433" s="21" t="s">
        <v>2102</v>
      </c>
      <c r="D433" s="21" t="s">
        <v>2103</v>
      </c>
      <c r="E433" s="21" t="s">
        <v>179</v>
      </c>
      <c r="F433" s="21" t="s">
        <v>2104</v>
      </c>
      <c r="G433" s="21" t="s">
        <v>2105</v>
      </c>
      <c r="H433" s="25"/>
      <c r="I433" s="25"/>
      <c r="J433" s="25"/>
      <c r="K433" s="25"/>
      <c r="L433" s="25"/>
      <c r="M433" s="22" t="s">
        <v>86</v>
      </c>
      <c r="N433" s="23">
        <v>46083</v>
      </c>
      <c r="O433" s="26" t="str">
        <f t="shared" si="18"/>
        <v>OK</v>
      </c>
      <c r="P433" s="30" t="str">
        <f t="shared" si="19"/>
        <v/>
      </c>
      <c r="Q433" s="26" t="str">
        <f t="shared" si="20"/>
        <v/>
      </c>
    </row>
    <row r="434" spans="1:17" x14ac:dyDescent="0.3">
      <c r="A434" s="33">
        <v>4030761582</v>
      </c>
      <c r="B434" s="21" t="s">
        <v>2106</v>
      </c>
      <c r="C434" s="21" t="s">
        <v>2107</v>
      </c>
      <c r="D434" s="21" t="s">
        <v>2108</v>
      </c>
      <c r="E434" s="21" t="s">
        <v>190</v>
      </c>
      <c r="F434" s="21" t="s">
        <v>2109</v>
      </c>
      <c r="G434" s="21" t="s">
        <v>2110</v>
      </c>
      <c r="H434" s="25"/>
      <c r="I434" s="25"/>
      <c r="J434" s="25"/>
      <c r="K434" s="25"/>
      <c r="L434" s="25"/>
      <c r="M434" s="22" t="s">
        <v>86</v>
      </c>
      <c r="N434" s="23">
        <v>46083</v>
      </c>
      <c r="O434" s="26" t="str">
        <f t="shared" si="18"/>
        <v>OK</v>
      </c>
      <c r="P434" s="30" t="str">
        <f t="shared" si="19"/>
        <v/>
      </c>
      <c r="Q434" s="26" t="str">
        <f t="shared" si="20"/>
        <v/>
      </c>
    </row>
    <row r="435" spans="1:17" x14ac:dyDescent="0.3">
      <c r="A435" s="33">
        <v>6198106563</v>
      </c>
      <c r="B435" s="21" t="s">
        <v>2111</v>
      </c>
      <c r="C435" s="21" t="s">
        <v>2112</v>
      </c>
      <c r="D435" s="21" t="s">
        <v>2113</v>
      </c>
      <c r="E435" s="21" t="s">
        <v>83</v>
      </c>
      <c r="F435" s="21" t="s">
        <v>606</v>
      </c>
      <c r="G435" s="21" t="s">
        <v>2114</v>
      </c>
      <c r="H435" s="25"/>
      <c r="I435" s="25"/>
      <c r="J435" s="25"/>
      <c r="K435" s="25"/>
      <c r="L435" s="25"/>
      <c r="M435" s="22" t="s">
        <v>86</v>
      </c>
      <c r="N435" s="23">
        <v>46083</v>
      </c>
      <c r="O435" s="26" t="str">
        <f t="shared" si="18"/>
        <v>OK</v>
      </c>
      <c r="P435" s="30" t="str">
        <f t="shared" si="19"/>
        <v/>
      </c>
      <c r="Q435" s="26" t="str">
        <f t="shared" si="20"/>
        <v/>
      </c>
    </row>
    <row r="436" spans="1:17" x14ac:dyDescent="0.3">
      <c r="A436" s="33">
        <v>1138166821</v>
      </c>
      <c r="B436" s="21" t="s">
        <v>2115</v>
      </c>
      <c r="C436" s="21" t="s">
        <v>2116</v>
      </c>
      <c r="D436" s="21" t="s">
        <v>2117</v>
      </c>
      <c r="E436" s="21"/>
      <c r="F436" s="21" t="s">
        <v>2118</v>
      </c>
      <c r="G436" s="21" t="s">
        <v>2119</v>
      </c>
      <c r="H436" s="25"/>
      <c r="I436" s="25"/>
      <c r="J436" s="25"/>
      <c r="K436" s="25"/>
      <c r="L436" s="25"/>
      <c r="M436" s="22" t="s">
        <v>86</v>
      </c>
      <c r="N436" s="23">
        <v>46083</v>
      </c>
      <c r="O436" s="26" t="str">
        <f t="shared" si="18"/>
        <v>OK</v>
      </c>
      <c r="P436" s="30" t="str">
        <f t="shared" si="19"/>
        <v/>
      </c>
      <c r="Q436" s="26" t="str">
        <f t="shared" si="20"/>
        <v/>
      </c>
    </row>
    <row r="437" spans="1:17" x14ac:dyDescent="0.3">
      <c r="A437" s="33">
        <v>5881502104</v>
      </c>
      <c r="B437" s="21" t="s">
        <v>2120</v>
      </c>
      <c r="C437" s="21" t="s">
        <v>2121</v>
      </c>
      <c r="D437" s="21" t="s">
        <v>2122</v>
      </c>
      <c r="E437" s="21" t="s">
        <v>179</v>
      </c>
      <c r="F437" s="21" t="s">
        <v>2123</v>
      </c>
      <c r="G437" s="21"/>
      <c r="H437" s="25"/>
      <c r="I437" s="25"/>
      <c r="J437" s="25"/>
      <c r="K437" s="25"/>
      <c r="L437" s="25"/>
      <c r="M437" s="22" t="s">
        <v>86</v>
      </c>
      <c r="N437" s="23">
        <v>46083</v>
      </c>
      <c r="O437" s="26" t="str">
        <f t="shared" si="18"/>
        <v>OK</v>
      </c>
      <c r="P437" s="30" t="str">
        <f t="shared" si="19"/>
        <v/>
      </c>
      <c r="Q437" s="26" t="str">
        <f t="shared" si="20"/>
        <v/>
      </c>
    </row>
    <row r="438" spans="1:17" x14ac:dyDescent="0.3">
      <c r="A438" s="34">
        <v>4031841772</v>
      </c>
      <c r="B438" s="21" t="s">
        <v>2124</v>
      </c>
      <c r="C438" s="21" t="s">
        <v>2125</v>
      </c>
      <c r="D438" s="21" t="s">
        <v>2126</v>
      </c>
      <c r="E438" s="21" t="s">
        <v>247</v>
      </c>
      <c r="F438" s="21" t="s">
        <v>258</v>
      </c>
      <c r="G438" s="21" t="s">
        <v>2127</v>
      </c>
      <c r="H438" s="25"/>
      <c r="I438" s="25"/>
      <c r="J438" s="25"/>
      <c r="K438" s="25"/>
      <c r="L438" s="25"/>
      <c r="M438" s="22" t="s">
        <v>86</v>
      </c>
      <c r="N438" s="23">
        <v>46083</v>
      </c>
      <c r="O438" s="26" t="str">
        <f t="shared" si="18"/>
        <v>OK</v>
      </c>
      <c r="P438" s="30" t="str">
        <f t="shared" si="19"/>
        <v/>
      </c>
      <c r="Q438" s="26" t="str">
        <f t="shared" si="20"/>
        <v/>
      </c>
    </row>
    <row r="439" spans="1:17" x14ac:dyDescent="0.3">
      <c r="A439" s="33">
        <v>4038278076</v>
      </c>
      <c r="B439" s="21" t="s">
        <v>2128</v>
      </c>
      <c r="C439" s="21" t="s">
        <v>2129</v>
      </c>
      <c r="D439" s="21" t="s">
        <v>2130</v>
      </c>
      <c r="E439" s="21" t="s">
        <v>1778</v>
      </c>
      <c r="F439" s="21" t="s">
        <v>1337</v>
      </c>
      <c r="G439" s="21" t="s">
        <v>2131</v>
      </c>
      <c r="H439" s="25"/>
      <c r="I439" s="25"/>
      <c r="J439" s="25"/>
      <c r="K439" s="25"/>
      <c r="L439" s="25"/>
      <c r="M439" s="22" t="s">
        <v>86</v>
      </c>
      <c r="N439" s="23">
        <v>46083</v>
      </c>
      <c r="O439" s="26" t="str">
        <f t="shared" si="18"/>
        <v>OK</v>
      </c>
      <c r="P439" s="30" t="str">
        <f t="shared" si="19"/>
        <v/>
      </c>
      <c r="Q439" s="26" t="str">
        <f t="shared" si="20"/>
        <v/>
      </c>
    </row>
    <row r="440" spans="1:17" x14ac:dyDescent="0.3">
      <c r="A440" s="33">
        <v>4031387958</v>
      </c>
      <c r="B440" s="21" t="s">
        <v>2132</v>
      </c>
      <c r="C440" s="21" t="s">
        <v>2133</v>
      </c>
      <c r="D440" s="21" t="s">
        <v>2134</v>
      </c>
      <c r="E440" s="21" t="s">
        <v>537</v>
      </c>
      <c r="F440" s="21" t="s">
        <v>2135</v>
      </c>
      <c r="G440" s="21" t="s">
        <v>2136</v>
      </c>
      <c r="H440" s="25"/>
      <c r="I440" s="25"/>
      <c r="J440" s="25"/>
      <c r="K440" s="25"/>
      <c r="L440" s="25"/>
      <c r="M440" s="22" t="s">
        <v>86</v>
      </c>
      <c r="N440" s="23">
        <v>46083</v>
      </c>
      <c r="O440" s="26" t="str">
        <f t="shared" si="18"/>
        <v>OK</v>
      </c>
      <c r="P440" s="30" t="str">
        <f t="shared" si="19"/>
        <v/>
      </c>
      <c r="Q440" s="26" t="str">
        <f t="shared" si="20"/>
        <v/>
      </c>
    </row>
    <row r="441" spans="1:17" x14ac:dyDescent="0.3">
      <c r="A441" s="33">
        <v>4030561744</v>
      </c>
      <c r="B441" s="21" t="s">
        <v>2137</v>
      </c>
      <c r="C441" s="21" t="s">
        <v>2138</v>
      </c>
      <c r="D441" s="21" t="s">
        <v>2139</v>
      </c>
      <c r="E441" s="21" t="s">
        <v>190</v>
      </c>
      <c r="F441" s="21" t="s">
        <v>2109</v>
      </c>
      <c r="G441" s="21" t="s">
        <v>2140</v>
      </c>
      <c r="H441" s="25"/>
      <c r="I441" s="25"/>
      <c r="J441" s="25"/>
      <c r="K441" s="25"/>
      <c r="L441" s="25"/>
      <c r="M441" s="22" t="s">
        <v>86</v>
      </c>
      <c r="N441" s="23">
        <v>46083</v>
      </c>
      <c r="O441" s="26" t="str">
        <f t="shared" si="18"/>
        <v>OK</v>
      </c>
      <c r="P441" s="30" t="str">
        <f t="shared" si="19"/>
        <v/>
      </c>
      <c r="Q441" s="26" t="str">
        <f t="shared" si="20"/>
        <v/>
      </c>
    </row>
    <row r="442" spans="1:17" x14ac:dyDescent="0.3">
      <c r="A442" s="33">
        <v>4030876501</v>
      </c>
      <c r="B442" s="21" t="s">
        <v>2141</v>
      </c>
      <c r="C442" s="21" t="s">
        <v>2142</v>
      </c>
      <c r="D442" s="21" t="s">
        <v>2143</v>
      </c>
      <c r="E442" s="21" t="s">
        <v>190</v>
      </c>
      <c r="F442" s="21" t="s">
        <v>2144</v>
      </c>
      <c r="G442" s="21" t="s">
        <v>2145</v>
      </c>
      <c r="H442" s="25"/>
      <c r="I442" s="25"/>
      <c r="J442" s="25"/>
      <c r="K442" s="25"/>
      <c r="L442" s="25"/>
      <c r="M442" s="22" t="s">
        <v>86</v>
      </c>
      <c r="N442" s="23">
        <v>46083</v>
      </c>
      <c r="O442" s="26" t="str">
        <f t="shared" si="18"/>
        <v>OK</v>
      </c>
      <c r="P442" s="30" t="str">
        <f t="shared" si="19"/>
        <v/>
      </c>
      <c r="Q442" s="26" t="str">
        <f t="shared" si="20"/>
        <v/>
      </c>
    </row>
    <row r="443" spans="1:17" x14ac:dyDescent="0.3">
      <c r="A443" s="33">
        <v>4031449039</v>
      </c>
      <c r="B443" s="21" t="s">
        <v>2146</v>
      </c>
      <c r="C443" s="21" t="s">
        <v>2147</v>
      </c>
      <c r="D443" s="21" t="s">
        <v>2148</v>
      </c>
      <c r="E443" s="21" t="s">
        <v>83</v>
      </c>
      <c r="F443" s="21" t="s">
        <v>96</v>
      </c>
      <c r="G443" s="21" t="s">
        <v>2149</v>
      </c>
      <c r="H443" s="25"/>
      <c r="I443" s="25"/>
      <c r="J443" s="25"/>
      <c r="K443" s="25"/>
      <c r="L443" s="25"/>
      <c r="M443" s="22" t="s">
        <v>86</v>
      </c>
      <c r="N443" s="23">
        <v>46083</v>
      </c>
      <c r="O443" s="26" t="str">
        <f t="shared" si="18"/>
        <v>OK</v>
      </c>
      <c r="P443" s="30" t="str">
        <f t="shared" si="19"/>
        <v/>
      </c>
      <c r="Q443" s="26" t="str">
        <f t="shared" si="20"/>
        <v/>
      </c>
    </row>
    <row r="444" spans="1:17" x14ac:dyDescent="0.3">
      <c r="A444" s="33">
        <v>4412400963</v>
      </c>
      <c r="B444" s="21" t="s">
        <v>2150</v>
      </c>
      <c r="C444" s="21" t="s">
        <v>2151</v>
      </c>
      <c r="D444" s="21" t="s">
        <v>2152</v>
      </c>
      <c r="E444" s="21" t="s">
        <v>83</v>
      </c>
      <c r="F444" s="21" t="s">
        <v>96</v>
      </c>
      <c r="G444" s="21"/>
      <c r="H444" s="25"/>
      <c r="I444" s="25"/>
      <c r="J444" s="25"/>
      <c r="K444" s="25"/>
      <c r="L444" s="25"/>
      <c r="M444" s="22" t="s">
        <v>86</v>
      </c>
      <c r="N444" s="23">
        <v>46083</v>
      </c>
      <c r="O444" s="26" t="str">
        <f t="shared" si="18"/>
        <v>OK</v>
      </c>
      <c r="P444" s="30" t="str">
        <f t="shared" si="19"/>
        <v/>
      </c>
      <c r="Q444" s="26" t="str">
        <f t="shared" si="20"/>
        <v/>
      </c>
    </row>
    <row r="445" spans="1:17" x14ac:dyDescent="0.3">
      <c r="A445" s="33">
        <v>4028132013</v>
      </c>
      <c r="B445" s="21" t="s">
        <v>2153</v>
      </c>
      <c r="C445" s="21" t="s">
        <v>2154</v>
      </c>
      <c r="D445" s="21" t="s">
        <v>2155</v>
      </c>
      <c r="E445" s="21" t="s">
        <v>111</v>
      </c>
      <c r="F445" s="21" t="s">
        <v>823</v>
      </c>
      <c r="G445" s="21" t="s">
        <v>1555</v>
      </c>
      <c r="H445" s="25"/>
      <c r="I445" s="25"/>
      <c r="J445" s="25"/>
      <c r="K445" s="25"/>
      <c r="L445" s="25"/>
      <c r="M445" s="22" t="s">
        <v>86</v>
      </c>
      <c r="N445" s="23">
        <v>46083</v>
      </c>
      <c r="O445" s="26" t="str">
        <f t="shared" si="18"/>
        <v>OK</v>
      </c>
      <c r="P445" s="30" t="str">
        <f t="shared" si="19"/>
        <v/>
      </c>
      <c r="Q445" s="26" t="str">
        <f t="shared" si="20"/>
        <v/>
      </c>
    </row>
    <row r="446" spans="1:17" x14ac:dyDescent="0.3">
      <c r="A446" s="33">
        <v>4088128346</v>
      </c>
      <c r="B446" s="21" t="s">
        <v>2156</v>
      </c>
      <c r="C446" s="21" t="s">
        <v>2157</v>
      </c>
      <c r="D446" s="21" t="s">
        <v>2158</v>
      </c>
      <c r="E446" s="21" t="s">
        <v>83</v>
      </c>
      <c r="F446" s="21" t="s">
        <v>2159</v>
      </c>
      <c r="G446" s="21" t="s">
        <v>2160</v>
      </c>
      <c r="H446" s="25"/>
      <c r="I446" s="25"/>
      <c r="J446" s="25"/>
      <c r="K446" s="25"/>
      <c r="L446" s="25"/>
      <c r="M446" s="22" t="s">
        <v>86</v>
      </c>
      <c r="N446" s="23">
        <v>46083</v>
      </c>
      <c r="O446" s="26" t="str">
        <f t="shared" si="18"/>
        <v>OK</v>
      </c>
      <c r="P446" s="30" t="str">
        <f t="shared" si="19"/>
        <v/>
      </c>
      <c r="Q446" s="26" t="str">
        <f t="shared" si="20"/>
        <v/>
      </c>
    </row>
    <row r="447" spans="1:17" x14ac:dyDescent="0.3">
      <c r="A447" s="33">
        <v>6138163964</v>
      </c>
      <c r="B447" s="21" t="s">
        <v>2161</v>
      </c>
      <c r="C447" s="21" t="s">
        <v>2162</v>
      </c>
      <c r="D447" s="21" t="s">
        <v>2163</v>
      </c>
      <c r="E447" s="21" t="s">
        <v>2164</v>
      </c>
      <c r="F447" s="21" t="s">
        <v>2165</v>
      </c>
      <c r="G447" s="21" t="s">
        <v>2166</v>
      </c>
      <c r="H447" s="25"/>
      <c r="I447" s="25"/>
      <c r="J447" s="25"/>
      <c r="K447" s="25"/>
      <c r="L447" s="25"/>
      <c r="M447" s="22" t="s">
        <v>86</v>
      </c>
      <c r="N447" s="23">
        <v>46083</v>
      </c>
      <c r="O447" s="26" t="str">
        <f t="shared" si="18"/>
        <v>OK</v>
      </c>
      <c r="P447" s="30" t="str">
        <f t="shared" si="19"/>
        <v/>
      </c>
      <c r="Q447" s="26" t="str">
        <f t="shared" si="20"/>
        <v/>
      </c>
    </row>
    <row r="448" spans="1:17" x14ac:dyDescent="0.3">
      <c r="A448" s="33">
        <v>6820500452</v>
      </c>
      <c r="B448" s="21" t="s">
        <v>2167</v>
      </c>
      <c r="C448" s="21" t="s">
        <v>2168</v>
      </c>
      <c r="D448" s="21" t="s">
        <v>2169</v>
      </c>
      <c r="E448" s="21" t="s">
        <v>2170</v>
      </c>
      <c r="F448" s="21" t="s">
        <v>96</v>
      </c>
      <c r="G448" s="21" t="s">
        <v>2171</v>
      </c>
      <c r="H448" s="25"/>
      <c r="I448" s="25"/>
      <c r="J448" s="25"/>
      <c r="K448" s="25"/>
      <c r="L448" s="25"/>
      <c r="M448" s="22" t="s">
        <v>86</v>
      </c>
      <c r="N448" s="23">
        <v>46083</v>
      </c>
      <c r="O448" s="26" t="str">
        <f t="shared" si="18"/>
        <v>OK</v>
      </c>
      <c r="P448" s="30" t="str">
        <f t="shared" si="19"/>
        <v/>
      </c>
      <c r="Q448" s="26" t="str">
        <f t="shared" si="20"/>
        <v/>
      </c>
    </row>
    <row r="449" spans="1:17" x14ac:dyDescent="0.3">
      <c r="A449" s="33">
        <v>4010598420</v>
      </c>
      <c r="B449" s="21" t="s">
        <v>2172</v>
      </c>
      <c r="C449" s="21" t="s">
        <v>2173</v>
      </c>
      <c r="D449" s="21" t="s">
        <v>2174</v>
      </c>
      <c r="E449" s="21" t="s">
        <v>2175</v>
      </c>
      <c r="F449" s="21" t="s">
        <v>2176</v>
      </c>
      <c r="G449" s="21" t="s">
        <v>2177</v>
      </c>
      <c r="H449" s="25"/>
      <c r="I449" s="25"/>
      <c r="J449" s="25"/>
      <c r="K449" s="25"/>
      <c r="L449" s="25"/>
      <c r="M449" s="22" t="s">
        <v>86</v>
      </c>
      <c r="N449" s="23">
        <v>46083</v>
      </c>
      <c r="O449" s="26" t="str">
        <f t="shared" si="18"/>
        <v>OK</v>
      </c>
      <c r="P449" s="30" t="str">
        <f t="shared" si="19"/>
        <v/>
      </c>
      <c r="Q449" s="26" t="str">
        <f t="shared" si="20"/>
        <v/>
      </c>
    </row>
    <row r="450" spans="1:17" x14ac:dyDescent="0.3">
      <c r="A450" s="33">
        <v>2090941561</v>
      </c>
      <c r="B450" s="21" t="s">
        <v>2178</v>
      </c>
      <c r="C450" s="21" t="s">
        <v>2179</v>
      </c>
      <c r="D450" s="21" t="s">
        <v>2180</v>
      </c>
      <c r="E450" s="21" t="s">
        <v>83</v>
      </c>
      <c r="F450" s="21" t="s">
        <v>2181</v>
      </c>
      <c r="G450" s="21" t="s">
        <v>2182</v>
      </c>
      <c r="H450" s="25"/>
      <c r="I450" s="25"/>
      <c r="J450" s="25"/>
      <c r="K450" s="25"/>
      <c r="L450" s="25"/>
      <c r="M450" s="22" t="s">
        <v>86</v>
      </c>
      <c r="N450" s="23">
        <v>46083</v>
      </c>
      <c r="O450" s="26" t="str">
        <f t="shared" ref="O450:O513" si="21">IF(A450="","",IFERROR(IF(AND(LEN(A450)=10,NOT(ISERROR(VALUE(A450)))),"OK","확인"),"확인"))</f>
        <v>OK</v>
      </c>
      <c r="P450" s="30" t="str">
        <f t="shared" ref="P450:P513" si="22">IF(A450="","",IF(COUNTIF($A$2:$A$1946,A450)&gt;1,"중복",""))</f>
        <v/>
      </c>
      <c r="Q450" s="26" t="str">
        <f t="shared" ref="Q450:Q513" si="23">IF(G450="","",IF(ISNUMBER(SEARCH("@",G450)),"","확인"))</f>
        <v/>
      </c>
    </row>
    <row r="451" spans="1:17" x14ac:dyDescent="0.3">
      <c r="A451" s="33">
        <v>4112197753</v>
      </c>
      <c r="B451" s="21" t="s">
        <v>2183</v>
      </c>
      <c r="C451" s="21" t="s">
        <v>2184</v>
      </c>
      <c r="D451" s="21" t="s">
        <v>2185</v>
      </c>
      <c r="E451" s="21" t="s">
        <v>83</v>
      </c>
      <c r="F451" s="21" t="s">
        <v>96</v>
      </c>
      <c r="G451" s="21" t="s">
        <v>2186</v>
      </c>
      <c r="H451" s="25"/>
      <c r="I451" s="25"/>
      <c r="J451" s="25"/>
      <c r="K451" s="25"/>
      <c r="L451" s="25"/>
      <c r="M451" s="22" t="s">
        <v>86</v>
      </c>
      <c r="N451" s="23">
        <v>46083</v>
      </c>
      <c r="O451" s="26" t="str">
        <f t="shared" si="21"/>
        <v>OK</v>
      </c>
      <c r="P451" s="30" t="str">
        <f t="shared" si="22"/>
        <v/>
      </c>
      <c r="Q451" s="26" t="str">
        <f t="shared" si="23"/>
        <v/>
      </c>
    </row>
    <row r="452" spans="1:17" x14ac:dyDescent="0.3">
      <c r="A452" s="33">
        <v>4018136490</v>
      </c>
      <c r="B452" s="21" t="s">
        <v>2187</v>
      </c>
      <c r="C452" s="21" t="s">
        <v>2188</v>
      </c>
      <c r="D452" s="21" t="s">
        <v>2189</v>
      </c>
      <c r="E452" s="21" t="s">
        <v>179</v>
      </c>
      <c r="F452" s="21" t="s">
        <v>2190</v>
      </c>
      <c r="G452" s="21" t="s">
        <v>2191</v>
      </c>
      <c r="H452" s="25"/>
      <c r="I452" s="25"/>
      <c r="J452" s="25"/>
      <c r="K452" s="25"/>
      <c r="L452" s="25"/>
      <c r="M452" s="22" t="s">
        <v>86</v>
      </c>
      <c r="N452" s="23">
        <v>46083</v>
      </c>
      <c r="O452" s="26" t="str">
        <f t="shared" si="21"/>
        <v>OK</v>
      </c>
      <c r="P452" s="30" t="str">
        <f t="shared" si="22"/>
        <v/>
      </c>
      <c r="Q452" s="26" t="str">
        <f t="shared" si="23"/>
        <v/>
      </c>
    </row>
    <row r="453" spans="1:17" x14ac:dyDescent="0.3">
      <c r="A453" s="33">
        <v>4028153022</v>
      </c>
      <c r="B453" s="21" t="s">
        <v>2192</v>
      </c>
      <c r="C453" s="21" t="s">
        <v>2193</v>
      </c>
      <c r="D453" s="21" t="s">
        <v>2194</v>
      </c>
      <c r="E453" s="21" t="s">
        <v>111</v>
      </c>
      <c r="F453" s="21" t="s">
        <v>823</v>
      </c>
      <c r="G453" s="21"/>
      <c r="H453" s="25"/>
      <c r="I453" s="25"/>
      <c r="J453" s="25"/>
      <c r="K453" s="25"/>
      <c r="L453" s="25"/>
      <c r="M453" s="22" t="s">
        <v>86</v>
      </c>
      <c r="N453" s="23">
        <v>46083</v>
      </c>
      <c r="O453" s="26" t="str">
        <f t="shared" si="21"/>
        <v>OK</v>
      </c>
      <c r="P453" s="30" t="str">
        <f t="shared" si="22"/>
        <v/>
      </c>
      <c r="Q453" s="26" t="str">
        <f t="shared" si="23"/>
        <v/>
      </c>
    </row>
    <row r="454" spans="1:17" x14ac:dyDescent="0.3">
      <c r="A454" s="33">
        <v>4028214521</v>
      </c>
      <c r="B454" s="21" t="s">
        <v>2195</v>
      </c>
      <c r="C454" s="21" t="s">
        <v>2196</v>
      </c>
      <c r="D454" s="21" t="s">
        <v>2197</v>
      </c>
      <c r="E454" s="21" t="s">
        <v>2198</v>
      </c>
      <c r="F454" s="21" t="s">
        <v>2199</v>
      </c>
      <c r="G454" s="21" t="s">
        <v>2200</v>
      </c>
      <c r="H454" s="25"/>
      <c r="I454" s="25"/>
      <c r="J454" s="25"/>
      <c r="K454" s="25"/>
      <c r="L454" s="25"/>
      <c r="M454" s="22" t="s">
        <v>86</v>
      </c>
      <c r="N454" s="23">
        <v>46083</v>
      </c>
      <c r="O454" s="26" t="str">
        <f t="shared" si="21"/>
        <v>OK</v>
      </c>
      <c r="P454" s="30" t="str">
        <f t="shared" si="22"/>
        <v/>
      </c>
      <c r="Q454" s="26" t="str">
        <f t="shared" si="23"/>
        <v/>
      </c>
    </row>
    <row r="455" spans="1:17" x14ac:dyDescent="0.3">
      <c r="A455" s="33">
        <v>4188207739</v>
      </c>
      <c r="B455" s="21" t="s">
        <v>2201</v>
      </c>
      <c r="C455" s="21" t="s">
        <v>2196</v>
      </c>
      <c r="D455" s="21" t="s">
        <v>2202</v>
      </c>
      <c r="E455" s="21" t="s">
        <v>247</v>
      </c>
      <c r="F455" s="21" t="s">
        <v>2203</v>
      </c>
      <c r="G455" s="21" t="s">
        <v>2204</v>
      </c>
      <c r="H455" s="25"/>
      <c r="I455" s="25"/>
      <c r="J455" s="25"/>
      <c r="K455" s="25"/>
      <c r="L455" s="25"/>
      <c r="M455" s="22" t="s">
        <v>86</v>
      </c>
      <c r="N455" s="23">
        <v>46083</v>
      </c>
      <c r="O455" s="26" t="str">
        <f t="shared" si="21"/>
        <v>OK</v>
      </c>
      <c r="P455" s="30" t="str">
        <f t="shared" si="22"/>
        <v/>
      </c>
      <c r="Q455" s="26" t="str">
        <f t="shared" si="23"/>
        <v/>
      </c>
    </row>
    <row r="456" spans="1:17" x14ac:dyDescent="0.3">
      <c r="A456" s="33">
        <v>4010569717</v>
      </c>
      <c r="B456" s="21" t="s">
        <v>2205</v>
      </c>
      <c r="C456" s="21" t="s">
        <v>2206</v>
      </c>
      <c r="D456" s="21" t="s">
        <v>2207</v>
      </c>
      <c r="E456" s="21" t="s">
        <v>190</v>
      </c>
      <c r="F456" s="21" t="s">
        <v>2208</v>
      </c>
      <c r="G456" s="21"/>
      <c r="H456" s="25"/>
      <c r="I456" s="25"/>
      <c r="J456" s="25"/>
      <c r="K456" s="25"/>
      <c r="L456" s="25"/>
      <c r="M456" s="22" t="s">
        <v>86</v>
      </c>
      <c r="N456" s="23">
        <v>46083</v>
      </c>
      <c r="O456" s="26" t="str">
        <f t="shared" si="21"/>
        <v>OK</v>
      </c>
      <c r="P456" s="30" t="str">
        <f t="shared" si="22"/>
        <v/>
      </c>
      <c r="Q456" s="26" t="str">
        <f t="shared" si="23"/>
        <v/>
      </c>
    </row>
    <row r="457" spans="1:17" x14ac:dyDescent="0.3">
      <c r="A457" s="33">
        <v>4031347470</v>
      </c>
      <c r="B457" s="21" t="s">
        <v>2209</v>
      </c>
      <c r="C457" s="21" t="s">
        <v>2210</v>
      </c>
      <c r="D457" s="21" t="s">
        <v>2211</v>
      </c>
      <c r="E457" s="21" t="s">
        <v>366</v>
      </c>
      <c r="F457" s="21" t="s">
        <v>228</v>
      </c>
      <c r="G457" s="21"/>
      <c r="H457" s="25"/>
      <c r="I457" s="25"/>
      <c r="J457" s="25"/>
      <c r="K457" s="25"/>
      <c r="L457" s="25"/>
      <c r="M457" s="22" t="s">
        <v>86</v>
      </c>
      <c r="N457" s="23">
        <v>46083</v>
      </c>
      <c r="O457" s="26" t="str">
        <f t="shared" si="21"/>
        <v>OK</v>
      </c>
      <c r="P457" s="30" t="str">
        <f t="shared" si="22"/>
        <v/>
      </c>
      <c r="Q457" s="26" t="str">
        <f t="shared" si="23"/>
        <v/>
      </c>
    </row>
    <row r="458" spans="1:17" x14ac:dyDescent="0.3">
      <c r="A458" s="33">
        <v>4030957592</v>
      </c>
      <c r="B458" s="21" t="s">
        <v>2212</v>
      </c>
      <c r="C458" s="21" t="s">
        <v>2213</v>
      </c>
      <c r="D458" s="21" t="s">
        <v>2214</v>
      </c>
      <c r="E458" s="21" t="s">
        <v>83</v>
      </c>
      <c r="F458" s="21" t="s">
        <v>2215</v>
      </c>
      <c r="G458" s="21"/>
      <c r="H458" s="25"/>
      <c r="I458" s="25"/>
      <c r="J458" s="25"/>
      <c r="K458" s="25"/>
      <c r="L458" s="25"/>
      <c r="M458" s="22" t="s">
        <v>86</v>
      </c>
      <c r="N458" s="23">
        <v>46083</v>
      </c>
      <c r="O458" s="26" t="str">
        <f t="shared" si="21"/>
        <v>OK</v>
      </c>
      <c r="P458" s="30" t="str">
        <f t="shared" si="22"/>
        <v/>
      </c>
      <c r="Q458" s="26" t="str">
        <f t="shared" si="23"/>
        <v/>
      </c>
    </row>
    <row r="459" spans="1:17" x14ac:dyDescent="0.3">
      <c r="A459" s="33">
        <v>1661801003</v>
      </c>
      <c r="B459" s="21" t="s">
        <v>2216</v>
      </c>
      <c r="C459" s="21" t="s">
        <v>2217</v>
      </c>
      <c r="D459" s="21" t="s">
        <v>2218</v>
      </c>
      <c r="E459" s="21" t="s">
        <v>179</v>
      </c>
      <c r="F459" s="21" t="s">
        <v>2219</v>
      </c>
      <c r="G459" s="21" t="s">
        <v>2220</v>
      </c>
      <c r="H459" s="25"/>
      <c r="I459" s="25"/>
      <c r="J459" s="25"/>
      <c r="K459" s="25"/>
      <c r="L459" s="25"/>
      <c r="M459" s="22" t="s">
        <v>86</v>
      </c>
      <c r="N459" s="23">
        <v>46083</v>
      </c>
      <c r="O459" s="26" t="str">
        <f t="shared" si="21"/>
        <v>OK</v>
      </c>
      <c r="P459" s="30" t="str">
        <f t="shared" si="22"/>
        <v/>
      </c>
      <c r="Q459" s="26" t="str">
        <f t="shared" si="23"/>
        <v/>
      </c>
    </row>
    <row r="460" spans="1:17" x14ac:dyDescent="0.3">
      <c r="A460" s="33">
        <v>4031429902</v>
      </c>
      <c r="B460" s="21" t="s">
        <v>2221</v>
      </c>
      <c r="C460" s="21" t="s">
        <v>2222</v>
      </c>
      <c r="D460" s="21" t="s">
        <v>2223</v>
      </c>
      <c r="E460" s="21" t="s">
        <v>1003</v>
      </c>
      <c r="F460" s="21" t="s">
        <v>1314</v>
      </c>
      <c r="G460" s="21" t="s">
        <v>2224</v>
      </c>
      <c r="H460" s="25"/>
      <c r="I460" s="25"/>
      <c r="J460" s="25"/>
      <c r="K460" s="25"/>
      <c r="L460" s="25"/>
      <c r="M460" s="22" t="s">
        <v>86</v>
      </c>
      <c r="N460" s="23">
        <v>46083</v>
      </c>
      <c r="O460" s="26" t="str">
        <f t="shared" si="21"/>
        <v>OK</v>
      </c>
      <c r="P460" s="30" t="str">
        <f t="shared" si="22"/>
        <v/>
      </c>
      <c r="Q460" s="26" t="str">
        <f t="shared" si="23"/>
        <v/>
      </c>
    </row>
    <row r="461" spans="1:17" x14ac:dyDescent="0.3">
      <c r="A461" s="33">
        <v>2463900630</v>
      </c>
      <c r="B461" s="21" t="s">
        <v>2225</v>
      </c>
      <c r="C461" s="21" t="s">
        <v>2226</v>
      </c>
      <c r="D461" s="21" t="s">
        <v>2227</v>
      </c>
      <c r="E461" s="21"/>
      <c r="F461" s="21" t="s">
        <v>2228</v>
      </c>
      <c r="G461" s="21" t="s">
        <v>2229</v>
      </c>
      <c r="H461" s="25"/>
      <c r="I461" s="25"/>
      <c r="J461" s="25"/>
      <c r="K461" s="25"/>
      <c r="L461" s="25"/>
      <c r="M461" s="22" t="s">
        <v>86</v>
      </c>
      <c r="N461" s="23">
        <v>46083</v>
      </c>
      <c r="O461" s="26" t="str">
        <f t="shared" si="21"/>
        <v>OK</v>
      </c>
      <c r="P461" s="30" t="str">
        <f t="shared" si="22"/>
        <v/>
      </c>
      <c r="Q461" s="26" t="str">
        <f t="shared" si="23"/>
        <v/>
      </c>
    </row>
    <row r="462" spans="1:17" x14ac:dyDescent="0.3">
      <c r="A462" s="33">
        <v>4031956398</v>
      </c>
      <c r="B462" s="21" t="s">
        <v>2230</v>
      </c>
      <c r="C462" s="21" t="s">
        <v>2231</v>
      </c>
      <c r="D462" s="21" t="s">
        <v>2232</v>
      </c>
      <c r="E462" s="21" t="s">
        <v>247</v>
      </c>
      <c r="F462" s="21" t="s">
        <v>228</v>
      </c>
      <c r="G462" s="21"/>
      <c r="H462" s="25"/>
      <c r="I462" s="25"/>
      <c r="J462" s="25"/>
      <c r="K462" s="25"/>
      <c r="L462" s="25"/>
      <c r="M462" s="22" t="s">
        <v>86</v>
      </c>
      <c r="N462" s="23">
        <v>46083</v>
      </c>
      <c r="O462" s="26" t="str">
        <f t="shared" si="21"/>
        <v>OK</v>
      </c>
      <c r="P462" s="30" t="str">
        <f t="shared" si="22"/>
        <v/>
      </c>
      <c r="Q462" s="26" t="str">
        <f t="shared" si="23"/>
        <v/>
      </c>
    </row>
    <row r="463" spans="1:17" x14ac:dyDescent="0.3">
      <c r="A463" s="33">
        <v>4038116807</v>
      </c>
      <c r="B463" s="21" t="s">
        <v>2233</v>
      </c>
      <c r="C463" s="21" t="s">
        <v>2234</v>
      </c>
      <c r="D463" s="21" t="s">
        <v>2235</v>
      </c>
      <c r="E463" s="21" t="s">
        <v>111</v>
      </c>
      <c r="F463" s="21" t="s">
        <v>2236</v>
      </c>
      <c r="G463" s="21" t="s">
        <v>2237</v>
      </c>
      <c r="H463" s="25"/>
      <c r="I463" s="25"/>
      <c r="J463" s="25"/>
      <c r="K463" s="25"/>
      <c r="L463" s="25"/>
      <c r="M463" s="22" t="s">
        <v>86</v>
      </c>
      <c r="N463" s="23">
        <v>46083</v>
      </c>
      <c r="O463" s="26" t="str">
        <f t="shared" si="21"/>
        <v>OK</v>
      </c>
      <c r="P463" s="30" t="str">
        <f t="shared" si="22"/>
        <v/>
      </c>
      <c r="Q463" s="26" t="str">
        <f t="shared" si="23"/>
        <v/>
      </c>
    </row>
    <row r="464" spans="1:17" x14ac:dyDescent="0.3">
      <c r="A464" s="33">
        <v>4028139938</v>
      </c>
      <c r="B464" s="21" t="s">
        <v>2238</v>
      </c>
      <c r="C464" s="21" t="s">
        <v>2239</v>
      </c>
      <c r="D464" s="21" t="s">
        <v>2240</v>
      </c>
      <c r="E464" s="21" t="s">
        <v>83</v>
      </c>
      <c r="F464" s="21" t="s">
        <v>2241</v>
      </c>
      <c r="G464" s="21" t="s">
        <v>2242</v>
      </c>
      <c r="H464" s="25"/>
      <c r="I464" s="25"/>
      <c r="J464" s="25"/>
      <c r="K464" s="25"/>
      <c r="L464" s="25"/>
      <c r="M464" s="22" t="s">
        <v>86</v>
      </c>
      <c r="N464" s="23">
        <v>46083</v>
      </c>
      <c r="O464" s="26" t="str">
        <f t="shared" si="21"/>
        <v>OK</v>
      </c>
      <c r="P464" s="30" t="str">
        <f t="shared" si="22"/>
        <v/>
      </c>
      <c r="Q464" s="26" t="str">
        <f t="shared" si="23"/>
        <v/>
      </c>
    </row>
    <row r="465" spans="1:17" x14ac:dyDescent="0.3">
      <c r="A465" s="33">
        <v>6481901268</v>
      </c>
      <c r="B465" s="21" t="s">
        <v>2243</v>
      </c>
      <c r="C465" s="21" t="s">
        <v>2244</v>
      </c>
      <c r="D465" s="21" t="s">
        <v>2245</v>
      </c>
      <c r="E465" s="21" t="s">
        <v>173</v>
      </c>
      <c r="F465" s="21" t="s">
        <v>2246</v>
      </c>
      <c r="G465" s="21" t="s">
        <v>2247</v>
      </c>
      <c r="H465" s="25"/>
      <c r="I465" s="25"/>
      <c r="J465" s="25"/>
      <c r="K465" s="25"/>
      <c r="L465" s="25"/>
      <c r="M465" s="22" t="s">
        <v>86</v>
      </c>
      <c r="N465" s="23">
        <v>46083</v>
      </c>
      <c r="O465" s="26" t="str">
        <f t="shared" si="21"/>
        <v>OK</v>
      </c>
      <c r="P465" s="30" t="str">
        <f t="shared" si="22"/>
        <v/>
      </c>
      <c r="Q465" s="26" t="str">
        <f t="shared" si="23"/>
        <v/>
      </c>
    </row>
    <row r="466" spans="1:17" x14ac:dyDescent="0.3">
      <c r="A466" s="33">
        <v>7322701501</v>
      </c>
      <c r="B466" s="21" t="s">
        <v>2248</v>
      </c>
      <c r="C466" s="21" t="s">
        <v>2249</v>
      </c>
      <c r="D466" s="21" t="s">
        <v>2250</v>
      </c>
      <c r="E466" s="21" t="s">
        <v>336</v>
      </c>
      <c r="F466" s="21" t="s">
        <v>2251</v>
      </c>
      <c r="G466" s="21" t="s">
        <v>2252</v>
      </c>
      <c r="H466" s="25"/>
      <c r="I466" s="25"/>
      <c r="J466" s="25"/>
      <c r="K466" s="25"/>
      <c r="L466" s="25"/>
      <c r="M466" s="22" t="s">
        <v>86</v>
      </c>
      <c r="N466" s="23">
        <v>46083</v>
      </c>
      <c r="O466" s="26" t="str">
        <f t="shared" si="21"/>
        <v>OK</v>
      </c>
      <c r="P466" s="30" t="str">
        <f t="shared" si="22"/>
        <v/>
      </c>
      <c r="Q466" s="26" t="str">
        <f t="shared" si="23"/>
        <v/>
      </c>
    </row>
    <row r="467" spans="1:17" x14ac:dyDescent="0.3">
      <c r="A467" s="33">
        <v>3153301307</v>
      </c>
      <c r="B467" s="21" t="s">
        <v>2253</v>
      </c>
      <c r="C467" s="21" t="s">
        <v>2254</v>
      </c>
      <c r="D467" s="21" t="s">
        <v>2255</v>
      </c>
      <c r="E467" s="21" t="s">
        <v>669</v>
      </c>
      <c r="F467" s="21" t="s">
        <v>2256</v>
      </c>
      <c r="G467" s="21" t="s">
        <v>2257</v>
      </c>
      <c r="H467" s="25"/>
      <c r="I467" s="25"/>
      <c r="J467" s="25"/>
      <c r="K467" s="25"/>
      <c r="L467" s="25"/>
      <c r="M467" s="22" t="s">
        <v>86</v>
      </c>
      <c r="N467" s="23">
        <v>46083</v>
      </c>
      <c r="O467" s="26" t="str">
        <f t="shared" si="21"/>
        <v>OK</v>
      </c>
      <c r="P467" s="30" t="str">
        <f t="shared" si="22"/>
        <v/>
      </c>
      <c r="Q467" s="26" t="str">
        <f t="shared" si="23"/>
        <v/>
      </c>
    </row>
    <row r="468" spans="1:17" x14ac:dyDescent="0.3">
      <c r="A468" s="33">
        <v>3524000891</v>
      </c>
      <c r="B468" s="21" t="s">
        <v>2258</v>
      </c>
      <c r="C468" s="21" t="s">
        <v>2259</v>
      </c>
      <c r="D468" s="21" t="s">
        <v>2260</v>
      </c>
      <c r="E468" s="21" t="s">
        <v>83</v>
      </c>
      <c r="F468" s="21" t="s">
        <v>96</v>
      </c>
      <c r="G468" s="21" t="s">
        <v>2261</v>
      </c>
      <c r="H468" s="25"/>
      <c r="I468" s="25"/>
      <c r="J468" s="25"/>
      <c r="K468" s="25"/>
      <c r="L468" s="25"/>
      <c r="M468" s="22" t="s">
        <v>86</v>
      </c>
      <c r="N468" s="23">
        <v>46083</v>
      </c>
      <c r="O468" s="26" t="str">
        <f t="shared" si="21"/>
        <v>OK</v>
      </c>
      <c r="P468" s="30" t="str">
        <f t="shared" si="22"/>
        <v/>
      </c>
      <c r="Q468" s="26" t="str">
        <f t="shared" si="23"/>
        <v/>
      </c>
    </row>
    <row r="469" spans="1:17" x14ac:dyDescent="0.3">
      <c r="A469" s="33">
        <v>1208641110</v>
      </c>
      <c r="B469" s="21" t="s">
        <v>2262</v>
      </c>
      <c r="C469" s="21" t="s">
        <v>2263</v>
      </c>
      <c r="D469" s="21" t="s">
        <v>2264</v>
      </c>
      <c r="E469" s="21" t="s">
        <v>83</v>
      </c>
      <c r="F469" s="21" t="s">
        <v>2265</v>
      </c>
      <c r="G469" s="21" t="s">
        <v>2266</v>
      </c>
      <c r="H469" s="25"/>
      <c r="I469" s="25"/>
      <c r="J469" s="25"/>
      <c r="K469" s="25"/>
      <c r="L469" s="25"/>
      <c r="M469" s="22" t="s">
        <v>86</v>
      </c>
      <c r="N469" s="23">
        <v>46083</v>
      </c>
      <c r="O469" s="26" t="str">
        <f t="shared" si="21"/>
        <v>OK</v>
      </c>
      <c r="P469" s="30" t="str">
        <f t="shared" si="22"/>
        <v/>
      </c>
      <c r="Q469" s="26" t="str">
        <f t="shared" si="23"/>
        <v/>
      </c>
    </row>
    <row r="470" spans="1:17" x14ac:dyDescent="0.3">
      <c r="A470" s="33">
        <v>4030599537</v>
      </c>
      <c r="B470" s="21" t="s">
        <v>2267</v>
      </c>
      <c r="C470" s="21" t="s">
        <v>2268</v>
      </c>
      <c r="D470" s="21" t="s">
        <v>2269</v>
      </c>
      <c r="E470" s="21" t="s">
        <v>190</v>
      </c>
      <c r="F470" s="21" t="s">
        <v>2270</v>
      </c>
      <c r="G470" s="21" t="s">
        <v>2271</v>
      </c>
      <c r="H470" s="25"/>
      <c r="I470" s="25"/>
      <c r="J470" s="25"/>
      <c r="K470" s="25"/>
      <c r="L470" s="25"/>
      <c r="M470" s="22" t="s">
        <v>86</v>
      </c>
      <c r="N470" s="23">
        <v>46083</v>
      </c>
      <c r="O470" s="26" t="str">
        <f t="shared" si="21"/>
        <v>OK</v>
      </c>
      <c r="P470" s="30" t="str">
        <f t="shared" si="22"/>
        <v/>
      </c>
      <c r="Q470" s="26" t="str">
        <f t="shared" si="23"/>
        <v/>
      </c>
    </row>
    <row r="471" spans="1:17" x14ac:dyDescent="0.3">
      <c r="A471" s="33">
        <v>6021699315</v>
      </c>
      <c r="B471" s="21" t="s">
        <v>2272</v>
      </c>
      <c r="C471" s="21" t="s">
        <v>2273</v>
      </c>
      <c r="D471" s="21" t="s">
        <v>2274</v>
      </c>
      <c r="E471" s="21" t="s">
        <v>190</v>
      </c>
      <c r="F471" s="21" t="s">
        <v>96</v>
      </c>
      <c r="G471" s="21" t="s">
        <v>2275</v>
      </c>
      <c r="H471" s="25"/>
      <c r="I471" s="25"/>
      <c r="J471" s="25"/>
      <c r="K471" s="25"/>
      <c r="L471" s="25"/>
      <c r="M471" s="22" t="s">
        <v>86</v>
      </c>
      <c r="N471" s="23">
        <v>46083</v>
      </c>
      <c r="O471" s="26" t="str">
        <f t="shared" si="21"/>
        <v>OK</v>
      </c>
      <c r="P471" s="30" t="str">
        <f t="shared" si="22"/>
        <v/>
      </c>
      <c r="Q471" s="26" t="str">
        <f t="shared" si="23"/>
        <v/>
      </c>
    </row>
    <row r="472" spans="1:17" x14ac:dyDescent="0.3">
      <c r="A472" s="33">
        <v>4021524556</v>
      </c>
      <c r="B472" s="21" t="s">
        <v>2276</v>
      </c>
      <c r="C472" s="21" t="s">
        <v>2277</v>
      </c>
      <c r="D472" s="21" t="s">
        <v>2278</v>
      </c>
      <c r="E472" s="21" t="s">
        <v>179</v>
      </c>
      <c r="F472" s="21" t="s">
        <v>2279</v>
      </c>
      <c r="G472" s="21" t="s">
        <v>2280</v>
      </c>
      <c r="H472" s="25"/>
      <c r="I472" s="25"/>
      <c r="J472" s="25"/>
      <c r="K472" s="25"/>
      <c r="L472" s="25"/>
      <c r="M472" s="22" t="s">
        <v>86</v>
      </c>
      <c r="N472" s="23">
        <v>46083</v>
      </c>
      <c r="O472" s="26" t="str">
        <f t="shared" si="21"/>
        <v>OK</v>
      </c>
      <c r="P472" s="30" t="str">
        <f t="shared" si="22"/>
        <v/>
      </c>
      <c r="Q472" s="26" t="str">
        <f t="shared" si="23"/>
        <v/>
      </c>
    </row>
    <row r="473" spans="1:17" x14ac:dyDescent="0.3">
      <c r="A473" s="33">
        <v>4028113393</v>
      </c>
      <c r="B473" s="21" t="s">
        <v>2281</v>
      </c>
      <c r="C473" s="21" t="s">
        <v>2282</v>
      </c>
      <c r="D473" s="21" t="s">
        <v>2283</v>
      </c>
      <c r="E473" s="21" t="s">
        <v>83</v>
      </c>
      <c r="F473" s="21" t="s">
        <v>2284</v>
      </c>
      <c r="G473" s="21" t="s">
        <v>2285</v>
      </c>
      <c r="H473" s="25"/>
      <c r="I473" s="25"/>
      <c r="J473" s="25"/>
      <c r="K473" s="25"/>
      <c r="L473" s="25"/>
      <c r="M473" s="22" t="s">
        <v>86</v>
      </c>
      <c r="N473" s="23">
        <v>46083</v>
      </c>
      <c r="O473" s="26" t="str">
        <f t="shared" si="21"/>
        <v>OK</v>
      </c>
      <c r="P473" s="30" t="str">
        <f t="shared" si="22"/>
        <v/>
      </c>
      <c r="Q473" s="26" t="str">
        <f t="shared" si="23"/>
        <v/>
      </c>
    </row>
    <row r="474" spans="1:17" x14ac:dyDescent="0.3">
      <c r="A474" s="33">
        <v>5518602378</v>
      </c>
      <c r="B474" s="21" t="s">
        <v>2286</v>
      </c>
      <c r="C474" s="21" t="s">
        <v>2287</v>
      </c>
      <c r="D474" s="21" t="s">
        <v>2288</v>
      </c>
      <c r="E474" s="21" t="s">
        <v>647</v>
      </c>
      <c r="F474" s="21" t="s">
        <v>2289</v>
      </c>
      <c r="G474" s="21" t="s">
        <v>2290</v>
      </c>
      <c r="H474" s="25"/>
      <c r="I474" s="25"/>
      <c r="J474" s="25"/>
      <c r="K474" s="25"/>
      <c r="L474" s="25"/>
      <c r="M474" s="22" t="s">
        <v>86</v>
      </c>
      <c r="N474" s="23">
        <v>46083</v>
      </c>
      <c r="O474" s="26" t="str">
        <f t="shared" si="21"/>
        <v>OK</v>
      </c>
      <c r="P474" s="30" t="str">
        <f t="shared" si="22"/>
        <v/>
      </c>
      <c r="Q474" s="26" t="str">
        <f t="shared" si="23"/>
        <v/>
      </c>
    </row>
    <row r="475" spans="1:17" x14ac:dyDescent="0.3">
      <c r="A475" s="33">
        <v>4438101563</v>
      </c>
      <c r="B475" s="21" t="s">
        <v>2291</v>
      </c>
      <c r="C475" s="21" t="s">
        <v>2292</v>
      </c>
      <c r="D475" s="21" t="s">
        <v>2293</v>
      </c>
      <c r="E475" s="21" t="s">
        <v>83</v>
      </c>
      <c r="F475" s="21" t="s">
        <v>242</v>
      </c>
      <c r="G475" s="21" t="s">
        <v>2294</v>
      </c>
      <c r="H475" s="25"/>
      <c r="I475" s="25"/>
      <c r="J475" s="25"/>
      <c r="K475" s="25"/>
      <c r="L475" s="25"/>
      <c r="M475" s="22" t="s">
        <v>86</v>
      </c>
      <c r="N475" s="23">
        <v>46083</v>
      </c>
      <c r="O475" s="26" t="str">
        <f t="shared" si="21"/>
        <v>OK</v>
      </c>
      <c r="P475" s="30" t="str">
        <f t="shared" si="22"/>
        <v/>
      </c>
      <c r="Q475" s="26" t="str">
        <f t="shared" si="23"/>
        <v/>
      </c>
    </row>
    <row r="476" spans="1:17" x14ac:dyDescent="0.3">
      <c r="A476" s="33">
        <v>3180400189</v>
      </c>
      <c r="B476" s="21" t="s">
        <v>2295</v>
      </c>
      <c r="C476" s="21" t="s">
        <v>2296</v>
      </c>
      <c r="D476" s="21" t="s">
        <v>2297</v>
      </c>
      <c r="E476" s="21" t="s">
        <v>190</v>
      </c>
      <c r="F476" s="21" t="s">
        <v>874</v>
      </c>
      <c r="G476" s="21" t="s">
        <v>2298</v>
      </c>
      <c r="H476" s="25"/>
      <c r="I476" s="25"/>
      <c r="J476" s="25"/>
      <c r="K476" s="25"/>
      <c r="L476" s="25"/>
      <c r="M476" s="22" t="s">
        <v>86</v>
      </c>
      <c r="N476" s="23">
        <v>46083</v>
      </c>
      <c r="O476" s="26" t="str">
        <f t="shared" si="21"/>
        <v>OK</v>
      </c>
      <c r="P476" s="30" t="str">
        <f t="shared" si="22"/>
        <v/>
      </c>
      <c r="Q476" s="26" t="str">
        <f t="shared" si="23"/>
        <v/>
      </c>
    </row>
    <row r="477" spans="1:17" x14ac:dyDescent="0.3">
      <c r="A477" s="33">
        <v>8320702082</v>
      </c>
      <c r="B477" s="21" t="s">
        <v>2299</v>
      </c>
      <c r="C477" s="21" t="s">
        <v>2300</v>
      </c>
      <c r="D477" s="21" t="s">
        <v>2301</v>
      </c>
      <c r="E477" s="21" t="s">
        <v>83</v>
      </c>
      <c r="F477" s="21" t="s">
        <v>1190</v>
      </c>
      <c r="G477" s="21" t="s">
        <v>2302</v>
      </c>
      <c r="H477" s="25"/>
      <c r="I477" s="25"/>
      <c r="J477" s="25"/>
      <c r="K477" s="25"/>
      <c r="L477" s="25"/>
      <c r="M477" s="22" t="s">
        <v>86</v>
      </c>
      <c r="N477" s="23">
        <v>46083</v>
      </c>
      <c r="O477" s="26" t="str">
        <f t="shared" si="21"/>
        <v>OK</v>
      </c>
      <c r="P477" s="30" t="str">
        <f t="shared" si="22"/>
        <v/>
      </c>
      <c r="Q477" s="26" t="str">
        <f t="shared" si="23"/>
        <v/>
      </c>
    </row>
    <row r="478" spans="1:17" x14ac:dyDescent="0.3">
      <c r="A478" s="33">
        <v>4030915933</v>
      </c>
      <c r="B478" s="21" t="s">
        <v>2303</v>
      </c>
      <c r="C478" s="21" t="s">
        <v>2304</v>
      </c>
      <c r="D478" s="21" t="s">
        <v>2305</v>
      </c>
      <c r="E478" s="21" t="s">
        <v>394</v>
      </c>
      <c r="F478" s="21" t="s">
        <v>2306</v>
      </c>
      <c r="G478" s="21" t="s">
        <v>2307</v>
      </c>
      <c r="H478" s="25"/>
      <c r="I478" s="25"/>
      <c r="J478" s="25"/>
      <c r="K478" s="25"/>
      <c r="L478" s="25"/>
      <c r="M478" s="22" t="s">
        <v>86</v>
      </c>
      <c r="N478" s="23">
        <v>46083</v>
      </c>
      <c r="O478" s="26" t="str">
        <f t="shared" si="21"/>
        <v>OK</v>
      </c>
      <c r="P478" s="30" t="str">
        <f t="shared" si="22"/>
        <v/>
      </c>
      <c r="Q478" s="26" t="str">
        <f t="shared" si="23"/>
        <v/>
      </c>
    </row>
    <row r="479" spans="1:17" x14ac:dyDescent="0.3">
      <c r="A479" s="33">
        <v>4180340223</v>
      </c>
      <c r="B479" s="21" t="s">
        <v>2308</v>
      </c>
      <c r="C479" s="21" t="s">
        <v>2309</v>
      </c>
      <c r="D479" s="21" t="s">
        <v>2310</v>
      </c>
      <c r="E479" s="21" t="s">
        <v>179</v>
      </c>
      <c r="F479" s="21" t="s">
        <v>2311</v>
      </c>
      <c r="G479" s="21" t="s">
        <v>2312</v>
      </c>
      <c r="H479" s="25"/>
      <c r="I479" s="25"/>
      <c r="J479" s="25"/>
      <c r="K479" s="25"/>
      <c r="L479" s="25"/>
      <c r="M479" s="22" t="s">
        <v>86</v>
      </c>
      <c r="N479" s="23">
        <v>46083</v>
      </c>
      <c r="O479" s="26" t="str">
        <f t="shared" si="21"/>
        <v>OK</v>
      </c>
      <c r="P479" s="30" t="str">
        <f t="shared" si="22"/>
        <v/>
      </c>
      <c r="Q479" s="26" t="str">
        <f t="shared" si="23"/>
        <v/>
      </c>
    </row>
    <row r="480" spans="1:17" x14ac:dyDescent="0.3">
      <c r="A480" s="33">
        <v>8442200800</v>
      </c>
      <c r="B480" s="21" t="s">
        <v>2313</v>
      </c>
      <c r="C480" s="21" t="s">
        <v>2314</v>
      </c>
      <c r="D480" s="21" t="s">
        <v>2315</v>
      </c>
      <c r="E480" s="21" t="s">
        <v>788</v>
      </c>
      <c r="F480" s="21" t="s">
        <v>96</v>
      </c>
      <c r="G480" s="21" t="s">
        <v>2316</v>
      </c>
      <c r="H480" s="25"/>
      <c r="I480" s="25"/>
      <c r="J480" s="25"/>
      <c r="K480" s="25"/>
      <c r="L480" s="25"/>
      <c r="M480" s="22" t="s">
        <v>86</v>
      </c>
      <c r="N480" s="23">
        <v>46083</v>
      </c>
      <c r="O480" s="26" t="str">
        <f t="shared" si="21"/>
        <v>OK</v>
      </c>
      <c r="P480" s="30" t="str">
        <f t="shared" si="22"/>
        <v/>
      </c>
      <c r="Q480" s="26" t="str">
        <f t="shared" si="23"/>
        <v/>
      </c>
    </row>
    <row r="481" spans="1:17" x14ac:dyDescent="0.3">
      <c r="A481" s="33">
        <v>4048109046</v>
      </c>
      <c r="B481" s="21" t="s">
        <v>2317</v>
      </c>
      <c r="C481" s="21" t="s">
        <v>2318</v>
      </c>
      <c r="D481" s="21" t="s">
        <v>2319</v>
      </c>
      <c r="E481" s="21" t="s">
        <v>532</v>
      </c>
      <c r="F481" s="21" t="s">
        <v>2320</v>
      </c>
      <c r="G481" s="21" t="s">
        <v>2321</v>
      </c>
      <c r="H481" s="25"/>
      <c r="I481" s="25"/>
      <c r="J481" s="25"/>
      <c r="K481" s="25"/>
      <c r="L481" s="25"/>
      <c r="M481" s="22" t="s">
        <v>86</v>
      </c>
      <c r="N481" s="23">
        <v>46083</v>
      </c>
      <c r="O481" s="26" t="str">
        <f t="shared" si="21"/>
        <v>OK</v>
      </c>
      <c r="P481" s="30" t="str">
        <f t="shared" si="22"/>
        <v/>
      </c>
      <c r="Q481" s="26" t="str">
        <f t="shared" si="23"/>
        <v/>
      </c>
    </row>
    <row r="482" spans="1:17" x14ac:dyDescent="0.3">
      <c r="A482" s="33">
        <v>4010363738</v>
      </c>
      <c r="B482" s="21" t="s">
        <v>2322</v>
      </c>
      <c r="C482" s="21" t="s">
        <v>2323</v>
      </c>
      <c r="D482" s="21" t="s">
        <v>2324</v>
      </c>
      <c r="E482" s="21" t="s">
        <v>2325</v>
      </c>
      <c r="F482" s="21" t="s">
        <v>2326</v>
      </c>
      <c r="G482" s="21" t="s">
        <v>2327</v>
      </c>
      <c r="H482" s="25"/>
      <c r="I482" s="25"/>
      <c r="J482" s="25"/>
      <c r="K482" s="25"/>
      <c r="L482" s="25"/>
      <c r="M482" s="22" t="s">
        <v>86</v>
      </c>
      <c r="N482" s="23">
        <v>46083</v>
      </c>
      <c r="O482" s="26" t="str">
        <f t="shared" si="21"/>
        <v>OK</v>
      </c>
      <c r="P482" s="30" t="str">
        <f t="shared" si="22"/>
        <v/>
      </c>
      <c r="Q482" s="26" t="str">
        <f t="shared" si="23"/>
        <v/>
      </c>
    </row>
    <row r="483" spans="1:17" x14ac:dyDescent="0.3">
      <c r="A483" s="33">
        <v>1338700558</v>
      </c>
      <c r="B483" s="21" t="s">
        <v>2328</v>
      </c>
      <c r="C483" s="21" t="s">
        <v>2329</v>
      </c>
      <c r="D483" s="21" t="s">
        <v>2330</v>
      </c>
      <c r="E483" s="21" t="s">
        <v>83</v>
      </c>
      <c r="F483" s="21"/>
      <c r="G483" s="21" t="s">
        <v>2331</v>
      </c>
      <c r="H483" s="25"/>
      <c r="I483" s="25"/>
      <c r="J483" s="25"/>
      <c r="K483" s="25"/>
      <c r="L483" s="25"/>
      <c r="M483" s="22" t="s">
        <v>86</v>
      </c>
      <c r="N483" s="23">
        <v>46083</v>
      </c>
      <c r="O483" s="26" t="str">
        <f t="shared" si="21"/>
        <v>OK</v>
      </c>
      <c r="P483" s="30" t="str">
        <f t="shared" si="22"/>
        <v/>
      </c>
      <c r="Q483" s="26" t="str">
        <f t="shared" si="23"/>
        <v/>
      </c>
    </row>
    <row r="484" spans="1:17" x14ac:dyDescent="0.3">
      <c r="A484" s="33">
        <v>4030599032</v>
      </c>
      <c r="B484" s="21" t="s">
        <v>2332</v>
      </c>
      <c r="C484" s="21" t="s">
        <v>2333</v>
      </c>
      <c r="D484" s="21" t="s">
        <v>2334</v>
      </c>
      <c r="E484" s="21" t="s">
        <v>190</v>
      </c>
      <c r="F484" s="21" t="s">
        <v>2335</v>
      </c>
      <c r="G484" s="21" t="s">
        <v>2336</v>
      </c>
      <c r="H484" s="25"/>
      <c r="I484" s="25"/>
      <c r="J484" s="25"/>
      <c r="K484" s="25"/>
      <c r="L484" s="25"/>
      <c r="M484" s="22" t="s">
        <v>86</v>
      </c>
      <c r="N484" s="23">
        <v>46083</v>
      </c>
      <c r="O484" s="26" t="str">
        <f t="shared" si="21"/>
        <v>OK</v>
      </c>
      <c r="P484" s="30" t="str">
        <f t="shared" si="22"/>
        <v/>
      </c>
      <c r="Q484" s="26" t="str">
        <f t="shared" si="23"/>
        <v/>
      </c>
    </row>
    <row r="485" spans="1:17" x14ac:dyDescent="0.3">
      <c r="A485" s="33">
        <v>3080282778</v>
      </c>
      <c r="B485" s="21" t="s">
        <v>2337</v>
      </c>
      <c r="C485" s="21" t="s">
        <v>2338</v>
      </c>
      <c r="D485" s="21" t="s">
        <v>2339</v>
      </c>
      <c r="E485" s="21" t="s">
        <v>336</v>
      </c>
      <c r="F485" s="21" t="s">
        <v>2340</v>
      </c>
      <c r="G485" s="21"/>
      <c r="H485" s="25"/>
      <c r="I485" s="25"/>
      <c r="J485" s="25"/>
      <c r="K485" s="25"/>
      <c r="L485" s="25"/>
      <c r="M485" s="22" t="s">
        <v>86</v>
      </c>
      <c r="N485" s="23">
        <v>46083</v>
      </c>
      <c r="O485" s="26" t="str">
        <f t="shared" si="21"/>
        <v>OK</v>
      </c>
      <c r="P485" s="30" t="str">
        <f t="shared" si="22"/>
        <v/>
      </c>
      <c r="Q485" s="26" t="str">
        <f t="shared" si="23"/>
        <v/>
      </c>
    </row>
    <row r="486" spans="1:17" x14ac:dyDescent="0.3">
      <c r="A486" s="33">
        <v>4030998351</v>
      </c>
      <c r="B486" s="21" t="s">
        <v>2341</v>
      </c>
      <c r="C486" s="21" t="s">
        <v>2342</v>
      </c>
      <c r="D486" s="21" t="s">
        <v>2343</v>
      </c>
      <c r="E486" s="21" t="s">
        <v>179</v>
      </c>
      <c r="F486" s="21" t="s">
        <v>2344</v>
      </c>
      <c r="G486" s="21" t="s">
        <v>2345</v>
      </c>
      <c r="H486" s="25"/>
      <c r="I486" s="25"/>
      <c r="J486" s="25"/>
      <c r="K486" s="25"/>
      <c r="L486" s="25"/>
      <c r="M486" s="22" t="s">
        <v>86</v>
      </c>
      <c r="N486" s="23">
        <v>46083</v>
      </c>
      <c r="O486" s="26" t="str">
        <f t="shared" si="21"/>
        <v>OK</v>
      </c>
      <c r="P486" s="30" t="str">
        <f t="shared" si="22"/>
        <v/>
      </c>
      <c r="Q486" s="26" t="str">
        <f t="shared" si="23"/>
        <v/>
      </c>
    </row>
    <row r="487" spans="1:17" x14ac:dyDescent="0.3">
      <c r="A487" s="33">
        <v>4088607744</v>
      </c>
      <c r="B487" s="21" t="s">
        <v>2346</v>
      </c>
      <c r="C487" s="21" t="s">
        <v>2347</v>
      </c>
      <c r="D487" s="21" t="s">
        <v>2348</v>
      </c>
      <c r="E487" s="21" t="s">
        <v>83</v>
      </c>
      <c r="F487" s="21" t="s">
        <v>2349</v>
      </c>
      <c r="G487" s="21" t="s">
        <v>2350</v>
      </c>
      <c r="H487" s="25"/>
      <c r="I487" s="25"/>
      <c r="J487" s="25"/>
      <c r="K487" s="25"/>
      <c r="L487" s="25"/>
      <c r="M487" s="22" t="s">
        <v>86</v>
      </c>
      <c r="N487" s="23">
        <v>46083</v>
      </c>
      <c r="O487" s="26" t="str">
        <f t="shared" si="21"/>
        <v>OK</v>
      </c>
      <c r="P487" s="30" t="str">
        <f t="shared" si="22"/>
        <v/>
      </c>
      <c r="Q487" s="26" t="str">
        <f t="shared" si="23"/>
        <v/>
      </c>
    </row>
    <row r="488" spans="1:17" x14ac:dyDescent="0.3">
      <c r="A488" s="33">
        <v>6318801010</v>
      </c>
      <c r="B488" s="21" t="s">
        <v>2351</v>
      </c>
      <c r="C488" s="21" t="s">
        <v>2352</v>
      </c>
      <c r="D488" s="21" t="s">
        <v>2353</v>
      </c>
      <c r="E488" s="21" t="s">
        <v>83</v>
      </c>
      <c r="F488" s="21" t="s">
        <v>2354</v>
      </c>
      <c r="G488" s="21"/>
      <c r="H488" s="25"/>
      <c r="I488" s="25"/>
      <c r="J488" s="25"/>
      <c r="K488" s="25"/>
      <c r="L488" s="25"/>
      <c r="M488" s="22" t="s">
        <v>86</v>
      </c>
      <c r="N488" s="23">
        <v>46083</v>
      </c>
      <c r="O488" s="26" t="str">
        <f t="shared" si="21"/>
        <v>OK</v>
      </c>
      <c r="P488" s="30" t="str">
        <f t="shared" si="22"/>
        <v/>
      </c>
      <c r="Q488" s="26" t="str">
        <f t="shared" si="23"/>
        <v/>
      </c>
    </row>
    <row r="489" spans="1:17" x14ac:dyDescent="0.3">
      <c r="A489" s="33">
        <v>4018127915</v>
      </c>
      <c r="B489" s="21" t="s">
        <v>2355</v>
      </c>
      <c r="C489" s="21" t="s">
        <v>2356</v>
      </c>
      <c r="D489" s="21" t="s">
        <v>2357</v>
      </c>
      <c r="E489" s="21" t="s">
        <v>190</v>
      </c>
      <c r="F489" s="21" t="s">
        <v>2358</v>
      </c>
      <c r="G489" s="21" t="s">
        <v>2359</v>
      </c>
      <c r="H489" s="25"/>
      <c r="I489" s="25"/>
      <c r="J489" s="25"/>
      <c r="K489" s="25"/>
      <c r="L489" s="25"/>
      <c r="M489" s="22" t="s">
        <v>86</v>
      </c>
      <c r="N489" s="23">
        <v>46083</v>
      </c>
      <c r="O489" s="26" t="str">
        <f t="shared" si="21"/>
        <v>OK</v>
      </c>
      <c r="P489" s="30" t="str">
        <f t="shared" si="22"/>
        <v/>
      </c>
      <c r="Q489" s="26" t="str">
        <f t="shared" si="23"/>
        <v/>
      </c>
    </row>
    <row r="490" spans="1:17" x14ac:dyDescent="0.3">
      <c r="A490" s="33">
        <v>4028162889</v>
      </c>
      <c r="B490" s="21" t="s">
        <v>2360</v>
      </c>
      <c r="C490" s="21" t="s">
        <v>2361</v>
      </c>
      <c r="D490" s="21" t="s">
        <v>2362</v>
      </c>
      <c r="E490" s="21" t="s">
        <v>2363</v>
      </c>
      <c r="F490" s="21" t="s">
        <v>2364</v>
      </c>
      <c r="G490" s="21" t="s">
        <v>2365</v>
      </c>
      <c r="H490" s="25"/>
      <c r="I490" s="25"/>
      <c r="J490" s="25"/>
      <c r="K490" s="25"/>
      <c r="L490" s="25"/>
      <c r="M490" s="22" t="s">
        <v>86</v>
      </c>
      <c r="N490" s="23">
        <v>46083</v>
      </c>
      <c r="O490" s="26" t="str">
        <f t="shared" si="21"/>
        <v>OK</v>
      </c>
      <c r="P490" s="30" t="str">
        <f t="shared" si="22"/>
        <v/>
      </c>
      <c r="Q490" s="26" t="str">
        <f t="shared" si="23"/>
        <v/>
      </c>
    </row>
    <row r="491" spans="1:17" x14ac:dyDescent="0.3">
      <c r="A491" s="33">
        <v>4030722518</v>
      </c>
      <c r="B491" s="21" t="s">
        <v>2366</v>
      </c>
      <c r="C491" s="21" t="s">
        <v>2367</v>
      </c>
      <c r="D491" s="21" t="s">
        <v>2368</v>
      </c>
      <c r="E491" s="21" t="s">
        <v>190</v>
      </c>
      <c r="F491" s="21" t="s">
        <v>2369</v>
      </c>
      <c r="G491" s="21" t="s">
        <v>2370</v>
      </c>
      <c r="H491" s="25"/>
      <c r="I491" s="25"/>
      <c r="J491" s="25"/>
      <c r="K491" s="25"/>
      <c r="L491" s="25"/>
      <c r="M491" s="22" t="s">
        <v>86</v>
      </c>
      <c r="N491" s="23">
        <v>46083</v>
      </c>
      <c r="O491" s="26" t="str">
        <f t="shared" si="21"/>
        <v>OK</v>
      </c>
      <c r="P491" s="30" t="str">
        <f t="shared" si="22"/>
        <v/>
      </c>
      <c r="Q491" s="26" t="str">
        <f t="shared" si="23"/>
        <v/>
      </c>
    </row>
    <row r="492" spans="1:17" x14ac:dyDescent="0.3">
      <c r="A492" s="33">
        <v>4030526543</v>
      </c>
      <c r="B492" s="21" t="s">
        <v>2371</v>
      </c>
      <c r="C492" s="21" t="s">
        <v>2372</v>
      </c>
      <c r="D492" s="21" t="s">
        <v>2373</v>
      </c>
      <c r="E492" s="21" t="s">
        <v>190</v>
      </c>
      <c r="F492" s="21" t="s">
        <v>191</v>
      </c>
      <c r="G492" s="21" t="s">
        <v>2374</v>
      </c>
      <c r="H492" s="25"/>
      <c r="I492" s="25"/>
      <c r="J492" s="25"/>
      <c r="K492" s="25"/>
      <c r="L492" s="25"/>
      <c r="M492" s="22" t="s">
        <v>86</v>
      </c>
      <c r="N492" s="23">
        <v>46083</v>
      </c>
      <c r="O492" s="26" t="str">
        <f t="shared" si="21"/>
        <v>OK</v>
      </c>
      <c r="P492" s="30" t="str">
        <f t="shared" si="22"/>
        <v/>
      </c>
      <c r="Q492" s="26" t="str">
        <f t="shared" si="23"/>
        <v/>
      </c>
    </row>
    <row r="493" spans="1:17" x14ac:dyDescent="0.3">
      <c r="A493" s="33">
        <v>4180850390</v>
      </c>
      <c r="B493" s="21" t="s">
        <v>2375</v>
      </c>
      <c r="C493" s="21" t="s">
        <v>2376</v>
      </c>
      <c r="D493" s="21" t="s">
        <v>2377</v>
      </c>
      <c r="E493" s="21" t="s">
        <v>179</v>
      </c>
      <c r="F493" s="21" t="s">
        <v>2378</v>
      </c>
      <c r="G493" s="21" t="s">
        <v>2379</v>
      </c>
      <c r="H493" s="25"/>
      <c r="I493" s="25"/>
      <c r="J493" s="25"/>
      <c r="K493" s="25"/>
      <c r="L493" s="25"/>
      <c r="M493" s="22" t="s">
        <v>86</v>
      </c>
      <c r="N493" s="23">
        <v>46083</v>
      </c>
      <c r="O493" s="26" t="str">
        <f t="shared" si="21"/>
        <v>OK</v>
      </c>
      <c r="P493" s="30" t="str">
        <f t="shared" si="22"/>
        <v/>
      </c>
      <c r="Q493" s="26" t="str">
        <f t="shared" si="23"/>
        <v/>
      </c>
    </row>
    <row r="494" spans="1:17" x14ac:dyDescent="0.3">
      <c r="A494" s="33">
        <v>1348633375</v>
      </c>
      <c r="B494" s="21" t="s">
        <v>2380</v>
      </c>
      <c r="C494" s="21" t="s">
        <v>2381</v>
      </c>
      <c r="D494" s="21" t="s">
        <v>2382</v>
      </c>
      <c r="E494" s="21" t="s">
        <v>2383</v>
      </c>
      <c r="F494" s="21" t="s">
        <v>2384</v>
      </c>
      <c r="G494" s="21" t="s">
        <v>2385</v>
      </c>
      <c r="H494" s="25"/>
      <c r="I494" s="25"/>
      <c r="J494" s="25"/>
      <c r="K494" s="25"/>
      <c r="L494" s="25"/>
      <c r="M494" s="22" t="s">
        <v>86</v>
      </c>
      <c r="N494" s="23">
        <v>46083</v>
      </c>
      <c r="O494" s="26" t="str">
        <f t="shared" si="21"/>
        <v>OK</v>
      </c>
      <c r="P494" s="30" t="str">
        <f t="shared" si="22"/>
        <v/>
      </c>
      <c r="Q494" s="26" t="str">
        <f t="shared" si="23"/>
        <v/>
      </c>
    </row>
    <row r="495" spans="1:17" x14ac:dyDescent="0.3">
      <c r="A495" s="33">
        <v>8823600245</v>
      </c>
      <c r="B495" s="21" t="s">
        <v>2386</v>
      </c>
      <c r="C495" s="21" t="s">
        <v>2387</v>
      </c>
      <c r="D495" s="21" t="s">
        <v>2388</v>
      </c>
      <c r="E495" s="21" t="s">
        <v>179</v>
      </c>
      <c r="F495" s="21" t="s">
        <v>2389</v>
      </c>
      <c r="G495" s="21" t="s">
        <v>2390</v>
      </c>
      <c r="H495" s="25"/>
      <c r="I495" s="25"/>
      <c r="J495" s="25"/>
      <c r="K495" s="25"/>
      <c r="L495" s="25"/>
      <c r="M495" s="22" t="s">
        <v>86</v>
      </c>
      <c r="N495" s="23">
        <v>46083</v>
      </c>
      <c r="O495" s="26" t="str">
        <f t="shared" si="21"/>
        <v>OK</v>
      </c>
      <c r="P495" s="30" t="str">
        <f t="shared" si="22"/>
        <v/>
      </c>
      <c r="Q495" s="26" t="str">
        <f t="shared" si="23"/>
        <v/>
      </c>
    </row>
    <row r="496" spans="1:17" x14ac:dyDescent="0.3">
      <c r="A496" s="33">
        <v>2554500616</v>
      </c>
      <c r="B496" s="21" t="s">
        <v>2391</v>
      </c>
      <c r="C496" s="21" t="s">
        <v>2392</v>
      </c>
      <c r="D496" s="21" t="s">
        <v>2393</v>
      </c>
      <c r="E496" s="21" t="s">
        <v>2394</v>
      </c>
      <c r="F496" s="21" t="s">
        <v>2395</v>
      </c>
      <c r="G496" s="21" t="s">
        <v>2396</v>
      </c>
      <c r="H496" s="25"/>
      <c r="I496" s="25"/>
      <c r="J496" s="25"/>
      <c r="K496" s="25"/>
      <c r="L496" s="25"/>
      <c r="M496" s="22" t="s">
        <v>86</v>
      </c>
      <c r="N496" s="23">
        <v>46083</v>
      </c>
      <c r="O496" s="26" t="str">
        <f t="shared" si="21"/>
        <v>OK</v>
      </c>
      <c r="P496" s="30" t="str">
        <f t="shared" si="22"/>
        <v/>
      </c>
      <c r="Q496" s="26" t="str">
        <f t="shared" si="23"/>
        <v/>
      </c>
    </row>
    <row r="497" spans="1:17" x14ac:dyDescent="0.3">
      <c r="A497" s="33">
        <v>4102855685</v>
      </c>
      <c r="B497" s="21" t="s">
        <v>2397</v>
      </c>
      <c r="C497" s="21" t="s">
        <v>2398</v>
      </c>
      <c r="D497" s="21" t="s">
        <v>2399</v>
      </c>
      <c r="E497" s="21" t="s">
        <v>2400</v>
      </c>
      <c r="F497" s="21" t="s">
        <v>2401</v>
      </c>
      <c r="G497" s="21" t="s">
        <v>2402</v>
      </c>
      <c r="H497" s="25"/>
      <c r="I497" s="25"/>
      <c r="J497" s="25"/>
      <c r="K497" s="25"/>
      <c r="L497" s="25"/>
      <c r="M497" s="22" t="s">
        <v>86</v>
      </c>
      <c r="N497" s="23">
        <v>46083</v>
      </c>
      <c r="O497" s="26" t="str">
        <f t="shared" si="21"/>
        <v>OK</v>
      </c>
      <c r="P497" s="30" t="str">
        <f t="shared" si="22"/>
        <v/>
      </c>
      <c r="Q497" s="26" t="str">
        <f t="shared" si="23"/>
        <v/>
      </c>
    </row>
    <row r="498" spans="1:17" x14ac:dyDescent="0.3">
      <c r="A498" s="33">
        <v>4078200449</v>
      </c>
      <c r="B498" s="21" t="s">
        <v>2403</v>
      </c>
      <c r="C498" s="21" t="s">
        <v>2404</v>
      </c>
      <c r="D498" s="21" t="s">
        <v>2405</v>
      </c>
      <c r="E498" s="21" t="s">
        <v>247</v>
      </c>
      <c r="F498" s="21" t="s">
        <v>277</v>
      </c>
      <c r="G498" s="21" t="s">
        <v>2406</v>
      </c>
      <c r="H498" s="25"/>
      <c r="I498" s="25"/>
      <c r="J498" s="25"/>
      <c r="K498" s="25"/>
      <c r="L498" s="25"/>
      <c r="M498" s="22" t="s">
        <v>86</v>
      </c>
      <c r="N498" s="23">
        <v>46083</v>
      </c>
      <c r="O498" s="26" t="str">
        <f t="shared" si="21"/>
        <v>OK</v>
      </c>
      <c r="P498" s="30" t="str">
        <f t="shared" si="22"/>
        <v/>
      </c>
      <c r="Q498" s="26" t="str">
        <f t="shared" si="23"/>
        <v/>
      </c>
    </row>
    <row r="499" spans="1:17" x14ac:dyDescent="0.3">
      <c r="A499" s="33">
        <v>4030523605</v>
      </c>
      <c r="B499" s="21" t="s">
        <v>2407</v>
      </c>
      <c r="C499" s="21" t="s">
        <v>2408</v>
      </c>
      <c r="D499" s="21" t="s">
        <v>2409</v>
      </c>
      <c r="E499" s="21" t="s">
        <v>1031</v>
      </c>
      <c r="F499" s="21" t="s">
        <v>2410</v>
      </c>
      <c r="G499" s="21" t="s">
        <v>2411</v>
      </c>
      <c r="H499" s="25"/>
      <c r="I499" s="25"/>
      <c r="J499" s="25"/>
      <c r="K499" s="25"/>
      <c r="L499" s="25"/>
      <c r="M499" s="22" t="s">
        <v>86</v>
      </c>
      <c r="N499" s="23">
        <v>46083</v>
      </c>
      <c r="O499" s="26" t="str">
        <f t="shared" si="21"/>
        <v>OK</v>
      </c>
      <c r="P499" s="30" t="str">
        <f t="shared" si="22"/>
        <v/>
      </c>
      <c r="Q499" s="26" t="str">
        <f t="shared" si="23"/>
        <v/>
      </c>
    </row>
    <row r="500" spans="1:17" x14ac:dyDescent="0.3">
      <c r="A500" s="33">
        <v>4012368459</v>
      </c>
      <c r="B500" s="21" t="s">
        <v>2412</v>
      </c>
      <c r="C500" s="21" t="s">
        <v>2413</v>
      </c>
      <c r="D500" s="21" t="s">
        <v>2414</v>
      </c>
      <c r="E500" s="21" t="s">
        <v>83</v>
      </c>
      <c r="F500" s="21" t="s">
        <v>96</v>
      </c>
      <c r="G500" s="21" t="s">
        <v>2415</v>
      </c>
      <c r="H500" s="25"/>
      <c r="I500" s="25"/>
      <c r="J500" s="25"/>
      <c r="K500" s="25"/>
      <c r="L500" s="25"/>
      <c r="M500" s="22" t="s">
        <v>86</v>
      </c>
      <c r="N500" s="23">
        <v>46083</v>
      </c>
      <c r="O500" s="26" t="str">
        <f t="shared" si="21"/>
        <v>OK</v>
      </c>
      <c r="P500" s="30" t="str">
        <f t="shared" si="22"/>
        <v/>
      </c>
      <c r="Q500" s="26" t="str">
        <f t="shared" si="23"/>
        <v/>
      </c>
    </row>
    <row r="501" spans="1:17" x14ac:dyDescent="0.3">
      <c r="A501" s="33">
        <v>1923700421</v>
      </c>
      <c r="B501" s="21" t="s">
        <v>2416</v>
      </c>
      <c r="C501" s="21" t="s">
        <v>2417</v>
      </c>
      <c r="D501" s="21" t="s">
        <v>2418</v>
      </c>
      <c r="E501" s="21" t="s">
        <v>83</v>
      </c>
      <c r="F501" s="21" t="s">
        <v>400</v>
      </c>
      <c r="G501" s="21" t="s">
        <v>2419</v>
      </c>
      <c r="H501" s="25"/>
      <c r="I501" s="25"/>
      <c r="J501" s="25"/>
      <c r="K501" s="25"/>
      <c r="L501" s="25"/>
      <c r="M501" s="22" t="s">
        <v>86</v>
      </c>
      <c r="N501" s="23">
        <v>46083</v>
      </c>
      <c r="O501" s="26" t="str">
        <f t="shared" si="21"/>
        <v>OK</v>
      </c>
      <c r="P501" s="30" t="str">
        <f t="shared" si="22"/>
        <v/>
      </c>
      <c r="Q501" s="26" t="str">
        <f t="shared" si="23"/>
        <v/>
      </c>
    </row>
    <row r="502" spans="1:17" x14ac:dyDescent="0.3">
      <c r="A502" s="33">
        <v>4038170136</v>
      </c>
      <c r="B502" s="21" t="s">
        <v>2420</v>
      </c>
      <c r="C502" s="21" t="s">
        <v>2421</v>
      </c>
      <c r="D502" s="21" t="s">
        <v>2422</v>
      </c>
      <c r="E502" s="21" t="s">
        <v>2423</v>
      </c>
      <c r="F502" s="21" t="s">
        <v>2424</v>
      </c>
      <c r="G502" s="21" t="s">
        <v>2425</v>
      </c>
      <c r="H502" s="25"/>
      <c r="I502" s="25"/>
      <c r="J502" s="25"/>
      <c r="K502" s="25"/>
      <c r="L502" s="25"/>
      <c r="M502" s="22" t="s">
        <v>86</v>
      </c>
      <c r="N502" s="23">
        <v>46083</v>
      </c>
      <c r="O502" s="26" t="str">
        <f t="shared" si="21"/>
        <v>OK</v>
      </c>
      <c r="P502" s="30" t="str">
        <f t="shared" si="22"/>
        <v/>
      </c>
      <c r="Q502" s="26" t="str">
        <f t="shared" si="23"/>
        <v/>
      </c>
    </row>
    <row r="503" spans="1:17" x14ac:dyDescent="0.3">
      <c r="A503" s="33">
        <v>4188105049</v>
      </c>
      <c r="B503" s="21" t="s">
        <v>2426</v>
      </c>
      <c r="C503" s="21" t="s">
        <v>2427</v>
      </c>
      <c r="D503" s="21" t="s">
        <v>2428</v>
      </c>
      <c r="E503" s="21" t="s">
        <v>83</v>
      </c>
      <c r="F503" s="21" t="s">
        <v>2429</v>
      </c>
      <c r="G503" s="21" t="s">
        <v>2430</v>
      </c>
      <c r="H503" s="25"/>
      <c r="I503" s="25"/>
      <c r="J503" s="25"/>
      <c r="K503" s="25"/>
      <c r="L503" s="25"/>
      <c r="M503" s="22" t="s">
        <v>86</v>
      </c>
      <c r="N503" s="23">
        <v>46083</v>
      </c>
      <c r="O503" s="26" t="str">
        <f t="shared" si="21"/>
        <v>OK</v>
      </c>
      <c r="P503" s="30" t="str">
        <f t="shared" si="22"/>
        <v/>
      </c>
      <c r="Q503" s="26" t="str">
        <f t="shared" si="23"/>
        <v/>
      </c>
    </row>
    <row r="504" spans="1:17" x14ac:dyDescent="0.3">
      <c r="A504" s="33">
        <v>1082846279</v>
      </c>
      <c r="B504" s="21" t="s">
        <v>2431</v>
      </c>
      <c r="C504" s="21" t="s">
        <v>2432</v>
      </c>
      <c r="D504" s="21" t="s">
        <v>2433</v>
      </c>
      <c r="E504" s="21" t="s">
        <v>179</v>
      </c>
      <c r="F504" s="21" t="s">
        <v>2434</v>
      </c>
      <c r="G504" s="21" t="s">
        <v>2435</v>
      </c>
      <c r="H504" s="25"/>
      <c r="I504" s="25"/>
      <c r="J504" s="25"/>
      <c r="K504" s="25"/>
      <c r="L504" s="25"/>
      <c r="M504" s="22" t="s">
        <v>86</v>
      </c>
      <c r="N504" s="23">
        <v>46083</v>
      </c>
      <c r="O504" s="26" t="str">
        <f t="shared" si="21"/>
        <v>OK</v>
      </c>
      <c r="P504" s="30" t="str">
        <f t="shared" si="22"/>
        <v/>
      </c>
      <c r="Q504" s="26" t="str">
        <f t="shared" si="23"/>
        <v/>
      </c>
    </row>
    <row r="505" spans="1:17" x14ac:dyDescent="0.3">
      <c r="A505" s="33">
        <v>1620500846</v>
      </c>
      <c r="B505" s="21" t="s">
        <v>2436</v>
      </c>
      <c r="C505" s="21" t="s">
        <v>2437</v>
      </c>
      <c r="D505" s="21" t="s">
        <v>2438</v>
      </c>
      <c r="E505" s="21" t="s">
        <v>247</v>
      </c>
      <c r="F505" s="21" t="s">
        <v>228</v>
      </c>
      <c r="G505" s="21"/>
      <c r="H505" s="25"/>
      <c r="I505" s="25"/>
      <c r="J505" s="25"/>
      <c r="K505" s="25"/>
      <c r="L505" s="25"/>
      <c r="M505" s="22" t="s">
        <v>86</v>
      </c>
      <c r="N505" s="23">
        <v>46083</v>
      </c>
      <c r="O505" s="26" t="str">
        <f t="shared" si="21"/>
        <v>OK</v>
      </c>
      <c r="P505" s="30" t="str">
        <f t="shared" si="22"/>
        <v/>
      </c>
      <c r="Q505" s="26" t="str">
        <f t="shared" si="23"/>
        <v/>
      </c>
    </row>
    <row r="506" spans="1:17" x14ac:dyDescent="0.3">
      <c r="A506" s="33">
        <v>4031174691</v>
      </c>
      <c r="B506" s="21" t="s">
        <v>2439</v>
      </c>
      <c r="C506" s="21" t="s">
        <v>2440</v>
      </c>
      <c r="D506" s="21" t="s">
        <v>2441</v>
      </c>
      <c r="E506" s="21" t="s">
        <v>366</v>
      </c>
      <c r="F506" s="21" t="s">
        <v>228</v>
      </c>
      <c r="G506" s="21" t="s">
        <v>1046</v>
      </c>
      <c r="H506" s="25"/>
      <c r="I506" s="25"/>
      <c r="J506" s="25"/>
      <c r="K506" s="25"/>
      <c r="L506" s="25"/>
      <c r="M506" s="22" t="s">
        <v>86</v>
      </c>
      <c r="N506" s="23">
        <v>46083</v>
      </c>
      <c r="O506" s="26" t="str">
        <f t="shared" si="21"/>
        <v>OK</v>
      </c>
      <c r="P506" s="30" t="str">
        <f t="shared" si="22"/>
        <v/>
      </c>
      <c r="Q506" s="26" t="str">
        <f t="shared" si="23"/>
        <v/>
      </c>
    </row>
    <row r="507" spans="1:17" x14ac:dyDescent="0.3">
      <c r="A507" s="33">
        <v>4028136232</v>
      </c>
      <c r="B507" s="21" t="s">
        <v>2442</v>
      </c>
      <c r="C507" s="21" t="s">
        <v>2443</v>
      </c>
      <c r="D507" s="21" t="s">
        <v>2444</v>
      </c>
      <c r="E507" s="21" t="s">
        <v>83</v>
      </c>
      <c r="F507" s="21" t="s">
        <v>450</v>
      </c>
      <c r="G507" s="21" t="s">
        <v>1399</v>
      </c>
      <c r="H507" s="25"/>
      <c r="I507" s="25"/>
      <c r="J507" s="25"/>
      <c r="K507" s="25"/>
      <c r="L507" s="25"/>
      <c r="M507" s="22" t="s">
        <v>86</v>
      </c>
      <c r="N507" s="23">
        <v>46083</v>
      </c>
      <c r="O507" s="26" t="str">
        <f t="shared" si="21"/>
        <v>OK</v>
      </c>
      <c r="P507" s="30" t="str">
        <f t="shared" si="22"/>
        <v/>
      </c>
      <c r="Q507" s="26" t="str">
        <f t="shared" si="23"/>
        <v/>
      </c>
    </row>
    <row r="508" spans="1:17" x14ac:dyDescent="0.3">
      <c r="A508" s="33">
        <v>4031959172</v>
      </c>
      <c r="B508" s="21" t="s">
        <v>2445</v>
      </c>
      <c r="C508" s="21" t="s">
        <v>2446</v>
      </c>
      <c r="D508" s="21" t="s">
        <v>2447</v>
      </c>
      <c r="E508" s="21" t="s">
        <v>190</v>
      </c>
      <c r="F508" s="21" t="s">
        <v>191</v>
      </c>
      <c r="G508" s="21"/>
      <c r="H508" s="25"/>
      <c r="I508" s="25"/>
      <c r="J508" s="25"/>
      <c r="K508" s="25"/>
      <c r="L508" s="25"/>
      <c r="M508" s="22" t="s">
        <v>86</v>
      </c>
      <c r="N508" s="23">
        <v>46083</v>
      </c>
      <c r="O508" s="26" t="str">
        <f t="shared" si="21"/>
        <v>OK</v>
      </c>
      <c r="P508" s="30" t="str">
        <f t="shared" si="22"/>
        <v/>
      </c>
      <c r="Q508" s="26" t="str">
        <f t="shared" si="23"/>
        <v/>
      </c>
    </row>
    <row r="509" spans="1:17" x14ac:dyDescent="0.3">
      <c r="A509" s="33">
        <v>4020965293</v>
      </c>
      <c r="B509" s="21" t="s">
        <v>2448</v>
      </c>
      <c r="C509" s="21" t="s">
        <v>2449</v>
      </c>
      <c r="D509" s="21" t="s">
        <v>2450</v>
      </c>
      <c r="E509" s="21" t="s">
        <v>247</v>
      </c>
      <c r="F509" s="21" t="s">
        <v>2451</v>
      </c>
      <c r="G509" s="21" t="s">
        <v>2452</v>
      </c>
      <c r="H509" s="25"/>
      <c r="I509" s="25"/>
      <c r="J509" s="25"/>
      <c r="K509" s="25"/>
      <c r="L509" s="25"/>
      <c r="M509" s="22" t="s">
        <v>86</v>
      </c>
      <c r="N509" s="23">
        <v>46083</v>
      </c>
      <c r="O509" s="26" t="str">
        <f t="shared" si="21"/>
        <v>OK</v>
      </c>
      <c r="P509" s="30" t="str">
        <f t="shared" si="22"/>
        <v/>
      </c>
      <c r="Q509" s="26" t="str">
        <f t="shared" si="23"/>
        <v/>
      </c>
    </row>
    <row r="510" spans="1:17" x14ac:dyDescent="0.3">
      <c r="A510" s="33">
        <v>4180125698</v>
      </c>
      <c r="B510" s="21" t="s">
        <v>2453</v>
      </c>
      <c r="C510" s="21" t="s">
        <v>2454</v>
      </c>
      <c r="D510" s="21" t="s">
        <v>2455</v>
      </c>
      <c r="E510" s="21" t="s">
        <v>366</v>
      </c>
      <c r="F510" s="21" t="s">
        <v>1386</v>
      </c>
      <c r="G510" s="21" t="s">
        <v>2456</v>
      </c>
      <c r="H510" s="25"/>
      <c r="I510" s="25"/>
      <c r="J510" s="25"/>
      <c r="K510" s="25"/>
      <c r="L510" s="25"/>
      <c r="M510" s="22" t="s">
        <v>86</v>
      </c>
      <c r="N510" s="23">
        <v>46083</v>
      </c>
      <c r="O510" s="26" t="str">
        <f t="shared" si="21"/>
        <v>OK</v>
      </c>
      <c r="P510" s="30" t="str">
        <f t="shared" si="22"/>
        <v/>
      </c>
      <c r="Q510" s="26" t="str">
        <f t="shared" si="23"/>
        <v/>
      </c>
    </row>
    <row r="511" spans="1:17" x14ac:dyDescent="0.3">
      <c r="A511" s="33">
        <v>4030881362</v>
      </c>
      <c r="B511" s="21" t="s">
        <v>2457</v>
      </c>
      <c r="C511" s="21" t="s">
        <v>2458</v>
      </c>
      <c r="D511" s="21" t="s">
        <v>2459</v>
      </c>
      <c r="E511" s="21" t="s">
        <v>2460</v>
      </c>
      <c r="F511" s="21" t="s">
        <v>2461</v>
      </c>
      <c r="G511" s="21" t="s">
        <v>2462</v>
      </c>
      <c r="H511" s="25"/>
      <c r="I511" s="25"/>
      <c r="J511" s="25"/>
      <c r="K511" s="25"/>
      <c r="L511" s="25"/>
      <c r="M511" s="22" t="s">
        <v>86</v>
      </c>
      <c r="N511" s="23">
        <v>46083</v>
      </c>
      <c r="O511" s="26" t="str">
        <f t="shared" si="21"/>
        <v>OK</v>
      </c>
      <c r="P511" s="30" t="str">
        <f t="shared" si="22"/>
        <v/>
      </c>
      <c r="Q511" s="26" t="str">
        <f t="shared" si="23"/>
        <v/>
      </c>
    </row>
    <row r="512" spans="1:17" x14ac:dyDescent="0.3">
      <c r="A512" s="33">
        <v>3080249712</v>
      </c>
      <c r="B512" s="21" t="s">
        <v>2463</v>
      </c>
      <c r="C512" s="21" t="s">
        <v>2464</v>
      </c>
      <c r="D512" s="21" t="s">
        <v>2465</v>
      </c>
      <c r="E512" s="21" t="s">
        <v>247</v>
      </c>
      <c r="F512" s="21" t="s">
        <v>228</v>
      </c>
      <c r="G512" s="21" t="s">
        <v>2466</v>
      </c>
      <c r="H512" s="25"/>
      <c r="I512" s="25"/>
      <c r="J512" s="25"/>
      <c r="K512" s="25"/>
      <c r="L512" s="25"/>
      <c r="M512" s="22" t="s">
        <v>86</v>
      </c>
      <c r="N512" s="23">
        <v>46083</v>
      </c>
      <c r="O512" s="26" t="str">
        <f t="shared" si="21"/>
        <v>OK</v>
      </c>
      <c r="P512" s="30" t="str">
        <f t="shared" si="22"/>
        <v/>
      </c>
      <c r="Q512" s="26" t="str">
        <f t="shared" si="23"/>
        <v/>
      </c>
    </row>
    <row r="513" spans="1:17" x14ac:dyDescent="0.3">
      <c r="A513" s="33">
        <v>4050233452</v>
      </c>
      <c r="B513" s="21" t="s">
        <v>2467</v>
      </c>
      <c r="C513" s="21" t="s">
        <v>2468</v>
      </c>
      <c r="D513" s="21" t="s">
        <v>2469</v>
      </c>
      <c r="E513" s="21" t="s">
        <v>190</v>
      </c>
      <c r="F513" s="21" t="s">
        <v>1574</v>
      </c>
      <c r="G513" s="21" t="s">
        <v>2470</v>
      </c>
      <c r="H513" s="25"/>
      <c r="I513" s="25"/>
      <c r="J513" s="25"/>
      <c r="K513" s="25"/>
      <c r="L513" s="25"/>
      <c r="M513" s="22" t="s">
        <v>86</v>
      </c>
      <c r="N513" s="23">
        <v>46083</v>
      </c>
      <c r="O513" s="26" t="str">
        <f t="shared" si="21"/>
        <v>OK</v>
      </c>
      <c r="P513" s="30" t="str">
        <f t="shared" si="22"/>
        <v/>
      </c>
      <c r="Q513" s="26" t="str">
        <f t="shared" si="23"/>
        <v/>
      </c>
    </row>
    <row r="514" spans="1:17" x14ac:dyDescent="0.3">
      <c r="A514" s="33">
        <v>3062369435</v>
      </c>
      <c r="B514" s="28" t="s">
        <v>2471</v>
      </c>
      <c r="C514" s="21" t="s">
        <v>2472</v>
      </c>
      <c r="D514" s="21" t="s">
        <v>2473</v>
      </c>
      <c r="E514" s="21" t="s">
        <v>2474</v>
      </c>
      <c r="F514" s="21" t="s">
        <v>874</v>
      </c>
      <c r="G514" s="21" t="s">
        <v>2475</v>
      </c>
      <c r="H514" s="25"/>
      <c r="I514" s="25"/>
      <c r="J514" s="25"/>
      <c r="K514" s="25"/>
      <c r="L514" s="25"/>
      <c r="M514" s="22" t="s">
        <v>86</v>
      </c>
      <c r="N514" s="23">
        <v>46083</v>
      </c>
      <c r="O514" s="26" t="str">
        <f t="shared" ref="O514:O577" si="24">IF(A514="","",IFERROR(IF(AND(LEN(A514)=10,NOT(ISERROR(VALUE(A514)))),"OK","확인"),"확인"))</f>
        <v>OK</v>
      </c>
      <c r="P514" s="30" t="str">
        <f t="shared" ref="P514:P577" si="25">IF(A514="","",IF(COUNTIF($A$2:$A$1946,A514)&gt;1,"중복",""))</f>
        <v/>
      </c>
      <c r="Q514" s="26" t="str">
        <f t="shared" ref="Q514:Q577" si="26">IF(G514="","",IF(ISNUMBER(SEARCH("@",G514)),"","확인"))</f>
        <v/>
      </c>
    </row>
    <row r="515" spans="1:17" x14ac:dyDescent="0.3">
      <c r="A515" s="33">
        <v>4030248075</v>
      </c>
      <c r="B515" s="21" t="s">
        <v>2476</v>
      </c>
      <c r="C515" s="21" t="s">
        <v>2477</v>
      </c>
      <c r="D515" s="21" t="s">
        <v>2478</v>
      </c>
      <c r="E515" s="21" t="s">
        <v>190</v>
      </c>
      <c r="F515" s="21" t="s">
        <v>2479</v>
      </c>
      <c r="G515" s="21" t="s">
        <v>2435</v>
      </c>
      <c r="H515" s="25"/>
      <c r="I515" s="25"/>
      <c r="J515" s="25"/>
      <c r="K515" s="25"/>
      <c r="L515" s="25"/>
      <c r="M515" s="22" t="s">
        <v>86</v>
      </c>
      <c r="N515" s="23">
        <v>46083</v>
      </c>
      <c r="O515" s="26" t="str">
        <f t="shared" si="24"/>
        <v>OK</v>
      </c>
      <c r="P515" s="30" t="str">
        <f t="shared" si="25"/>
        <v/>
      </c>
      <c r="Q515" s="26" t="str">
        <f t="shared" si="26"/>
        <v/>
      </c>
    </row>
    <row r="516" spans="1:17" x14ac:dyDescent="0.3">
      <c r="A516" s="33">
        <v>2384000289</v>
      </c>
      <c r="B516" s="21" t="s">
        <v>2480</v>
      </c>
      <c r="C516" s="21" t="s">
        <v>2481</v>
      </c>
      <c r="D516" s="21" t="s">
        <v>2482</v>
      </c>
      <c r="E516" s="21" t="s">
        <v>179</v>
      </c>
      <c r="F516" s="21" t="s">
        <v>277</v>
      </c>
      <c r="G516" s="21" t="s">
        <v>342</v>
      </c>
      <c r="H516" s="25"/>
      <c r="I516" s="25"/>
      <c r="J516" s="25"/>
      <c r="K516" s="25"/>
      <c r="L516" s="25"/>
      <c r="M516" s="22" t="s">
        <v>86</v>
      </c>
      <c r="N516" s="23">
        <v>46083</v>
      </c>
      <c r="O516" s="26" t="str">
        <f t="shared" si="24"/>
        <v>OK</v>
      </c>
      <c r="P516" s="30" t="str">
        <f t="shared" si="25"/>
        <v/>
      </c>
      <c r="Q516" s="26" t="str">
        <f t="shared" si="26"/>
        <v/>
      </c>
    </row>
    <row r="517" spans="1:17" x14ac:dyDescent="0.3">
      <c r="A517" s="33">
        <v>4031593037</v>
      </c>
      <c r="B517" s="21" t="s">
        <v>2483</v>
      </c>
      <c r="C517" s="21" t="s">
        <v>2484</v>
      </c>
      <c r="D517" s="21" t="s">
        <v>2485</v>
      </c>
      <c r="E517" s="21" t="s">
        <v>190</v>
      </c>
      <c r="F517" s="21" t="s">
        <v>2486</v>
      </c>
      <c r="G517" s="21" t="s">
        <v>2487</v>
      </c>
      <c r="H517" s="25"/>
      <c r="I517" s="25"/>
      <c r="J517" s="25"/>
      <c r="K517" s="25"/>
      <c r="L517" s="25"/>
      <c r="M517" s="22" t="s">
        <v>86</v>
      </c>
      <c r="N517" s="23">
        <v>46083</v>
      </c>
      <c r="O517" s="26" t="str">
        <f t="shared" si="24"/>
        <v>OK</v>
      </c>
      <c r="P517" s="30" t="str">
        <f t="shared" si="25"/>
        <v/>
      </c>
      <c r="Q517" s="26" t="str">
        <f t="shared" si="26"/>
        <v/>
      </c>
    </row>
    <row r="518" spans="1:17" x14ac:dyDescent="0.3">
      <c r="A518" s="33">
        <v>4030870448</v>
      </c>
      <c r="B518" s="21" t="s">
        <v>2488</v>
      </c>
      <c r="C518" s="21" t="s">
        <v>2489</v>
      </c>
      <c r="D518" s="21" t="s">
        <v>2490</v>
      </c>
      <c r="E518" s="21" t="s">
        <v>95</v>
      </c>
      <c r="F518" s="21" t="s">
        <v>2491</v>
      </c>
      <c r="G518" s="21" t="s">
        <v>2492</v>
      </c>
      <c r="H518" s="25"/>
      <c r="I518" s="25"/>
      <c r="J518" s="25"/>
      <c r="K518" s="25"/>
      <c r="L518" s="25"/>
      <c r="M518" s="22" t="s">
        <v>86</v>
      </c>
      <c r="N518" s="23">
        <v>46083</v>
      </c>
      <c r="O518" s="26" t="str">
        <f t="shared" si="24"/>
        <v>OK</v>
      </c>
      <c r="P518" s="30" t="str">
        <f t="shared" si="25"/>
        <v/>
      </c>
      <c r="Q518" s="26" t="str">
        <f t="shared" si="26"/>
        <v/>
      </c>
    </row>
    <row r="519" spans="1:17" x14ac:dyDescent="0.3">
      <c r="A519" s="33">
        <v>6825000864</v>
      </c>
      <c r="B519" s="21" t="s">
        <v>2493</v>
      </c>
      <c r="C519" s="21" t="s">
        <v>2494</v>
      </c>
      <c r="D519" s="21" t="s">
        <v>2495</v>
      </c>
      <c r="E519" s="21" t="s">
        <v>83</v>
      </c>
      <c r="F519" s="21" t="s">
        <v>96</v>
      </c>
      <c r="G519" s="21" t="s">
        <v>2496</v>
      </c>
      <c r="H519" s="25"/>
      <c r="I519" s="25"/>
      <c r="J519" s="25"/>
      <c r="K519" s="25"/>
      <c r="L519" s="25"/>
      <c r="M519" s="22" t="s">
        <v>86</v>
      </c>
      <c r="N519" s="23">
        <v>46083</v>
      </c>
      <c r="O519" s="26" t="str">
        <f t="shared" si="24"/>
        <v>OK</v>
      </c>
      <c r="P519" s="30" t="str">
        <f t="shared" si="25"/>
        <v/>
      </c>
      <c r="Q519" s="26" t="str">
        <f t="shared" si="26"/>
        <v/>
      </c>
    </row>
    <row r="520" spans="1:17" x14ac:dyDescent="0.3">
      <c r="A520" s="33">
        <v>8976200149</v>
      </c>
      <c r="B520" s="21" t="s">
        <v>2497</v>
      </c>
      <c r="C520" s="21" t="s">
        <v>2498</v>
      </c>
      <c r="D520" s="21" t="s">
        <v>2499</v>
      </c>
      <c r="E520" s="21" t="s">
        <v>179</v>
      </c>
      <c r="F520" s="21" t="s">
        <v>874</v>
      </c>
      <c r="G520" s="21" t="s">
        <v>2500</v>
      </c>
      <c r="H520" s="25"/>
      <c r="I520" s="25"/>
      <c r="J520" s="25"/>
      <c r="K520" s="25"/>
      <c r="L520" s="25"/>
      <c r="M520" s="22" t="s">
        <v>86</v>
      </c>
      <c r="N520" s="23">
        <v>46083</v>
      </c>
      <c r="O520" s="26" t="str">
        <f t="shared" si="24"/>
        <v>OK</v>
      </c>
      <c r="P520" s="30" t="str">
        <f t="shared" si="25"/>
        <v/>
      </c>
      <c r="Q520" s="26" t="str">
        <f t="shared" si="26"/>
        <v/>
      </c>
    </row>
    <row r="521" spans="1:17" x14ac:dyDescent="0.3">
      <c r="A521" s="33">
        <v>4038112188</v>
      </c>
      <c r="B521" s="21" t="s">
        <v>2501</v>
      </c>
      <c r="C521" s="21" t="s">
        <v>2502</v>
      </c>
      <c r="D521" s="21" t="s">
        <v>2503</v>
      </c>
      <c r="E521" s="21" t="s">
        <v>2504</v>
      </c>
      <c r="F521" s="21" t="s">
        <v>2505</v>
      </c>
      <c r="G521" s="21" t="s">
        <v>2506</v>
      </c>
      <c r="H521" s="25"/>
      <c r="I521" s="25"/>
      <c r="J521" s="25"/>
      <c r="K521" s="25"/>
      <c r="L521" s="25"/>
      <c r="M521" s="22" t="s">
        <v>86</v>
      </c>
      <c r="N521" s="23">
        <v>46083</v>
      </c>
      <c r="O521" s="26" t="str">
        <f t="shared" si="24"/>
        <v>OK</v>
      </c>
      <c r="P521" s="30" t="str">
        <f t="shared" si="25"/>
        <v/>
      </c>
      <c r="Q521" s="26" t="str">
        <f t="shared" si="26"/>
        <v/>
      </c>
    </row>
    <row r="522" spans="1:17" x14ac:dyDescent="0.3">
      <c r="A522" s="33">
        <v>4011188559</v>
      </c>
      <c r="B522" s="21" t="s">
        <v>2507</v>
      </c>
      <c r="C522" s="21" t="s">
        <v>2508</v>
      </c>
      <c r="D522" s="21" t="s">
        <v>2509</v>
      </c>
      <c r="E522" s="21" t="s">
        <v>190</v>
      </c>
      <c r="F522" s="21" t="s">
        <v>2510</v>
      </c>
      <c r="G522" s="21" t="s">
        <v>2511</v>
      </c>
      <c r="H522" s="25"/>
      <c r="I522" s="25"/>
      <c r="J522" s="25"/>
      <c r="K522" s="25"/>
      <c r="L522" s="25"/>
      <c r="M522" s="22" t="s">
        <v>86</v>
      </c>
      <c r="N522" s="23">
        <v>46083</v>
      </c>
      <c r="O522" s="26" t="str">
        <f t="shared" si="24"/>
        <v>OK</v>
      </c>
      <c r="P522" s="30" t="str">
        <f t="shared" si="25"/>
        <v/>
      </c>
      <c r="Q522" s="26" t="str">
        <f t="shared" si="26"/>
        <v/>
      </c>
    </row>
    <row r="523" spans="1:17" x14ac:dyDescent="0.3">
      <c r="A523" s="33">
        <v>7331101013</v>
      </c>
      <c r="B523" s="21" t="s">
        <v>2512</v>
      </c>
      <c r="C523" s="21" t="s">
        <v>2513</v>
      </c>
      <c r="D523" s="21" t="s">
        <v>2514</v>
      </c>
      <c r="E523" s="21" t="s">
        <v>179</v>
      </c>
      <c r="F523" s="21" t="s">
        <v>2515</v>
      </c>
      <c r="G523" s="21" t="s">
        <v>2516</v>
      </c>
      <c r="H523" s="25"/>
      <c r="I523" s="25"/>
      <c r="J523" s="25"/>
      <c r="K523" s="25"/>
      <c r="L523" s="25"/>
      <c r="M523" s="22" t="s">
        <v>86</v>
      </c>
      <c r="N523" s="23">
        <v>46083</v>
      </c>
      <c r="O523" s="26" t="str">
        <f t="shared" si="24"/>
        <v>OK</v>
      </c>
      <c r="P523" s="30" t="str">
        <f t="shared" si="25"/>
        <v/>
      </c>
      <c r="Q523" s="26" t="str">
        <f t="shared" si="26"/>
        <v/>
      </c>
    </row>
    <row r="524" spans="1:17" x14ac:dyDescent="0.3">
      <c r="A524" s="33">
        <v>4012364147</v>
      </c>
      <c r="B524" s="21" t="s">
        <v>2517</v>
      </c>
      <c r="C524" s="21" t="s">
        <v>2518</v>
      </c>
      <c r="D524" s="21" t="s">
        <v>2519</v>
      </c>
      <c r="E524" s="21" t="s">
        <v>190</v>
      </c>
      <c r="F524" s="21" t="s">
        <v>2520</v>
      </c>
      <c r="G524" s="21" t="s">
        <v>2521</v>
      </c>
      <c r="H524" s="25"/>
      <c r="I524" s="25"/>
      <c r="J524" s="25"/>
      <c r="K524" s="25"/>
      <c r="L524" s="25"/>
      <c r="M524" s="22" t="s">
        <v>86</v>
      </c>
      <c r="N524" s="23">
        <v>46083</v>
      </c>
      <c r="O524" s="26" t="str">
        <f t="shared" si="24"/>
        <v>OK</v>
      </c>
      <c r="P524" s="30" t="str">
        <f t="shared" si="25"/>
        <v/>
      </c>
      <c r="Q524" s="26" t="str">
        <f t="shared" si="26"/>
        <v/>
      </c>
    </row>
    <row r="525" spans="1:17" x14ac:dyDescent="0.3">
      <c r="A525" s="33">
        <v>4021788573</v>
      </c>
      <c r="B525" s="21" t="s">
        <v>2522</v>
      </c>
      <c r="C525" s="21" t="s">
        <v>2523</v>
      </c>
      <c r="D525" s="21" t="s">
        <v>2524</v>
      </c>
      <c r="E525" s="21" t="s">
        <v>179</v>
      </c>
      <c r="F525" s="21" t="s">
        <v>874</v>
      </c>
      <c r="G525" s="21" t="s">
        <v>2525</v>
      </c>
      <c r="H525" s="25"/>
      <c r="I525" s="25"/>
      <c r="J525" s="25"/>
      <c r="K525" s="25"/>
      <c r="L525" s="25"/>
      <c r="M525" s="22" t="s">
        <v>86</v>
      </c>
      <c r="N525" s="23">
        <v>46083</v>
      </c>
      <c r="O525" s="26" t="str">
        <f t="shared" si="24"/>
        <v>OK</v>
      </c>
      <c r="P525" s="30" t="str">
        <f t="shared" si="25"/>
        <v/>
      </c>
      <c r="Q525" s="26" t="str">
        <f t="shared" si="26"/>
        <v/>
      </c>
    </row>
    <row r="526" spans="1:17" x14ac:dyDescent="0.3">
      <c r="A526" s="33">
        <v>4306600788</v>
      </c>
      <c r="B526" s="21" t="s">
        <v>2526</v>
      </c>
      <c r="C526" s="21" t="s">
        <v>2527</v>
      </c>
      <c r="D526" s="21" t="s">
        <v>2528</v>
      </c>
      <c r="E526" s="21" t="s">
        <v>247</v>
      </c>
      <c r="F526" s="21" t="s">
        <v>2529</v>
      </c>
      <c r="G526" s="21" t="s">
        <v>1310</v>
      </c>
      <c r="H526" s="25"/>
      <c r="I526" s="25"/>
      <c r="J526" s="25"/>
      <c r="K526" s="25"/>
      <c r="L526" s="25"/>
      <c r="M526" s="22" t="s">
        <v>86</v>
      </c>
      <c r="N526" s="23">
        <v>46083</v>
      </c>
      <c r="O526" s="26" t="str">
        <f t="shared" si="24"/>
        <v>OK</v>
      </c>
      <c r="P526" s="30" t="str">
        <f t="shared" si="25"/>
        <v/>
      </c>
      <c r="Q526" s="26" t="str">
        <f t="shared" si="26"/>
        <v/>
      </c>
    </row>
    <row r="527" spans="1:17" x14ac:dyDescent="0.3">
      <c r="A527" s="33">
        <v>4032074053</v>
      </c>
      <c r="B527" s="21" t="s">
        <v>2530</v>
      </c>
      <c r="C527" s="21" t="s">
        <v>2531</v>
      </c>
      <c r="D527" s="21" t="s">
        <v>2532</v>
      </c>
      <c r="E527" s="21" t="s">
        <v>190</v>
      </c>
      <c r="F527" s="21" t="s">
        <v>2533</v>
      </c>
      <c r="G527" s="21" t="s">
        <v>2534</v>
      </c>
      <c r="H527" s="25"/>
      <c r="I527" s="25"/>
      <c r="J527" s="25"/>
      <c r="K527" s="25"/>
      <c r="L527" s="25"/>
      <c r="M527" s="22" t="s">
        <v>86</v>
      </c>
      <c r="N527" s="23">
        <v>46083</v>
      </c>
      <c r="O527" s="26" t="str">
        <f t="shared" si="24"/>
        <v>OK</v>
      </c>
      <c r="P527" s="30" t="str">
        <f t="shared" si="25"/>
        <v/>
      </c>
      <c r="Q527" s="26" t="str">
        <f t="shared" si="26"/>
        <v/>
      </c>
    </row>
    <row r="528" spans="1:17" x14ac:dyDescent="0.3">
      <c r="A528" s="33">
        <v>3080621857</v>
      </c>
      <c r="B528" s="21" t="s">
        <v>2535</v>
      </c>
      <c r="C528" s="21" t="s">
        <v>2536</v>
      </c>
      <c r="D528" s="21" t="s">
        <v>2537</v>
      </c>
      <c r="E528" s="21" t="s">
        <v>190</v>
      </c>
      <c r="F528" s="21" t="s">
        <v>2538</v>
      </c>
      <c r="G528" s="21" t="s">
        <v>2539</v>
      </c>
      <c r="H528" s="25"/>
      <c r="I528" s="25"/>
      <c r="J528" s="25"/>
      <c r="K528" s="25"/>
      <c r="L528" s="25"/>
      <c r="M528" s="22" t="s">
        <v>86</v>
      </c>
      <c r="N528" s="23">
        <v>46083</v>
      </c>
      <c r="O528" s="26" t="str">
        <f t="shared" si="24"/>
        <v>OK</v>
      </c>
      <c r="P528" s="30" t="str">
        <f t="shared" si="25"/>
        <v/>
      </c>
      <c r="Q528" s="26" t="str">
        <f t="shared" si="26"/>
        <v/>
      </c>
    </row>
    <row r="529" spans="1:17" x14ac:dyDescent="0.3">
      <c r="A529" s="33">
        <v>4038115190</v>
      </c>
      <c r="B529" s="21" t="s">
        <v>2540</v>
      </c>
      <c r="C529" s="21" t="s">
        <v>2541</v>
      </c>
      <c r="D529" s="21" t="s">
        <v>2542</v>
      </c>
      <c r="E529" s="21" t="s">
        <v>83</v>
      </c>
      <c r="F529" s="21" t="s">
        <v>823</v>
      </c>
      <c r="G529" s="21" t="s">
        <v>2543</v>
      </c>
      <c r="H529" s="25"/>
      <c r="I529" s="25"/>
      <c r="J529" s="25"/>
      <c r="K529" s="25"/>
      <c r="L529" s="25"/>
      <c r="M529" s="22" t="s">
        <v>86</v>
      </c>
      <c r="N529" s="23">
        <v>46083</v>
      </c>
      <c r="O529" s="26" t="str">
        <f t="shared" si="24"/>
        <v>OK</v>
      </c>
      <c r="P529" s="30" t="str">
        <f t="shared" si="25"/>
        <v/>
      </c>
      <c r="Q529" s="26" t="str">
        <f t="shared" si="26"/>
        <v/>
      </c>
    </row>
    <row r="530" spans="1:17" x14ac:dyDescent="0.3">
      <c r="A530" s="34">
        <v>4181566172</v>
      </c>
      <c r="B530" s="21" t="s">
        <v>2544</v>
      </c>
      <c r="C530" s="21" t="s">
        <v>2545</v>
      </c>
      <c r="D530" s="21" t="s">
        <v>2546</v>
      </c>
      <c r="E530" s="21" t="s">
        <v>190</v>
      </c>
      <c r="F530" s="21" t="s">
        <v>2547</v>
      </c>
      <c r="G530" s="21" t="s">
        <v>2548</v>
      </c>
      <c r="H530" s="25"/>
      <c r="I530" s="25"/>
      <c r="J530" s="25"/>
      <c r="K530" s="25"/>
      <c r="L530" s="25"/>
      <c r="M530" s="22" t="s">
        <v>86</v>
      </c>
      <c r="N530" s="23">
        <v>46083</v>
      </c>
      <c r="O530" s="26" t="str">
        <f t="shared" si="24"/>
        <v>OK</v>
      </c>
      <c r="P530" s="30" t="str">
        <f t="shared" si="25"/>
        <v/>
      </c>
      <c r="Q530" s="26" t="str">
        <f t="shared" si="26"/>
        <v/>
      </c>
    </row>
    <row r="531" spans="1:17" x14ac:dyDescent="0.3">
      <c r="A531" s="33">
        <v>5830700159</v>
      </c>
      <c r="B531" s="21" t="s">
        <v>2549</v>
      </c>
      <c r="C531" s="21" t="s">
        <v>2550</v>
      </c>
      <c r="D531" s="21" t="s">
        <v>2551</v>
      </c>
      <c r="E531" s="21"/>
      <c r="F531" s="21"/>
      <c r="G531" s="21" t="s">
        <v>2552</v>
      </c>
      <c r="H531" s="25"/>
      <c r="I531" s="25"/>
      <c r="J531" s="25"/>
      <c r="K531" s="25"/>
      <c r="L531" s="25"/>
      <c r="M531" s="22" t="s">
        <v>86</v>
      </c>
      <c r="N531" s="23">
        <v>46083</v>
      </c>
      <c r="O531" s="26" t="str">
        <f t="shared" si="24"/>
        <v>OK</v>
      </c>
      <c r="P531" s="30" t="str">
        <f t="shared" si="25"/>
        <v/>
      </c>
      <c r="Q531" s="26" t="str">
        <f t="shared" si="26"/>
        <v/>
      </c>
    </row>
    <row r="532" spans="1:17" x14ac:dyDescent="0.3">
      <c r="A532" s="33">
        <v>5621501739</v>
      </c>
      <c r="B532" s="21" t="s">
        <v>2553</v>
      </c>
      <c r="C532" s="21" t="s">
        <v>2554</v>
      </c>
      <c r="D532" s="21" t="s">
        <v>2555</v>
      </c>
      <c r="E532" s="21" t="s">
        <v>173</v>
      </c>
      <c r="F532" s="21" t="s">
        <v>2556</v>
      </c>
      <c r="G532" s="21" t="s">
        <v>2557</v>
      </c>
      <c r="H532" s="25"/>
      <c r="I532" s="25"/>
      <c r="J532" s="25"/>
      <c r="K532" s="25"/>
      <c r="L532" s="25"/>
      <c r="M532" s="22" t="s">
        <v>86</v>
      </c>
      <c r="N532" s="23">
        <v>46083</v>
      </c>
      <c r="O532" s="26" t="str">
        <f t="shared" si="24"/>
        <v>OK</v>
      </c>
      <c r="P532" s="30" t="str">
        <f t="shared" si="25"/>
        <v/>
      </c>
      <c r="Q532" s="26" t="str">
        <f t="shared" si="26"/>
        <v/>
      </c>
    </row>
    <row r="533" spans="1:17" x14ac:dyDescent="0.3">
      <c r="A533" s="33">
        <v>4030266864</v>
      </c>
      <c r="B533" s="21" t="s">
        <v>2558</v>
      </c>
      <c r="C533" s="21" t="s">
        <v>2559</v>
      </c>
      <c r="D533" s="21" t="s">
        <v>2560</v>
      </c>
      <c r="E533" s="21" t="s">
        <v>83</v>
      </c>
      <c r="F533" s="21" t="s">
        <v>1314</v>
      </c>
      <c r="G533" s="21" t="s">
        <v>865</v>
      </c>
      <c r="H533" s="25"/>
      <c r="I533" s="25"/>
      <c r="J533" s="25"/>
      <c r="K533" s="25"/>
      <c r="L533" s="25"/>
      <c r="M533" s="22" t="s">
        <v>86</v>
      </c>
      <c r="N533" s="23">
        <v>46083</v>
      </c>
      <c r="O533" s="26" t="str">
        <f t="shared" si="24"/>
        <v>OK</v>
      </c>
      <c r="P533" s="30" t="str">
        <f t="shared" si="25"/>
        <v/>
      </c>
      <c r="Q533" s="26" t="str">
        <f t="shared" si="26"/>
        <v/>
      </c>
    </row>
    <row r="534" spans="1:17" x14ac:dyDescent="0.3">
      <c r="A534" s="33">
        <v>4031520460</v>
      </c>
      <c r="B534" s="21" t="s">
        <v>2561</v>
      </c>
      <c r="C534" s="21" t="s">
        <v>2562</v>
      </c>
      <c r="D534" s="21" t="s">
        <v>2563</v>
      </c>
      <c r="E534" s="21" t="s">
        <v>190</v>
      </c>
      <c r="F534" s="21" t="s">
        <v>1074</v>
      </c>
      <c r="G534" s="21" t="s">
        <v>2564</v>
      </c>
      <c r="H534" s="25"/>
      <c r="I534" s="25"/>
      <c r="J534" s="25"/>
      <c r="K534" s="25"/>
      <c r="L534" s="25"/>
      <c r="M534" s="22" t="s">
        <v>86</v>
      </c>
      <c r="N534" s="23">
        <v>46083</v>
      </c>
      <c r="O534" s="26" t="str">
        <f t="shared" si="24"/>
        <v>OK</v>
      </c>
      <c r="P534" s="30" t="str">
        <f t="shared" si="25"/>
        <v/>
      </c>
      <c r="Q534" s="26" t="str">
        <f t="shared" si="26"/>
        <v/>
      </c>
    </row>
    <row r="535" spans="1:17" x14ac:dyDescent="0.3">
      <c r="A535" s="33">
        <v>3301302379</v>
      </c>
      <c r="B535" s="21" t="s">
        <v>2565</v>
      </c>
      <c r="C535" s="21" t="s">
        <v>2566</v>
      </c>
      <c r="D535" s="21" t="s">
        <v>2567</v>
      </c>
      <c r="E535" s="21" t="s">
        <v>346</v>
      </c>
      <c r="F535" s="21" t="s">
        <v>2568</v>
      </c>
      <c r="G535" s="21" t="s">
        <v>2569</v>
      </c>
      <c r="H535" s="25"/>
      <c r="I535" s="25"/>
      <c r="J535" s="25"/>
      <c r="K535" s="25"/>
      <c r="L535" s="25"/>
      <c r="M535" s="22" t="s">
        <v>86</v>
      </c>
      <c r="N535" s="23">
        <v>46083</v>
      </c>
      <c r="O535" s="26" t="str">
        <f t="shared" si="24"/>
        <v>OK</v>
      </c>
      <c r="P535" s="30" t="str">
        <f t="shared" si="25"/>
        <v/>
      </c>
      <c r="Q535" s="26" t="str">
        <f t="shared" si="26"/>
        <v/>
      </c>
    </row>
    <row r="536" spans="1:17" x14ac:dyDescent="0.3">
      <c r="A536" s="33">
        <v>4071117601</v>
      </c>
      <c r="B536" s="21" t="s">
        <v>2570</v>
      </c>
      <c r="C536" s="21" t="s">
        <v>2571</v>
      </c>
      <c r="D536" s="21" t="s">
        <v>2572</v>
      </c>
      <c r="E536" s="21" t="s">
        <v>83</v>
      </c>
      <c r="F536" s="21" t="s">
        <v>2573</v>
      </c>
      <c r="G536" s="21"/>
      <c r="H536" s="25"/>
      <c r="I536" s="25"/>
      <c r="J536" s="25"/>
      <c r="K536" s="25"/>
      <c r="L536" s="25"/>
      <c r="M536" s="22" t="s">
        <v>86</v>
      </c>
      <c r="N536" s="23">
        <v>46083</v>
      </c>
      <c r="O536" s="26" t="str">
        <f t="shared" si="24"/>
        <v>OK</v>
      </c>
      <c r="P536" s="30" t="str">
        <f t="shared" si="25"/>
        <v/>
      </c>
      <c r="Q536" s="26" t="str">
        <f t="shared" si="26"/>
        <v/>
      </c>
    </row>
    <row r="537" spans="1:17" x14ac:dyDescent="0.3">
      <c r="A537" s="33">
        <v>4030698836</v>
      </c>
      <c r="B537" s="21" t="s">
        <v>2574</v>
      </c>
      <c r="C537" s="21" t="s">
        <v>2575</v>
      </c>
      <c r="D537" s="21" t="s">
        <v>2576</v>
      </c>
      <c r="E537" s="21" t="s">
        <v>247</v>
      </c>
      <c r="F537" s="21" t="s">
        <v>228</v>
      </c>
      <c r="G537" s="21"/>
      <c r="H537" s="25"/>
      <c r="I537" s="25"/>
      <c r="J537" s="25"/>
      <c r="K537" s="25"/>
      <c r="L537" s="25"/>
      <c r="M537" s="22" t="s">
        <v>86</v>
      </c>
      <c r="N537" s="23">
        <v>46083</v>
      </c>
      <c r="O537" s="26" t="str">
        <f t="shared" si="24"/>
        <v>OK</v>
      </c>
      <c r="P537" s="30" t="str">
        <f t="shared" si="25"/>
        <v/>
      </c>
      <c r="Q537" s="26" t="str">
        <f t="shared" si="26"/>
        <v/>
      </c>
    </row>
    <row r="538" spans="1:17" x14ac:dyDescent="0.3">
      <c r="A538" s="33">
        <v>4031477821</v>
      </c>
      <c r="B538" s="21" t="s">
        <v>2577</v>
      </c>
      <c r="C538" s="21" t="s">
        <v>2578</v>
      </c>
      <c r="D538" s="21" t="s">
        <v>2579</v>
      </c>
      <c r="E538" s="21" t="s">
        <v>366</v>
      </c>
      <c r="F538" s="21" t="s">
        <v>228</v>
      </c>
      <c r="G538" s="21" t="s">
        <v>2580</v>
      </c>
      <c r="H538" s="25"/>
      <c r="I538" s="25"/>
      <c r="J538" s="25"/>
      <c r="K538" s="25"/>
      <c r="L538" s="25"/>
      <c r="M538" s="22" t="s">
        <v>86</v>
      </c>
      <c r="N538" s="23">
        <v>46083</v>
      </c>
      <c r="O538" s="26" t="str">
        <f t="shared" si="24"/>
        <v>OK</v>
      </c>
      <c r="P538" s="30" t="str">
        <f t="shared" si="25"/>
        <v/>
      </c>
      <c r="Q538" s="26" t="str">
        <f t="shared" si="26"/>
        <v/>
      </c>
    </row>
    <row r="539" spans="1:17" x14ac:dyDescent="0.3">
      <c r="A539" s="33">
        <v>3347600081</v>
      </c>
      <c r="B539" s="21" t="s">
        <v>2581</v>
      </c>
      <c r="C539" s="21" t="s">
        <v>558</v>
      </c>
      <c r="D539" s="21" t="s">
        <v>2582</v>
      </c>
      <c r="E539" s="21" t="s">
        <v>190</v>
      </c>
      <c r="F539" s="21" t="s">
        <v>2583</v>
      </c>
      <c r="G539" s="21" t="s">
        <v>2584</v>
      </c>
      <c r="H539" s="25"/>
      <c r="I539" s="25"/>
      <c r="J539" s="25"/>
      <c r="K539" s="25"/>
      <c r="L539" s="25"/>
      <c r="M539" s="22" t="s">
        <v>86</v>
      </c>
      <c r="N539" s="23">
        <v>46083</v>
      </c>
      <c r="O539" s="26" t="str">
        <f t="shared" si="24"/>
        <v>OK</v>
      </c>
      <c r="P539" s="30" t="str">
        <f t="shared" si="25"/>
        <v/>
      </c>
      <c r="Q539" s="26" t="str">
        <f t="shared" si="26"/>
        <v/>
      </c>
    </row>
    <row r="540" spans="1:17" x14ac:dyDescent="0.3">
      <c r="A540" s="33">
        <v>5453100429</v>
      </c>
      <c r="B540" s="21" t="s">
        <v>2585</v>
      </c>
      <c r="C540" s="21" t="s">
        <v>2586</v>
      </c>
      <c r="D540" s="21" t="s">
        <v>2587</v>
      </c>
      <c r="E540" s="21" t="s">
        <v>247</v>
      </c>
      <c r="F540" s="21" t="s">
        <v>228</v>
      </c>
      <c r="G540" s="21" t="s">
        <v>2588</v>
      </c>
      <c r="H540" s="25"/>
      <c r="I540" s="25"/>
      <c r="J540" s="25"/>
      <c r="K540" s="25"/>
      <c r="L540" s="25"/>
      <c r="M540" s="22" t="s">
        <v>86</v>
      </c>
      <c r="N540" s="23">
        <v>46083</v>
      </c>
      <c r="O540" s="26" t="str">
        <f t="shared" si="24"/>
        <v>OK</v>
      </c>
      <c r="P540" s="30" t="str">
        <f t="shared" si="25"/>
        <v/>
      </c>
      <c r="Q540" s="26" t="str">
        <f t="shared" si="26"/>
        <v/>
      </c>
    </row>
    <row r="541" spans="1:17" x14ac:dyDescent="0.3">
      <c r="A541" s="33">
        <v>3352401347</v>
      </c>
      <c r="B541" s="21" t="s">
        <v>2589</v>
      </c>
      <c r="C541" s="21" t="s">
        <v>2590</v>
      </c>
      <c r="D541" s="21" t="s">
        <v>2591</v>
      </c>
      <c r="E541" s="21" t="s">
        <v>190</v>
      </c>
      <c r="F541" s="21" t="s">
        <v>2592</v>
      </c>
      <c r="G541" s="21" t="s">
        <v>2593</v>
      </c>
      <c r="H541" s="25"/>
      <c r="I541" s="25"/>
      <c r="J541" s="25"/>
      <c r="K541" s="25"/>
      <c r="L541" s="25"/>
      <c r="M541" s="22" t="s">
        <v>86</v>
      </c>
      <c r="N541" s="23">
        <v>46083</v>
      </c>
      <c r="O541" s="26" t="str">
        <f t="shared" si="24"/>
        <v>OK</v>
      </c>
      <c r="P541" s="30" t="str">
        <f t="shared" si="25"/>
        <v/>
      </c>
      <c r="Q541" s="26" t="str">
        <f t="shared" si="26"/>
        <v/>
      </c>
    </row>
    <row r="542" spans="1:17" x14ac:dyDescent="0.3">
      <c r="A542" s="33">
        <v>1323100693</v>
      </c>
      <c r="B542" s="21" t="s">
        <v>2594</v>
      </c>
      <c r="C542" s="21" t="s">
        <v>2595</v>
      </c>
      <c r="D542" s="21" t="s">
        <v>2596</v>
      </c>
      <c r="E542" s="21" t="s">
        <v>117</v>
      </c>
      <c r="F542" s="21" t="s">
        <v>2597</v>
      </c>
      <c r="G542" s="21" t="s">
        <v>2598</v>
      </c>
      <c r="H542" s="25"/>
      <c r="I542" s="25"/>
      <c r="J542" s="25"/>
      <c r="K542" s="25"/>
      <c r="L542" s="25"/>
      <c r="M542" s="22" t="s">
        <v>86</v>
      </c>
      <c r="N542" s="23">
        <v>46083</v>
      </c>
      <c r="O542" s="26" t="str">
        <f t="shared" si="24"/>
        <v>OK</v>
      </c>
      <c r="P542" s="30" t="str">
        <f t="shared" si="25"/>
        <v/>
      </c>
      <c r="Q542" s="26" t="str">
        <f t="shared" si="26"/>
        <v/>
      </c>
    </row>
    <row r="543" spans="1:17" x14ac:dyDescent="0.3">
      <c r="A543" s="33">
        <v>8578101312</v>
      </c>
      <c r="B543" s="21" t="s">
        <v>2599</v>
      </c>
      <c r="C543" s="21" t="s">
        <v>2600</v>
      </c>
      <c r="D543" s="21" t="s">
        <v>2601</v>
      </c>
      <c r="E543" s="21" t="s">
        <v>2602</v>
      </c>
      <c r="F543" s="21" t="s">
        <v>2603</v>
      </c>
      <c r="G543" s="21"/>
      <c r="H543" s="25"/>
      <c r="I543" s="25"/>
      <c r="J543" s="25"/>
      <c r="K543" s="25"/>
      <c r="L543" s="25"/>
      <c r="M543" s="22" t="s">
        <v>86</v>
      </c>
      <c r="N543" s="23">
        <v>46083</v>
      </c>
      <c r="O543" s="26" t="str">
        <f t="shared" si="24"/>
        <v>OK</v>
      </c>
      <c r="P543" s="30" t="str">
        <f t="shared" si="25"/>
        <v/>
      </c>
      <c r="Q543" s="26" t="str">
        <f t="shared" si="26"/>
        <v/>
      </c>
    </row>
    <row r="544" spans="1:17" x14ac:dyDescent="0.3">
      <c r="A544" s="33">
        <v>5171900441</v>
      </c>
      <c r="B544" s="21" t="s">
        <v>2604</v>
      </c>
      <c r="C544" s="21" t="s">
        <v>662</v>
      </c>
      <c r="D544" s="21" t="s">
        <v>2605</v>
      </c>
      <c r="E544" s="21" t="s">
        <v>1068</v>
      </c>
      <c r="F544" s="21" t="s">
        <v>2606</v>
      </c>
      <c r="G544" s="21" t="s">
        <v>2607</v>
      </c>
      <c r="H544" s="25"/>
      <c r="I544" s="25"/>
      <c r="J544" s="25"/>
      <c r="K544" s="25"/>
      <c r="L544" s="25"/>
      <c r="M544" s="22" t="s">
        <v>86</v>
      </c>
      <c r="N544" s="23">
        <v>46083</v>
      </c>
      <c r="O544" s="26" t="str">
        <f t="shared" si="24"/>
        <v>OK</v>
      </c>
      <c r="P544" s="30" t="str">
        <f t="shared" si="25"/>
        <v/>
      </c>
      <c r="Q544" s="26" t="str">
        <f t="shared" si="26"/>
        <v/>
      </c>
    </row>
    <row r="545" spans="1:17" x14ac:dyDescent="0.3">
      <c r="A545" s="33">
        <v>4031373089</v>
      </c>
      <c r="B545" s="21" t="s">
        <v>2608</v>
      </c>
      <c r="C545" s="21" t="s">
        <v>2609</v>
      </c>
      <c r="D545" s="21" t="s">
        <v>2610</v>
      </c>
      <c r="E545" s="21" t="s">
        <v>247</v>
      </c>
      <c r="F545" s="21" t="s">
        <v>2611</v>
      </c>
      <c r="G545" s="21" t="s">
        <v>2612</v>
      </c>
      <c r="H545" s="25"/>
      <c r="I545" s="25"/>
      <c r="J545" s="25"/>
      <c r="K545" s="25"/>
      <c r="L545" s="25"/>
      <c r="M545" s="22" t="s">
        <v>86</v>
      </c>
      <c r="N545" s="23">
        <v>46083</v>
      </c>
      <c r="O545" s="26" t="str">
        <f t="shared" si="24"/>
        <v>OK</v>
      </c>
      <c r="P545" s="30" t="str">
        <f t="shared" si="25"/>
        <v/>
      </c>
      <c r="Q545" s="26" t="str">
        <f t="shared" si="26"/>
        <v/>
      </c>
    </row>
    <row r="546" spans="1:17" x14ac:dyDescent="0.3">
      <c r="A546" s="33">
        <v>6128121883</v>
      </c>
      <c r="B546" s="21" t="s">
        <v>2613</v>
      </c>
      <c r="C546" s="21" t="s">
        <v>2614</v>
      </c>
      <c r="D546" s="21" t="s">
        <v>2615</v>
      </c>
      <c r="E546" s="21"/>
      <c r="F546" s="21" t="s">
        <v>83</v>
      </c>
      <c r="G546" s="21" t="s">
        <v>2616</v>
      </c>
      <c r="H546" s="25"/>
      <c r="I546" s="25"/>
      <c r="J546" s="25"/>
      <c r="K546" s="25"/>
      <c r="L546" s="25"/>
      <c r="M546" s="22" t="s">
        <v>86</v>
      </c>
      <c r="N546" s="23">
        <v>46083</v>
      </c>
      <c r="O546" s="26" t="str">
        <f t="shared" si="24"/>
        <v>OK</v>
      </c>
      <c r="P546" s="30" t="str">
        <f t="shared" si="25"/>
        <v/>
      </c>
      <c r="Q546" s="26" t="str">
        <f t="shared" si="26"/>
        <v/>
      </c>
    </row>
    <row r="547" spans="1:17" x14ac:dyDescent="0.3">
      <c r="A547" s="33">
        <v>4028121516</v>
      </c>
      <c r="B547" s="21" t="s">
        <v>2617</v>
      </c>
      <c r="C547" s="21" t="s">
        <v>2618</v>
      </c>
      <c r="D547" s="21" t="s">
        <v>2619</v>
      </c>
      <c r="E547" s="21" t="s">
        <v>83</v>
      </c>
      <c r="F547" s="21" t="s">
        <v>2620</v>
      </c>
      <c r="G547" s="21" t="s">
        <v>2621</v>
      </c>
      <c r="H547" s="25"/>
      <c r="I547" s="25"/>
      <c r="J547" s="25"/>
      <c r="K547" s="25"/>
      <c r="L547" s="25"/>
      <c r="M547" s="22" t="s">
        <v>86</v>
      </c>
      <c r="N547" s="23">
        <v>46083</v>
      </c>
      <c r="O547" s="26" t="str">
        <f t="shared" si="24"/>
        <v>OK</v>
      </c>
      <c r="P547" s="30" t="str">
        <f t="shared" si="25"/>
        <v/>
      </c>
      <c r="Q547" s="26" t="str">
        <f t="shared" si="26"/>
        <v/>
      </c>
    </row>
    <row r="548" spans="1:17" x14ac:dyDescent="0.3">
      <c r="A548" s="33">
        <v>4188117808</v>
      </c>
      <c r="B548" s="21" t="s">
        <v>2622</v>
      </c>
      <c r="C548" s="21" t="s">
        <v>2623</v>
      </c>
      <c r="D548" s="21" t="s">
        <v>2624</v>
      </c>
      <c r="E548" s="21" t="s">
        <v>83</v>
      </c>
      <c r="F548" s="21" t="s">
        <v>2625</v>
      </c>
      <c r="G548" s="21" t="s">
        <v>2626</v>
      </c>
      <c r="H548" s="25"/>
      <c r="I548" s="25"/>
      <c r="J548" s="25"/>
      <c r="K548" s="25"/>
      <c r="L548" s="25"/>
      <c r="M548" s="22" t="s">
        <v>86</v>
      </c>
      <c r="N548" s="23">
        <v>46083</v>
      </c>
      <c r="O548" s="26" t="str">
        <f t="shared" si="24"/>
        <v>OK</v>
      </c>
      <c r="P548" s="30" t="str">
        <f t="shared" si="25"/>
        <v/>
      </c>
      <c r="Q548" s="26" t="str">
        <f t="shared" si="26"/>
        <v/>
      </c>
    </row>
    <row r="549" spans="1:17" x14ac:dyDescent="0.3">
      <c r="A549" s="33">
        <v>4021679534</v>
      </c>
      <c r="B549" s="21" t="s">
        <v>2627</v>
      </c>
      <c r="C549" s="21" t="s">
        <v>2628</v>
      </c>
      <c r="D549" s="21" t="s">
        <v>2629</v>
      </c>
      <c r="E549" s="21" t="s">
        <v>190</v>
      </c>
      <c r="F549" s="21" t="s">
        <v>2630</v>
      </c>
      <c r="G549" s="21" t="s">
        <v>2631</v>
      </c>
      <c r="H549" s="25"/>
      <c r="I549" s="25"/>
      <c r="J549" s="25"/>
      <c r="K549" s="25"/>
      <c r="L549" s="25"/>
      <c r="M549" s="22" t="s">
        <v>86</v>
      </c>
      <c r="N549" s="23">
        <v>46083</v>
      </c>
      <c r="O549" s="26" t="str">
        <f t="shared" si="24"/>
        <v>OK</v>
      </c>
      <c r="P549" s="30" t="str">
        <f t="shared" si="25"/>
        <v/>
      </c>
      <c r="Q549" s="26" t="str">
        <f t="shared" si="26"/>
        <v/>
      </c>
    </row>
    <row r="550" spans="1:17" x14ac:dyDescent="0.3">
      <c r="A550" s="33">
        <v>4030325763</v>
      </c>
      <c r="B550" s="21" t="s">
        <v>2632</v>
      </c>
      <c r="C550" s="21" t="s">
        <v>2633</v>
      </c>
      <c r="D550" s="21" t="s">
        <v>2634</v>
      </c>
      <c r="E550" s="21" t="s">
        <v>190</v>
      </c>
      <c r="F550" s="21" t="s">
        <v>2635</v>
      </c>
      <c r="G550" s="21" t="s">
        <v>2636</v>
      </c>
      <c r="H550" s="25"/>
      <c r="I550" s="25"/>
      <c r="J550" s="25"/>
      <c r="K550" s="25"/>
      <c r="L550" s="25"/>
      <c r="M550" s="22" t="s">
        <v>86</v>
      </c>
      <c r="N550" s="23">
        <v>46083</v>
      </c>
      <c r="O550" s="26" t="str">
        <f t="shared" si="24"/>
        <v>OK</v>
      </c>
      <c r="P550" s="30" t="str">
        <f t="shared" si="25"/>
        <v/>
      </c>
      <c r="Q550" s="26" t="str">
        <f t="shared" si="26"/>
        <v/>
      </c>
    </row>
    <row r="551" spans="1:17" x14ac:dyDescent="0.3">
      <c r="A551" s="33">
        <v>4030944985</v>
      </c>
      <c r="B551" s="21" t="s">
        <v>2637</v>
      </c>
      <c r="C551" s="21" t="s">
        <v>2638</v>
      </c>
      <c r="D551" s="21" t="s">
        <v>2639</v>
      </c>
      <c r="E551" s="21" t="s">
        <v>287</v>
      </c>
      <c r="F551" s="21" t="s">
        <v>2640</v>
      </c>
      <c r="G551" s="21"/>
      <c r="H551" s="25"/>
      <c r="I551" s="25"/>
      <c r="J551" s="25"/>
      <c r="K551" s="25"/>
      <c r="L551" s="25"/>
      <c r="M551" s="22" t="s">
        <v>86</v>
      </c>
      <c r="N551" s="23">
        <v>46083</v>
      </c>
      <c r="O551" s="26" t="str">
        <f t="shared" si="24"/>
        <v>OK</v>
      </c>
      <c r="P551" s="30" t="str">
        <f t="shared" si="25"/>
        <v/>
      </c>
      <c r="Q551" s="26" t="str">
        <f t="shared" si="26"/>
        <v/>
      </c>
    </row>
    <row r="552" spans="1:17" x14ac:dyDescent="0.3">
      <c r="A552" s="33">
        <v>6387600251</v>
      </c>
      <c r="B552" s="21" t="s">
        <v>2641</v>
      </c>
      <c r="C552" s="21" t="s">
        <v>2642</v>
      </c>
      <c r="D552" s="21" t="s">
        <v>2643</v>
      </c>
      <c r="E552" s="21" t="s">
        <v>190</v>
      </c>
      <c r="F552" s="21" t="s">
        <v>2644</v>
      </c>
      <c r="G552" s="21" t="s">
        <v>2645</v>
      </c>
      <c r="H552" s="25"/>
      <c r="I552" s="25"/>
      <c r="J552" s="25"/>
      <c r="K552" s="25"/>
      <c r="L552" s="25"/>
      <c r="M552" s="22" t="s">
        <v>86</v>
      </c>
      <c r="N552" s="23">
        <v>46083</v>
      </c>
      <c r="O552" s="26" t="str">
        <f t="shared" si="24"/>
        <v>OK</v>
      </c>
      <c r="P552" s="30" t="str">
        <f t="shared" si="25"/>
        <v/>
      </c>
      <c r="Q552" s="26" t="str">
        <f t="shared" si="26"/>
        <v/>
      </c>
    </row>
    <row r="553" spans="1:17" x14ac:dyDescent="0.3">
      <c r="A553" s="33">
        <v>4010794414</v>
      </c>
      <c r="B553" s="21" t="s">
        <v>2646</v>
      </c>
      <c r="C553" s="21" t="s">
        <v>2129</v>
      </c>
      <c r="D553" s="21" t="s">
        <v>2647</v>
      </c>
      <c r="E553" s="21" t="s">
        <v>252</v>
      </c>
      <c r="F553" s="21" t="s">
        <v>2648</v>
      </c>
      <c r="G553" s="21" t="s">
        <v>2649</v>
      </c>
      <c r="H553" s="25"/>
      <c r="I553" s="25"/>
      <c r="J553" s="25"/>
      <c r="K553" s="25"/>
      <c r="L553" s="25"/>
      <c r="M553" s="22" t="s">
        <v>86</v>
      </c>
      <c r="N553" s="23">
        <v>46083</v>
      </c>
      <c r="O553" s="26" t="str">
        <f t="shared" si="24"/>
        <v>OK</v>
      </c>
      <c r="P553" s="30" t="str">
        <f t="shared" si="25"/>
        <v/>
      </c>
      <c r="Q553" s="26" t="str">
        <f t="shared" si="26"/>
        <v/>
      </c>
    </row>
    <row r="554" spans="1:17" x14ac:dyDescent="0.3">
      <c r="A554" s="33">
        <v>4050813308</v>
      </c>
      <c r="B554" s="21" t="s">
        <v>2650</v>
      </c>
      <c r="C554" s="21" t="s">
        <v>2651</v>
      </c>
      <c r="D554" s="21" t="s">
        <v>2652</v>
      </c>
      <c r="E554" s="21" t="s">
        <v>247</v>
      </c>
      <c r="F554" s="21" t="s">
        <v>228</v>
      </c>
      <c r="G554" s="21"/>
      <c r="H554" s="25"/>
      <c r="I554" s="25"/>
      <c r="J554" s="25"/>
      <c r="K554" s="25"/>
      <c r="L554" s="25"/>
      <c r="M554" s="22" t="s">
        <v>86</v>
      </c>
      <c r="N554" s="23">
        <v>46083</v>
      </c>
      <c r="O554" s="26" t="str">
        <f t="shared" si="24"/>
        <v>OK</v>
      </c>
      <c r="P554" s="30" t="str">
        <f t="shared" si="25"/>
        <v/>
      </c>
      <c r="Q554" s="26" t="str">
        <f t="shared" si="26"/>
        <v/>
      </c>
    </row>
    <row r="555" spans="1:17" x14ac:dyDescent="0.3">
      <c r="A555" s="33">
        <v>4030721182</v>
      </c>
      <c r="B555" s="21" t="s">
        <v>2653</v>
      </c>
      <c r="C555" s="21" t="s">
        <v>2654</v>
      </c>
      <c r="D555" s="21" t="s">
        <v>2655</v>
      </c>
      <c r="E555" s="21" t="s">
        <v>179</v>
      </c>
      <c r="F555" s="21" t="s">
        <v>2656</v>
      </c>
      <c r="G555" s="21" t="s">
        <v>2657</v>
      </c>
      <c r="H555" s="25"/>
      <c r="I555" s="25"/>
      <c r="J555" s="25"/>
      <c r="K555" s="25"/>
      <c r="L555" s="25"/>
      <c r="M555" s="22" t="s">
        <v>86</v>
      </c>
      <c r="N555" s="23">
        <v>46083</v>
      </c>
      <c r="O555" s="26" t="str">
        <f t="shared" si="24"/>
        <v>OK</v>
      </c>
      <c r="P555" s="30" t="str">
        <f t="shared" si="25"/>
        <v/>
      </c>
      <c r="Q555" s="26" t="str">
        <f t="shared" si="26"/>
        <v/>
      </c>
    </row>
    <row r="556" spans="1:17" x14ac:dyDescent="0.3">
      <c r="A556" s="33">
        <v>4018124728</v>
      </c>
      <c r="B556" s="21" t="s">
        <v>2658</v>
      </c>
      <c r="C556" s="21" t="s">
        <v>2659</v>
      </c>
      <c r="D556" s="21" t="s">
        <v>2660</v>
      </c>
      <c r="E556" s="21" t="s">
        <v>111</v>
      </c>
      <c r="F556" s="21" t="s">
        <v>2661</v>
      </c>
      <c r="G556" s="21" t="s">
        <v>2662</v>
      </c>
      <c r="H556" s="25"/>
      <c r="I556" s="25"/>
      <c r="J556" s="25"/>
      <c r="K556" s="25"/>
      <c r="L556" s="25"/>
      <c r="M556" s="22" t="s">
        <v>86</v>
      </c>
      <c r="N556" s="23">
        <v>46083</v>
      </c>
      <c r="O556" s="26" t="str">
        <f t="shared" si="24"/>
        <v>OK</v>
      </c>
      <c r="P556" s="30" t="str">
        <f t="shared" si="25"/>
        <v/>
      </c>
      <c r="Q556" s="26" t="str">
        <f t="shared" si="26"/>
        <v/>
      </c>
    </row>
    <row r="557" spans="1:17" x14ac:dyDescent="0.3">
      <c r="A557" s="33">
        <v>4030533476</v>
      </c>
      <c r="B557" s="21" t="s">
        <v>2663</v>
      </c>
      <c r="C557" s="21" t="s">
        <v>2664</v>
      </c>
      <c r="D557" s="21" t="s">
        <v>2665</v>
      </c>
      <c r="E557" s="21" t="s">
        <v>247</v>
      </c>
      <c r="F557" s="21" t="s">
        <v>2666</v>
      </c>
      <c r="G557" s="21" t="s">
        <v>2667</v>
      </c>
      <c r="H557" s="25"/>
      <c r="I557" s="25"/>
      <c r="J557" s="25"/>
      <c r="K557" s="25"/>
      <c r="L557" s="25"/>
      <c r="M557" s="22" t="s">
        <v>86</v>
      </c>
      <c r="N557" s="23">
        <v>46083</v>
      </c>
      <c r="O557" s="26" t="str">
        <f t="shared" si="24"/>
        <v>OK</v>
      </c>
      <c r="P557" s="30" t="str">
        <f t="shared" si="25"/>
        <v/>
      </c>
      <c r="Q557" s="26" t="str">
        <f t="shared" si="26"/>
        <v/>
      </c>
    </row>
    <row r="558" spans="1:17" x14ac:dyDescent="0.3">
      <c r="A558" s="33">
        <v>2057200465</v>
      </c>
      <c r="B558" s="21" t="s">
        <v>2668</v>
      </c>
      <c r="C558" s="21" t="s">
        <v>2669</v>
      </c>
      <c r="D558" s="21" t="s">
        <v>2670</v>
      </c>
      <c r="E558" s="21" t="s">
        <v>346</v>
      </c>
      <c r="F558" s="21" t="s">
        <v>2671</v>
      </c>
      <c r="G558" s="21" t="s">
        <v>2672</v>
      </c>
      <c r="H558" s="25"/>
      <c r="I558" s="25"/>
      <c r="J558" s="25"/>
      <c r="K558" s="25"/>
      <c r="L558" s="25"/>
      <c r="M558" s="22" t="s">
        <v>86</v>
      </c>
      <c r="N558" s="23">
        <v>46083</v>
      </c>
      <c r="O558" s="26" t="str">
        <f t="shared" si="24"/>
        <v>OK</v>
      </c>
      <c r="P558" s="30" t="str">
        <f t="shared" si="25"/>
        <v/>
      </c>
      <c r="Q558" s="26" t="str">
        <f t="shared" si="26"/>
        <v/>
      </c>
    </row>
    <row r="559" spans="1:17" x14ac:dyDescent="0.3">
      <c r="A559" s="33">
        <v>4031537850</v>
      </c>
      <c r="B559" s="21" t="s">
        <v>2673</v>
      </c>
      <c r="C559" s="21" t="s">
        <v>2674</v>
      </c>
      <c r="D559" s="21" t="s">
        <v>2675</v>
      </c>
      <c r="E559" s="21" t="s">
        <v>179</v>
      </c>
      <c r="F559" s="21" t="s">
        <v>874</v>
      </c>
      <c r="G559" s="21" t="s">
        <v>2676</v>
      </c>
      <c r="H559" s="25"/>
      <c r="I559" s="25"/>
      <c r="J559" s="25"/>
      <c r="K559" s="25"/>
      <c r="L559" s="25"/>
      <c r="M559" s="22" t="s">
        <v>86</v>
      </c>
      <c r="N559" s="23">
        <v>46083</v>
      </c>
      <c r="O559" s="26" t="str">
        <f t="shared" si="24"/>
        <v>OK</v>
      </c>
      <c r="P559" s="30" t="str">
        <f t="shared" si="25"/>
        <v/>
      </c>
      <c r="Q559" s="26" t="str">
        <f t="shared" si="26"/>
        <v/>
      </c>
    </row>
    <row r="560" spans="1:17" x14ac:dyDescent="0.3">
      <c r="A560" s="33">
        <v>4039011046</v>
      </c>
      <c r="B560" s="21" t="s">
        <v>2677</v>
      </c>
      <c r="C560" s="21" t="s">
        <v>2678</v>
      </c>
      <c r="D560" s="21" t="s">
        <v>2679</v>
      </c>
      <c r="E560" s="21" t="s">
        <v>2680</v>
      </c>
      <c r="F560" s="21" t="s">
        <v>2681</v>
      </c>
      <c r="G560" s="21"/>
      <c r="H560" s="25"/>
      <c r="I560" s="25"/>
      <c r="J560" s="25"/>
      <c r="K560" s="25"/>
      <c r="L560" s="25"/>
      <c r="M560" s="22" t="s">
        <v>86</v>
      </c>
      <c r="N560" s="23">
        <v>46083</v>
      </c>
      <c r="O560" s="26" t="str">
        <f t="shared" si="24"/>
        <v>OK</v>
      </c>
      <c r="P560" s="30" t="str">
        <f t="shared" si="25"/>
        <v/>
      </c>
      <c r="Q560" s="26" t="str">
        <f t="shared" si="26"/>
        <v/>
      </c>
    </row>
    <row r="561" spans="1:17" x14ac:dyDescent="0.3">
      <c r="A561" s="33">
        <v>6098701559</v>
      </c>
      <c r="B561" s="21" t="s">
        <v>2682</v>
      </c>
      <c r="C561" s="21" t="s">
        <v>2683</v>
      </c>
      <c r="D561" s="21" t="s">
        <v>2684</v>
      </c>
      <c r="E561" s="21" t="s">
        <v>83</v>
      </c>
      <c r="F561" s="21" t="s">
        <v>84</v>
      </c>
      <c r="G561" s="21"/>
      <c r="H561" s="25"/>
      <c r="I561" s="25"/>
      <c r="J561" s="25"/>
      <c r="K561" s="25"/>
      <c r="L561" s="25"/>
      <c r="M561" s="22" t="s">
        <v>86</v>
      </c>
      <c r="N561" s="23">
        <v>46083</v>
      </c>
      <c r="O561" s="26" t="str">
        <f t="shared" si="24"/>
        <v>OK</v>
      </c>
      <c r="P561" s="30" t="str">
        <f t="shared" si="25"/>
        <v/>
      </c>
      <c r="Q561" s="26" t="str">
        <f t="shared" si="26"/>
        <v/>
      </c>
    </row>
    <row r="562" spans="1:17" x14ac:dyDescent="0.3">
      <c r="A562" s="33">
        <v>8863600612</v>
      </c>
      <c r="B562" s="21" t="s">
        <v>2685</v>
      </c>
      <c r="C562" s="21" t="s">
        <v>2686</v>
      </c>
      <c r="D562" s="21" t="s">
        <v>2687</v>
      </c>
      <c r="E562" s="21" t="s">
        <v>179</v>
      </c>
      <c r="F562" s="21" t="s">
        <v>258</v>
      </c>
      <c r="G562" s="21" t="s">
        <v>2688</v>
      </c>
      <c r="H562" s="25"/>
      <c r="I562" s="25"/>
      <c r="J562" s="25"/>
      <c r="K562" s="25"/>
      <c r="L562" s="25"/>
      <c r="M562" s="22" t="s">
        <v>86</v>
      </c>
      <c r="N562" s="23">
        <v>46083</v>
      </c>
      <c r="O562" s="26" t="str">
        <f t="shared" si="24"/>
        <v>OK</v>
      </c>
      <c r="P562" s="30" t="str">
        <f t="shared" si="25"/>
        <v/>
      </c>
      <c r="Q562" s="26" t="str">
        <f t="shared" si="26"/>
        <v/>
      </c>
    </row>
    <row r="563" spans="1:17" x14ac:dyDescent="0.3">
      <c r="A563" s="33">
        <v>5631800340</v>
      </c>
      <c r="B563" s="21" t="s">
        <v>2689</v>
      </c>
      <c r="C563" s="21" t="s">
        <v>2690</v>
      </c>
      <c r="D563" s="21" t="s">
        <v>2691</v>
      </c>
      <c r="E563" s="21" t="s">
        <v>179</v>
      </c>
      <c r="F563" s="21" t="s">
        <v>1574</v>
      </c>
      <c r="G563" s="21" t="s">
        <v>2692</v>
      </c>
      <c r="H563" s="25"/>
      <c r="I563" s="25"/>
      <c r="J563" s="25"/>
      <c r="K563" s="25"/>
      <c r="L563" s="25"/>
      <c r="M563" s="22" t="s">
        <v>86</v>
      </c>
      <c r="N563" s="23">
        <v>46083</v>
      </c>
      <c r="O563" s="26" t="str">
        <f t="shared" si="24"/>
        <v>OK</v>
      </c>
      <c r="P563" s="30" t="str">
        <f t="shared" si="25"/>
        <v/>
      </c>
      <c r="Q563" s="26" t="str">
        <f t="shared" si="26"/>
        <v/>
      </c>
    </row>
    <row r="564" spans="1:17" x14ac:dyDescent="0.3">
      <c r="A564" s="33">
        <v>4028198771</v>
      </c>
      <c r="B564" s="21" t="s">
        <v>2693</v>
      </c>
      <c r="C564" s="21" t="s">
        <v>2694</v>
      </c>
      <c r="D564" s="21" t="s">
        <v>2695</v>
      </c>
      <c r="E564" s="21" t="s">
        <v>83</v>
      </c>
      <c r="F564" s="21" t="s">
        <v>242</v>
      </c>
      <c r="G564" s="21" t="s">
        <v>2696</v>
      </c>
      <c r="H564" s="25"/>
      <c r="I564" s="25"/>
      <c r="J564" s="25"/>
      <c r="K564" s="25"/>
      <c r="L564" s="25"/>
      <c r="M564" s="22" t="s">
        <v>86</v>
      </c>
      <c r="N564" s="23">
        <v>46083</v>
      </c>
      <c r="O564" s="26" t="str">
        <f t="shared" si="24"/>
        <v>OK</v>
      </c>
      <c r="P564" s="30" t="str">
        <f t="shared" si="25"/>
        <v/>
      </c>
      <c r="Q564" s="26" t="str">
        <f t="shared" si="26"/>
        <v/>
      </c>
    </row>
    <row r="565" spans="1:17" x14ac:dyDescent="0.3">
      <c r="A565" s="33">
        <v>4032066887</v>
      </c>
      <c r="B565" s="21" t="s">
        <v>2697</v>
      </c>
      <c r="C565" s="21" t="s">
        <v>2698</v>
      </c>
      <c r="D565" s="21" t="s">
        <v>2699</v>
      </c>
      <c r="E565" s="21" t="s">
        <v>190</v>
      </c>
      <c r="F565" s="21" t="s">
        <v>2700</v>
      </c>
      <c r="G565" s="21" t="s">
        <v>2701</v>
      </c>
      <c r="H565" s="25"/>
      <c r="I565" s="25"/>
      <c r="J565" s="25"/>
      <c r="K565" s="25"/>
      <c r="L565" s="25"/>
      <c r="M565" s="22" t="s">
        <v>86</v>
      </c>
      <c r="N565" s="23">
        <v>46083</v>
      </c>
      <c r="O565" s="26" t="str">
        <f t="shared" si="24"/>
        <v>OK</v>
      </c>
      <c r="P565" s="30" t="str">
        <f t="shared" si="25"/>
        <v/>
      </c>
      <c r="Q565" s="26" t="str">
        <f t="shared" si="26"/>
        <v/>
      </c>
    </row>
    <row r="566" spans="1:17" x14ac:dyDescent="0.3">
      <c r="A566" s="33">
        <v>4181007407</v>
      </c>
      <c r="B566" s="21" t="s">
        <v>2702</v>
      </c>
      <c r="C566" s="21" t="s">
        <v>2193</v>
      </c>
      <c r="D566" s="21" t="s">
        <v>2703</v>
      </c>
      <c r="E566" s="21" t="s">
        <v>179</v>
      </c>
      <c r="F566" s="21" t="s">
        <v>2704</v>
      </c>
      <c r="G566" s="21" t="s">
        <v>2705</v>
      </c>
      <c r="H566" s="25"/>
      <c r="I566" s="25"/>
      <c r="J566" s="25"/>
      <c r="K566" s="25"/>
      <c r="L566" s="25"/>
      <c r="M566" s="22" t="s">
        <v>86</v>
      </c>
      <c r="N566" s="23">
        <v>46083</v>
      </c>
      <c r="O566" s="26" t="str">
        <f t="shared" si="24"/>
        <v>OK</v>
      </c>
      <c r="P566" s="30" t="str">
        <f t="shared" si="25"/>
        <v/>
      </c>
      <c r="Q566" s="26" t="str">
        <f t="shared" si="26"/>
        <v/>
      </c>
    </row>
    <row r="567" spans="1:17" x14ac:dyDescent="0.3">
      <c r="A567" s="33">
        <v>4181171852</v>
      </c>
      <c r="B567" s="21" t="s">
        <v>2706</v>
      </c>
      <c r="C567" s="21" t="s">
        <v>2707</v>
      </c>
      <c r="D567" s="21" t="s">
        <v>2708</v>
      </c>
      <c r="E567" s="21" t="s">
        <v>2709</v>
      </c>
      <c r="F567" s="21" t="s">
        <v>1764</v>
      </c>
      <c r="G567" s="21" t="s">
        <v>2710</v>
      </c>
      <c r="H567" s="25"/>
      <c r="I567" s="25"/>
      <c r="J567" s="25"/>
      <c r="K567" s="25"/>
      <c r="L567" s="25"/>
      <c r="M567" s="22" t="s">
        <v>86</v>
      </c>
      <c r="N567" s="23">
        <v>46083</v>
      </c>
      <c r="O567" s="26" t="str">
        <f t="shared" si="24"/>
        <v>OK</v>
      </c>
      <c r="P567" s="30" t="str">
        <f t="shared" si="25"/>
        <v/>
      </c>
      <c r="Q567" s="26" t="str">
        <f t="shared" si="26"/>
        <v/>
      </c>
    </row>
    <row r="568" spans="1:17" x14ac:dyDescent="0.3">
      <c r="A568" s="33">
        <v>7582701503</v>
      </c>
      <c r="B568" s="21" t="s">
        <v>2711</v>
      </c>
      <c r="C568" s="21" t="s">
        <v>2712</v>
      </c>
      <c r="D568" s="21" t="s">
        <v>2713</v>
      </c>
      <c r="E568" s="21" t="s">
        <v>728</v>
      </c>
      <c r="F568" s="21" t="s">
        <v>2714</v>
      </c>
      <c r="G568" s="21" t="s">
        <v>2715</v>
      </c>
      <c r="H568" s="25"/>
      <c r="I568" s="25"/>
      <c r="J568" s="25"/>
      <c r="K568" s="25"/>
      <c r="L568" s="25"/>
      <c r="M568" s="22" t="s">
        <v>86</v>
      </c>
      <c r="N568" s="23">
        <v>46083</v>
      </c>
      <c r="O568" s="26" t="str">
        <f t="shared" si="24"/>
        <v>OK</v>
      </c>
      <c r="P568" s="30" t="str">
        <f t="shared" si="25"/>
        <v/>
      </c>
      <c r="Q568" s="26" t="str">
        <f t="shared" si="26"/>
        <v/>
      </c>
    </row>
    <row r="569" spans="1:17" x14ac:dyDescent="0.3">
      <c r="A569" s="33">
        <v>4030559011</v>
      </c>
      <c r="B569" s="21" t="s">
        <v>2716</v>
      </c>
      <c r="C569" s="21" t="s">
        <v>2717</v>
      </c>
      <c r="D569" s="21" t="s">
        <v>2718</v>
      </c>
      <c r="E569" s="21" t="s">
        <v>366</v>
      </c>
      <c r="F569" s="21" t="s">
        <v>228</v>
      </c>
      <c r="G569" s="21" t="s">
        <v>2719</v>
      </c>
      <c r="H569" s="25"/>
      <c r="I569" s="25"/>
      <c r="J569" s="25"/>
      <c r="K569" s="25"/>
      <c r="L569" s="25"/>
      <c r="M569" s="22" t="s">
        <v>86</v>
      </c>
      <c r="N569" s="23">
        <v>46083</v>
      </c>
      <c r="O569" s="26" t="str">
        <f t="shared" si="24"/>
        <v>OK</v>
      </c>
      <c r="P569" s="30" t="str">
        <f t="shared" si="25"/>
        <v/>
      </c>
      <c r="Q569" s="26" t="str">
        <f t="shared" si="26"/>
        <v/>
      </c>
    </row>
    <row r="570" spans="1:17" x14ac:dyDescent="0.3">
      <c r="A570" s="33">
        <v>5823700565</v>
      </c>
      <c r="B570" s="21" t="s">
        <v>2720</v>
      </c>
      <c r="C570" s="21" t="s">
        <v>2721</v>
      </c>
      <c r="D570" s="21" t="s">
        <v>2722</v>
      </c>
      <c r="E570" s="21" t="s">
        <v>179</v>
      </c>
      <c r="F570" s="21" t="s">
        <v>2630</v>
      </c>
      <c r="G570" s="21" t="s">
        <v>2723</v>
      </c>
      <c r="H570" s="25"/>
      <c r="I570" s="25"/>
      <c r="J570" s="25"/>
      <c r="K570" s="25"/>
      <c r="L570" s="25"/>
      <c r="M570" s="22" t="s">
        <v>86</v>
      </c>
      <c r="N570" s="23">
        <v>46083</v>
      </c>
      <c r="O570" s="26" t="str">
        <f t="shared" si="24"/>
        <v>OK</v>
      </c>
      <c r="P570" s="30" t="str">
        <f t="shared" si="25"/>
        <v/>
      </c>
      <c r="Q570" s="26" t="str">
        <f t="shared" si="26"/>
        <v/>
      </c>
    </row>
    <row r="571" spans="1:17" x14ac:dyDescent="0.3">
      <c r="A571" s="33">
        <v>1388182247</v>
      </c>
      <c r="B571" s="21" t="s">
        <v>2724</v>
      </c>
      <c r="C571" s="21" t="s">
        <v>2725</v>
      </c>
      <c r="D571" s="21" t="s">
        <v>2726</v>
      </c>
      <c r="E571" s="21" t="s">
        <v>83</v>
      </c>
      <c r="F571" s="21" t="s">
        <v>450</v>
      </c>
      <c r="G571" s="21" t="s">
        <v>1404</v>
      </c>
      <c r="H571" s="25"/>
      <c r="I571" s="25"/>
      <c r="J571" s="25"/>
      <c r="K571" s="25"/>
      <c r="L571" s="25"/>
      <c r="M571" s="22" t="s">
        <v>86</v>
      </c>
      <c r="N571" s="23">
        <v>46083</v>
      </c>
      <c r="O571" s="26" t="str">
        <f t="shared" si="24"/>
        <v>OK</v>
      </c>
      <c r="P571" s="30" t="str">
        <f t="shared" si="25"/>
        <v/>
      </c>
      <c r="Q571" s="26" t="str">
        <f t="shared" si="26"/>
        <v/>
      </c>
    </row>
    <row r="572" spans="1:17" x14ac:dyDescent="0.3">
      <c r="A572" s="33">
        <v>4030957025</v>
      </c>
      <c r="B572" s="21" t="s">
        <v>2727</v>
      </c>
      <c r="C572" s="21" t="s">
        <v>2728</v>
      </c>
      <c r="D572" s="21" t="s">
        <v>2729</v>
      </c>
      <c r="E572" s="21" t="s">
        <v>252</v>
      </c>
      <c r="F572" s="21" t="s">
        <v>2730</v>
      </c>
      <c r="G572" s="21" t="s">
        <v>2731</v>
      </c>
      <c r="H572" s="25"/>
      <c r="I572" s="25"/>
      <c r="J572" s="25"/>
      <c r="K572" s="25"/>
      <c r="L572" s="25"/>
      <c r="M572" s="22" t="s">
        <v>86</v>
      </c>
      <c r="N572" s="23">
        <v>46083</v>
      </c>
      <c r="O572" s="26" t="str">
        <f t="shared" si="24"/>
        <v>OK</v>
      </c>
      <c r="P572" s="30" t="str">
        <f t="shared" si="25"/>
        <v/>
      </c>
      <c r="Q572" s="26" t="str">
        <f t="shared" si="26"/>
        <v/>
      </c>
    </row>
    <row r="573" spans="1:17" x14ac:dyDescent="0.3">
      <c r="A573" s="33">
        <v>4078103809</v>
      </c>
      <c r="B573" s="21" t="s">
        <v>2732</v>
      </c>
      <c r="C573" s="21" t="s">
        <v>2733</v>
      </c>
      <c r="D573" s="21" t="s">
        <v>2734</v>
      </c>
      <c r="E573" s="21" t="s">
        <v>83</v>
      </c>
      <c r="F573" s="21" t="s">
        <v>951</v>
      </c>
      <c r="G573" s="21" t="s">
        <v>1027</v>
      </c>
      <c r="H573" s="25"/>
      <c r="I573" s="25"/>
      <c r="J573" s="25"/>
      <c r="K573" s="25"/>
      <c r="L573" s="25"/>
      <c r="M573" s="22" t="s">
        <v>86</v>
      </c>
      <c r="N573" s="23">
        <v>46083</v>
      </c>
      <c r="O573" s="26" t="str">
        <f t="shared" si="24"/>
        <v>OK</v>
      </c>
      <c r="P573" s="30" t="str">
        <f t="shared" si="25"/>
        <v/>
      </c>
      <c r="Q573" s="26" t="str">
        <f t="shared" si="26"/>
        <v/>
      </c>
    </row>
    <row r="574" spans="1:17" x14ac:dyDescent="0.3">
      <c r="A574" s="33">
        <v>4010688685</v>
      </c>
      <c r="B574" s="21" t="s">
        <v>2735</v>
      </c>
      <c r="C574" s="21" t="s">
        <v>2736</v>
      </c>
      <c r="D574" s="21" t="s">
        <v>2737</v>
      </c>
      <c r="E574" s="21" t="s">
        <v>190</v>
      </c>
      <c r="F574" s="21" t="s">
        <v>2738</v>
      </c>
      <c r="G574" s="21"/>
      <c r="H574" s="25"/>
      <c r="I574" s="25"/>
      <c r="J574" s="25"/>
      <c r="K574" s="25"/>
      <c r="L574" s="25"/>
      <c r="M574" s="22" t="s">
        <v>86</v>
      </c>
      <c r="N574" s="23">
        <v>46083</v>
      </c>
      <c r="O574" s="26" t="str">
        <f t="shared" si="24"/>
        <v>OK</v>
      </c>
      <c r="P574" s="30" t="str">
        <f t="shared" si="25"/>
        <v/>
      </c>
      <c r="Q574" s="26" t="str">
        <f t="shared" si="26"/>
        <v/>
      </c>
    </row>
    <row r="575" spans="1:17" x14ac:dyDescent="0.3">
      <c r="A575" s="33">
        <v>2080853499</v>
      </c>
      <c r="B575" s="21" t="s">
        <v>2739</v>
      </c>
      <c r="C575" s="21" t="s">
        <v>2740</v>
      </c>
      <c r="D575" s="21" t="s">
        <v>2741</v>
      </c>
      <c r="E575" s="21" t="s">
        <v>1754</v>
      </c>
      <c r="F575" s="21" t="s">
        <v>556</v>
      </c>
      <c r="G575" s="21"/>
      <c r="H575" s="25"/>
      <c r="I575" s="25"/>
      <c r="J575" s="25"/>
      <c r="K575" s="25"/>
      <c r="L575" s="25"/>
      <c r="M575" s="22" t="s">
        <v>86</v>
      </c>
      <c r="N575" s="23">
        <v>46083</v>
      </c>
      <c r="O575" s="26" t="str">
        <f t="shared" si="24"/>
        <v>OK</v>
      </c>
      <c r="P575" s="30" t="str">
        <f t="shared" si="25"/>
        <v/>
      </c>
      <c r="Q575" s="26" t="str">
        <f t="shared" si="26"/>
        <v/>
      </c>
    </row>
    <row r="576" spans="1:17" x14ac:dyDescent="0.3">
      <c r="A576" s="33">
        <v>4018200951</v>
      </c>
      <c r="B576" s="21" t="s">
        <v>2742</v>
      </c>
      <c r="C576" s="21" t="s">
        <v>2743</v>
      </c>
      <c r="D576" s="21" t="s">
        <v>2744</v>
      </c>
      <c r="E576" s="21" t="s">
        <v>2745</v>
      </c>
      <c r="F576" s="21"/>
      <c r="G576" s="21"/>
      <c r="H576" s="25"/>
      <c r="I576" s="25"/>
      <c r="J576" s="25"/>
      <c r="K576" s="25"/>
      <c r="L576" s="25"/>
      <c r="M576" s="22" t="s">
        <v>86</v>
      </c>
      <c r="N576" s="23">
        <v>46083</v>
      </c>
      <c r="O576" s="26" t="str">
        <f t="shared" si="24"/>
        <v>OK</v>
      </c>
      <c r="P576" s="30" t="str">
        <f t="shared" si="25"/>
        <v/>
      </c>
      <c r="Q576" s="26" t="str">
        <f t="shared" si="26"/>
        <v/>
      </c>
    </row>
    <row r="577" spans="1:17" x14ac:dyDescent="0.3">
      <c r="A577" s="33">
        <v>4030152077</v>
      </c>
      <c r="B577" s="21" t="s">
        <v>2746</v>
      </c>
      <c r="C577" s="21"/>
      <c r="D577" s="21" t="s">
        <v>2747</v>
      </c>
      <c r="E577" s="21" t="s">
        <v>2748</v>
      </c>
      <c r="F577" s="21" t="s">
        <v>2749</v>
      </c>
      <c r="G577" s="21" t="s">
        <v>2750</v>
      </c>
      <c r="H577" s="25"/>
      <c r="I577" s="25"/>
      <c r="J577" s="25"/>
      <c r="K577" s="25"/>
      <c r="L577" s="25"/>
      <c r="M577" s="22" t="s">
        <v>86</v>
      </c>
      <c r="N577" s="23">
        <v>46083</v>
      </c>
      <c r="O577" s="26" t="str">
        <f t="shared" si="24"/>
        <v>OK</v>
      </c>
      <c r="P577" s="30" t="str">
        <f t="shared" si="25"/>
        <v/>
      </c>
      <c r="Q577" s="26" t="str">
        <f t="shared" si="26"/>
        <v/>
      </c>
    </row>
    <row r="578" spans="1:17" x14ac:dyDescent="0.3">
      <c r="A578" s="33">
        <v>4010238208</v>
      </c>
      <c r="B578" s="21" t="s">
        <v>2751</v>
      </c>
      <c r="C578" s="21" t="s">
        <v>2752</v>
      </c>
      <c r="D578" s="21" t="s">
        <v>2753</v>
      </c>
      <c r="E578" s="21" t="s">
        <v>190</v>
      </c>
      <c r="F578" s="21"/>
      <c r="G578" s="21" t="s">
        <v>2754</v>
      </c>
      <c r="H578" s="25"/>
      <c r="I578" s="25"/>
      <c r="J578" s="25"/>
      <c r="K578" s="25"/>
      <c r="L578" s="25"/>
      <c r="M578" s="22" t="s">
        <v>86</v>
      </c>
      <c r="N578" s="23">
        <v>46083</v>
      </c>
      <c r="O578" s="26" t="str">
        <f t="shared" ref="O578:O641" si="27">IF(A578="","",IFERROR(IF(AND(LEN(A578)=10,NOT(ISERROR(VALUE(A578)))),"OK","확인"),"확인"))</f>
        <v>OK</v>
      </c>
      <c r="P578" s="30" t="str">
        <f t="shared" ref="P578:P641" si="28">IF(A578="","",IF(COUNTIF($A$2:$A$1946,A578)&gt;1,"중복",""))</f>
        <v/>
      </c>
      <c r="Q578" s="26" t="str">
        <f t="shared" ref="Q578:Q641" si="29">IF(G578="","",IF(ISNUMBER(SEARCH("@",G578)),"","확인"))</f>
        <v/>
      </c>
    </row>
    <row r="579" spans="1:17" x14ac:dyDescent="0.3">
      <c r="A579" s="33">
        <v>4030714056</v>
      </c>
      <c r="B579" s="21" t="s">
        <v>2755</v>
      </c>
      <c r="C579" s="21" t="s">
        <v>2756</v>
      </c>
      <c r="D579" s="21" t="s">
        <v>2757</v>
      </c>
      <c r="E579" s="21" t="s">
        <v>2098</v>
      </c>
      <c r="F579" s="21" t="s">
        <v>2758</v>
      </c>
      <c r="G579" s="21" t="s">
        <v>2759</v>
      </c>
      <c r="H579" s="25"/>
      <c r="I579" s="25"/>
      <c r="J579" s="25"/>
      <c r="K579" s="25"/>
      <c r="L579" s="25"/>
      <c r="M579" s="22" t="s">
        <v>86</v>
      </c>
      <c r="N579" s="23">
        <v>46083</v>
      </c>
      <c r="O579" s="26" t="str">
        <f t="shared" si="27"/>
        <v>OK</v>
      </c>
      <c r="P579" s="30" t="str">
        <f t="shared" si="28"/>
        <v/>
      </c>
      <c r="Q579" s="26" t="str">
        <f t="shared" si="29"/>
        <v/>
      </c>
    </row>
    <row r="580" spans="1:17" x14ac:dyDescent="0.3">
      <c r="A580" s="33">
        <v>4030959436</v>
      </c>
      <c r="B580" s="21" t="s">
        <v>2760</v>
      </c>
      <c r="C580" s="21" t="s">
        <v>2761</v>
      </c>
      <c r="D580" s="21" t="s">
        <v>2762</v>
      </c>
      <c r="E580" s="21" t="s">
        <v>83</v>
      </c>
      <c r="F580" s="21" t="s">
        <v>874</v>
      </c>
      <c r="G580" s="21" t="s">
        <v>2763</v>
      </c>
      <c r="H580" s="25"/>
      <c r="I580" s="25"/>
      <c r="J580" s="25"/>
      <c r="K580" s="25"/>
      <c r="L580" s="25"/>
      <c r="M580" s="22" t="s">
        <v>86</v>
      </c>
      <c r="N580" s="23">
        <v>46083</v>
      </c>
      <c r="O580" s="26" t="str">
        <f t="shared" si="27"/>
        <v>OK</v>
      </c>
      <c r="P580" s="30" t="str">
        <f t="shared" si="28"/>
        <v/>
      </c>
      <c r="Q580" s="26" t="str">
        <f t="shared" si="29"/>
        <v/>
      </c>
    </row>
    <row r="581" spans="1:17" x14ac:dyDescent="0.3">
      <c r="A581" s="33">
        <v>4023494688</v>
      </c>
      <c r="B581" s="21" t="s">
        <v>2764</v>
      </c>
      <c r="C581" s="21" t="s">
        <v>2765</v>
      </c>
      <c r="D581" s="21" t="s">
        <v>2766</v>
      </c>
      <c r="E581" s="21" t="s">
        <v>1598</v>
      </c>
      <c r="F581" s="21" t="s">
        <v>2767</v>
      </c>
      <c r="G581" s="21" t="s">
        <v>2768</v>
      </c>
      <c r="H581" s="25"/>
      <c r="I581" s="25"/>
      <c r="J581" s="25"/>
      <c r="K581" s="25"/>
      <c r="L581" s="25"/>
      <c r="M581" s="22" t="s">
        <v>86</v>
      </c>
      <c r="N581" s="23">
        <v>46083</v>
      </c>
      <c r="O581" s="26" t="str">
        <f t="shared" si="27"/>
        <v>OK</v>
      </c>
      <c r="P581" s="30" t="str">
        <f t="shared" si="28"/>
        <v/>
      </c>
      <c r="Q581" s="26" t="str">
        <f t="shared" si="29"/>
        <v/>
      </c>
    </row>
    <row r="582" spans="1:17" x14ac:dyDescent="0.3">
      <c r="A582" s="33">
        <v>7341901443</v>
      </c>
      <c r="B582" s="21" t="s">
        <v>2769</v>
      </c>
      <c r="C582" s="21" t="s">
        <v>2770</v>
      </c>
      <c r="D582" s="21" t="s">
        <v>2771</v>
      </c>
      <c r="E582" s="21" t="s">
        <v>179</v>
      </c>
      <c r="F582" s="21" t="s">
        <v>2772</v>
      </c>
      <c r="G582" s="21" t="s">
        <v>2773</v>
      </c>
      <c r="H582" s="25"/>
      <c r="I582" s="25"/>
      <c r="J582" s="25"/>
      <c r="K582" s="25"/>
      <c r="L582" s="25"/>
      <c r="M582" s="22" t="s">
        <v>86</v>
      </c>
      <c r="N582" s="23">
        <v>46083</v>
      </c>
      <c r="O582" s="26" t="str">
        <f t="shared" si="27"/>
        <v>OK</v>
      </c>
      <c r="P582" s="30" t="str">
        <f t="shared" si="28"/>
        <v/>
      </c>
      <c r="Q582" s="26" t="str">
        <f t="shared" si="29"/>
        <v/>
      </c>
    </row>
    <row r="583" spans="1:17" x14ac:dyDescent="0.3">
      <c r="A583" s="33">
        <v>1131714813</v>
      </c>
      <c r="B583" s="21" t="s">
        <v>2774</v>
      </c>
      <c r="C583" s="21" t="s">
        <v>2775</v>
      </c>
      <c r="D583" s="21" t="s">
        <v>2776</v>
      </c>
      <c r="E583" s="21" t="s">
        <v>190</v>
      </c>
      <c r="F583" s="21" t="s">
        <v>1764</v>
      </c>
      <c r="G583" s="21"/>
      <c r="H583" s="25"/>
      <c r="I583" s="25"/>
      <c r="J583" s="25"/>
      <c r="K583" s="25"/>
      <c r="L583" s="25"/>
      <c r="M583" s="22" t="s">
        <v>86</v>
      </c>
      <c r="N583" s="23">
        <v>46083</v>
      </c>
      <c r="O583" s="26" t="str">
        <f t="shared" si="27"/>
        <v>OK</v>
      </c>
      <c r="P583" s="30" t="str">
        <f t="shared" si="28"/>
        <v/>
      </c>
      <c r="Q583" s="26" t="str">
        <f t="shared" si="29"/>
        <v/>
      </c>
    </row>
    <row r="584" spans="1:17" x14ac:dyDescent="0.3">
      <c r="A584" s="33">
        <v>4028602722</v>
      </c>
      <c r="B584" s="21" t="s">
        <v>2777</v>
      </c>
      <c r="C584" s="21" t="s">
        <v>2778</v>
      </c>
      <c r="D584" s="21" t="s">
        <v>2779</v>
      </c>
      <c r="E584" s="21" t="s">
        <v>179</v>
      </c>
      <c r="F584" s="21" t="s">
        <v>2780</v>
      </c>
      <c r="G584" s="21" t="s">
        <v>2781</v>
      </c>
      <c r="H584" s="25"/>
      <c r="I584" s="25"/>
      <c r="J584" s="25"/>
      <c r="K584" s="25"/>
      <c r="L584" s="25"/>
      <c r="M584" s="22" t="s">
        <v>86</v>
      </c>
      <c r="N584" s="23">
        <v>46083</v>
      </c>
      <c r="O584" s="26" t="str">
        <f t="shared" si="27"/>
        <v>OK</v>
      </c>
      <c r="P584" s="30" t="str">
        <f t="shared" si="28"/>
        <v/>
      </c>
      <c r="Q584" s="26" t="str">
        <f t="shared" si="29"/>
        <v/>
      </c>
    </row>
    <row r="585" spans="1:17" x14ac:dyDescent="0.3">
      <c r="A585" s="33">
        <v>4030558370</v>
      </c>
      <c r="B585" s="21" t="s">
        <v>2782</v>
      </c>
      <c r="C585" s="21" t="s">
        <v>2783</v>
      </c>
      <c r="D585" s="21" t="s">
        <v>2784</v>
      </c>
      <c r="E585" s="21" t="s">
        <v>190</v>
      </c>
      <c r="F585" s="21" t="s">
        <v>2785</v>
      </c>
      <c r="G585" s="21" t="s">
        <v>2786</v>
      </c>
      <c r="H585" s="25"/>
      <c r="I585" s="25"/>
      <c r="J585" s="25"/>
      <c r="K585" s="25"/>
      <c r="L585" s="25"/>
      <c r="M585" s="22" t="s">
        <v>86</v>
      </c>
      <c r="N585" s="23">
        <v>46083</v>
      </c>
      <c r="O585" s="26" t="str">
        <f t="shared" si="27"/>
        <v>OK</v>
      </c>
      <c r="P585" s="30" t="str">
        <f t="shared" si="28"/>
        <v/>
      </c>
      <c r="Q585" s="26" t="str">
        <f t="shared" si="29"/>
        <v/>
      </c>
    </row>
    <row r="586" spans="1:17" x14ac:dyDescent="0.3">
      <c r="A586" s="33">
        <v>1408138889</v>
      </c>
      <c r="B586" s="21" t="s">
        <v>2787</v>
      </c>
      <c r="C586" s="21" t="s">
        <v>2788</v>
      </c>
      <c r="D586" s="21" t="s">
        <v>2789</v>
      </c>
      <c r="E586" s="21" t="s">
        <v>111</v>
      </c>
      <c r="F586" s="21" t="s">
        <v>2790</v>
      </c>
      <c r="G586" s="21" t="s">
        <v>2791</v>
      </c>
      <c r="H586" s="25"/>
      <c r="I586" s="25"/>
      <c r="J586" s="25"/>
      <c r="K586" s="25"/>
      <c r="L586" s="25"/>
      <c r="M586" s="22" t="s">
        <v>86</v>
      </c>
      <c r="N586" s="23">
        <v>46083</v>
      </c>
      <c r="O586" s="26" t="str">
        <f t="shared" si="27"/>
        <v>OK</v>
      </c>
      <c r="P586" s="30" t="str">
        <f t="shared" si="28"/>
        <v/>
      </c>
      <c r="Q586" s="26" t="str">
        <f t="shared" si="29"/>
        <v/>
      </c>
    </row>
    <row r="587" spans="1:17" x14ac:dyDescent="0.3">
      <c r="A587" s="33">
        <v>4022294841</v>
      </c>
      <c r="B587" s="21" t="s">
        <v>2792</v>
      </c>
      <c r="C587" s="21" t="s">
        <v>2793</v>
      </c>
      <c r="D587" s="21" t="s">
        <v>2794</v>
      </c>
      <c r="E587" s="21" t="s">
        <v>111</v>
      </c>
      <c r="F587" s="21" t="s">
        <v>96</v>
      </c>
      <c r="G587" s="21" t="s">
        <v>2795</v>
      </c>
      <c r="H587" s="25"/>
      <c r="I587" s="25"/>
      <c r="J587" s="25"/>
      <c r="K587" s="25"/>
      <c r="L587" s="25"/>
      <c r="M587" s="22" t="s">
        <v>86</v>
      </c>
      <c r="N587" s="23">
        <v>46083</v>
      </c>
      <c r="O587" s="26" t="str">
        <f t="shared" si="27"/>
        <v>OK</v>
      </c>
      <c r="P587" s="30" t="str">
        <f t="shared" si="28"/>
        <v/>
      </c>
      <c r="Q587" s="26" t="str">
        <f t="shared" si="29"/>
        <v/>
      </c>
    </row>
    <row r="588" spans="1:17" x14ac:dyDescent="0.3">
      <c r="A588" s="33">
        <v>4551202730</v>
      </c>
      <c r="B588" s="21" t="s">
        <v>2796</v>
      </c>
      <c r="C588" s="21" t="s">
        <v>2797</v>
      </c>
      <c r="D588" s="21" t="s">
        <v>2798</v>
      </c>
      <c r="E588" s="21" t="s">
        <v>346</v>
      </c>
      <c r="F588" s="21" t="s">
        <v>2767</v>
      </c>
      <c r="G588" s="21" t="s">
        <v>2799</v>
      </c>
      <c r="H588" s="25"/>
      <c r="I588" s="25"/>
      <c r="J588" s="25"/>
      <c r="K588" s="25"/>
      <c r="L588" s="25"/>
      <c r="M588" s="22" t="s">
        <v>86</v>
      </c>
      <c r="N588" s="23">
        <v>46083</v>
      </c>
      <c r="O588" s="26" t="str">
        <f t="shared" si="27"/>
        <v>OK</v>
      </c>
      <c r="P588" s="30" t="str">
        <f t="shared" si="28"/>
        <v/>
      </c>
      <c r="Q588" s="26" t="str">
        <f t="shared" si="29"/>
        <v/>
      </c>
    </row>
    <row r="589" spans="1:17" x14ac:dyDescent="0.3">
      <c r="A589" s="33">
        <v>4030681960</v>
      </c>
      <c r="B589" s="21" t="s">
        <v>2800</v>
      </c>
      <c r="C589" s="21" t="s">
        <v>2801</v>
      </c>
      <c r="D589" s="21" t="s">
        <v>2802</v>
      </c>
      <c r="E589" s="21" t="s">
        <v>190</v>
      </c>
      <c r="F589" s="21" t="s">
        <v>2803</v>
      </c>
      <c r="G589" s="21" t="s">
        <v>2804</v>
      </c>
      <c r="H589" s="25"/>
      <c r="I589" s="25"/>
      <c r="J589" s="25"/>
      <c r="K589" s="25"/>
      <c r="L589" s="25"/>
      <c r="M589" s="22" t="s">
        <v>86</v>
      </c>
      <c r="N589" s="23">
        <v>46083</v>
      </c>
      <c r="O589" s="26" t="str">
        <f t="shared" si="27"/>
        <v>OK</v>
      </c>
      <c r="P589" s="30" t="str">
        <f t="shared" si="28"/>
        <v/>
      </c>
      <c r="Q589" s="26" t="str">
        <f t="shared" si="29"/>
        <v/>
      </c>
    </row>
    <row r="590" spans="1:17" x14ac:dyDescent="0.3">
      <c r="A590" s="33">
        <v>1378162141</v>
      </c>
      <c r="B590" s="21" t="s">
        <v>2805</v>
      </c>
      <c r="C590" s="21" t="s">
        <v>2806</v>
      </c>
      <c r="D590" s="21" t="s">
        <v>2807</v>
      </c>
      <c r="E590" s="21" t="s">
        <v>111</v>
      </c>
      <c r="F590" s="21" t="s">
        <v>2808</v>
      </c>
      <c r="G590" s="21" t="s">
        <v>2809</v>
      </c>
      <c r="H590" s="25"/>
      <c r="I590" s="25"/>
      <c r="J590" s="25"/>
      <c r="K590" s="25"/>
      <c r="L590" s="25"/>
      <c r="M590" s="22" t="s">
        <v>86</v>
      </c>
      <c r="N590" s="23">
        <v>46083</v>
      </c>
      <c r="O590" s="26" t="str">
        <f t="shared" si="27"/>
        <v>OK</v>
      </c>
      <c r="P590" s="30" t="str">
        <f t="shared" si="28"/>
        <v/>
      </c>
      <c r="Q590" s="26" t="str">
        <f t="shared" si="29"/>
        <v/>
      </c>
    </row>
    <row r="591" spans="1:17" x14ac:dyDescent="0.3">
      <c r="A591" s="33">
        <v>4031901248</v>
      </c>
      <c r="B591" s="21" t="s">
        <v>2810</v>
      </c>
      <c r="C591" s="21" t="s">
        <v>2811</v>
      </c>
      <c r="D591" s="21" t="s">
        <v>2812</v>
      </c>
      <c r="E591" s="21" t="s">
        <v>190</v>
      </c>
      <c r="F591" s="21" t="s">
        <v>874</v>
      </c>
      <c r="G591" s="21" t="s">
        <v>2813</v>
      </c>
      <c r="H591" s="25"/>
      <c r="I591" s="25"/>
      <c r="J591" s="25"/>
      <c r="K591" s="25"/>
      <c r="L591" s="25"/>
      <c r="M591" s="22" t="s">
        <v>86</v>
      </c>
      <c r="N591" s="23">
        <v>46083</v>
      </c>
      <c r="O591" s="26" t="str">
        <f t="shared" si="27"/>
        <v>OK</v>
      </c>
      <c r="P591" s="30" t="str">
        <f t="shared" si="28"/>
        <v/>
      </c>
      <c r="Q591" s="26" t="str">
        <f t="shared" si="29"/>
        <v/>
      </c>
    </row>
    <row r="592" spans="1:17" x14ac:dyDescent="0.3">
      <c r="A592" s="33">
        <v>7348700972</v>
      </c>
      <c r="B592" s="21" t="s">
        <v>2814</v>
      </c>
      <c r="C592" s="21" t="s">
        <v>2815</v>
      </c>
      <c r="D592" s="21"/>
      <c r="E592" s="21" t="s">
        <v>179</v>
      </c>
      <c r="F592" s="21" t="s">
        <v>179</v>
      </c>
      <c r="G592" s="21" t="s">
        <v>2816</v>
      </c>
      <c r="H592" s="25"/>
      <c r="I592" s="25"/>
      <c r="J592" s="25"/>
      <c r="K592" s="25"/>
      <c r="L592" s="25"/>
      <c r="M592" s="22" t="s">
        <v>86</v>
      </c>
      <c r="N592" s="23">
        <v>46083</v>
      </c>
      <c r="O592" s="26" t="str">
        <f t="shared" si="27"/>
        <v>OK</v>
      </c>
      <c r="P592" s="30" t="str">
        <f t="shared" si="28"/>
        <v/>
      </c>
      <c r="Q592" s="26" t="str">
        <f t="shared" si="29"/>
        <v/>
      </c>
    </row>
    <row r="593" spans="1:17" x14ac:dyDescent="0.3">
      <c r="A593" s="33">
        <v>4038109117</v>
      </c>
      <c r="B593" s="21" t="s">
        <v>2817</v>
      </c>
      <c r="C593" s="21" t="s">
        <v>2818</v>
      </c>
      <c r="D593" s="21" t="s">
        <v>2819</v>
      </c>
      <c r="E593" s="21" t="s">
        <v>1856</v>
      </c>
      <c r="F593" s="21" t="s">
        <v>2820</v>
      </c>
      <c r="G593" s="21" t="s">
        <v>2821</v>
      </c>
      <c r="H593" s="25"/>
      <c r="I593" s="25"/>
      <c r="J593" s="25"/>
      <c r="K593" s="25"/>
      <c r="L593" s="25"/>
      <c r="M593" s="22" t="s">
        <v>86</v>
      </c>
      <c r="N593" s="23">
        <v>46083</v>
      </c>
      <c r="O593" s="26" t="str">
        <f t="shared" si="27"/>
        <v>OK</v>
      </c>
      <c r="P593" s="30" t="str">
        <f t="shared" si="28"/>
        <v/>
      </c>
      <c r="Q593" s="26" t="str">
        <f t="shared" si="29"/>
        <v/>
      </c>
    </row>
    <row r="594" spans="1:17" x14ac:dyDescent="0.3">
      <c r="A594" s="33">
        <v>4031554539</v>
      </c>
      <c r="B594" s="21" t="s">
        <v>2822</v>
      </c>
      <c r="C594" s="21" t="s">
        <v>2823</v>
      </c>
      <c r="D594" s="21" t="s">
        <v>2824</v>
      </c>
      <c r="E594" s="21" t="s">
        <v>190</v>
      </c>
      <c r="F594" s="21" t="s">
        <v>2825</v>
      </c>
      <c r="G594" s="21" t="s">
        <v>2826</v>
      </c>
      <c r="H594" s="25"/>
      <c r="I594" s="25"/>
      <c r="J594" s="25"/>
      <c r="K594" s="25"/>
      <c r="L594" s="25"/>
      <c r="M594" s="22" t="s">
        <v>86</v>
      </c>
      <c r="N594" s="23">
        <v>46083</v>
      </c>
      <c r="O594" s="26" t="str">
        <f t="shared" si="27"/>
        <v>OK</v>
      </c>
      <c r="P594" s="30" t="str">
        <f t="shared" si="28"/>
        <v/>
      </c>
      <c r="Q594" s="26" t="str">
        <f t="shared" si="29"/>
        <v/>
      </c>
    </row>
    <row r="595" spans="1:17" x14ac:dyDescent="0.3">
      <c r="A595" s="33">
        <v>4010734319</v>
      </c>
      <c r="B595" s="21" t="s">
        <v>2827</v>
      </c>
      <c r="C595" s="21" t="s">
        <v>2828</v>
      </c>
      <c r="D595" s="21" t="s">
        <v>2829</v>
      </c>
      <c r="E595" s="21" t="s">
        <v>190</v>
      </c>
      <c r="F595" s="21" t="s">
        <v>1764</v>
      </c>
      <c r="G595" s="21" t="s">
        <v>2830</v>
      </c>
      <c r="H595" s="25"/>
      <c r="I595" s="25"/>
      <c r="J595" s="25"/>
      <c r="K595" s="25"/>
      <c r="L595" s="25"/>
      <c r="M595" s="22" t="s">
        <v>86</v>
      </c>
      <c r="N595" s="23">
        <v>46083</v>
      </c>
      <c r="O595" s="26" t="str">
        <f t="shared" si="27"/>
        <v>OK</v>
      </c>
      <c r="P595" s="30" t="str">
        <f t="shared" si="28"/>
        <v/>
      </c>
      <c r="Q595" s="26" t="str">
        <f t="shared" si="29"/>
        <v/>
      </c>
    </row>
    <row r="596" spans="1:17" x14ac:dyDescent="0.3">
      <c r="A596" s="33">
        <v>2218120048</v>
      </c>
      <c r="B596" s="21" t="s">
        <v>2831</v>
      </c>
      <c r="C596" s="21" t="s">
        <v>2832</v>
      </c>
      <c r="D596" s="21" t="s">
        <v>2833</v>
      </c>
      <c r="E596" s="21" t="s">
        <v>83</v>
      </c>
      <c r="F596" s="21" t="s">
        <v>450</v>
      </c>
      <c r="G596" s="21" t="s">
        <v>2834</v>
      </c>
      <c r="H596" s="25"/>
      <c r="I596" s="25"/>
      <c r="J596" s="25"/>
      <c r="K596" s="25"/>
      <c r="L596" s="25"/>
      <c r="M596" s="22" t="s">
        <v>86</v>
      </c>
      <c r="N596" s="23">
        <v>46083</v>
      </c>
      <c r="O596" s="26" t="str">
        <f t="shared" si="27"/>
        <v>OK</v>
      </c>
      <c r="P596" s="30" t="str">
        <f t="shared" si="28"/>
        <v/>
      </c>
      <c r="Q596" s="26" t="str">
        <f t="shared" si="29"/>
        <v/>
      </c>
    </row>
    <row r="597" spans="1:17" x14ac:dyDescent="0.3">
      <c r="A597" s="33">
        <v>4011574067</v>
      </c>
      <c r="B597" s="21" t="s">
        <v>2835</v>
      </c>
      <c r="C597" s="21" t="s">
        <v>2836</v>
      </c>
      <c r="D597" s="21" t="s">
        <v>2837</v>
      </c>
      <c r="E597" s="21" t="s">
        <v>2838</v>
      </c>
      <c r="F597" s="21" t="s">
        <v>2839</v>
      </c>
      <c r="G597" s="21" t="s">
        <v>2840</v>
      </c>
      <c r="H597" s="25"/>
      <c r="I597" s="25"/>
      <c r="J597" s="25"/>
      <c r="K597" s="25"/>
      <c r="L597" s="25"/>
      <c r="M597" s="22" t="s">
        <v>86</v>
      </c>
      <c r="N597" s="23">
        <v>46083</v>
      </c>
      <c r="O597" s="26" t="str">
        <f t="shared" si="27"/>
        <v>OK</v>
      </c>
      <c r="P597" s="30" t="str">
        <f t="shared" si="28"/>
        <v/>
      </c>
      <c r="Q597" s="26" t="str">
        <f t="shared" si="29"/>
        <v/>
      </c>
    </row>
    <row r="598" spans="1:17" x14ac:dyDescent="0.3">
      <c r="A598" s="33">
        <v>4180714679</v>
      </c>
      <c r="B598" s="21" t="s">
        <v>2841</v>
      </c>
      <c r="C598" s="21" t="s">
        <v>2842</v>
      </c>
      <c r="D598" s="21" t="s">
        <v>2843</v>
      </c>
      <c r="E598" s="21" t="s">
        <v>179</v>
      </c>
      <c r="F598" s="21" t="s">
        <v>2144</v>
      </c>
      <c r="G598" s="21" t="s">
        <v>2844</v>
      </c>
      <c r="H598" s="25"/>
      <c r="I598" s="25"/>
      <c r="J598" s="25"/>
      <c r="K598" s="25"/>
      <c r="L598" s="25"/>
      <c r="M598" s="22" t="s">
        <v>86</v>
      </c>
      <c r="N598" s="23">
        <v>46083</v>
      </c>
      <c r="O598" s="26" t="str">
        <f t="shared" si="27"/>
        <v>OK</v>
      </c>
      <c r="P598" s="30" t="str">
        <f t="shared" si="28"/>
        <v/>
      </c>
      <c r="Q598" s="26" t="str">
        <f t="shared" si="29"/>
        <v/>
      </c>
    </row>
    <row r="599" spans="1:17" x14ac:dyDescent="0.3">
      <c r="A599" s="33">
        <v>4038128394</v>
      </c>
      <c r="B599" s="21" t="s">
        <v>2845</v>
      </c>
      <c r="C599" s="21" t="s">
        <v>2846</v>
      </c>
      <c r="D599" s="21" t="s">
        <v>2847</v>
      </c>
      <c r="E599" s="21" t="s">
        <v>95</v>
      </c>
      <c r="F599" s="21" t="s">
        <v>2848</v>
      </c>
      <c r="G599" s="21" t="s">
        <v>2849</v>
      </c>
      <c r="H599" s="25"/>
      <c r="I599" s="25"/>
      <c r="J599" s="25"/>
      <c r="K599" s="25"/>
      <c r="L599" s="25"/>
      <c r="M599" s="22" t="s">
        <v>86</v>
      </c>
      <c r="N599" s="23">
        <v>46083</v>
      </c>
      <c r="O599" s="26" t="str">
        <f t="shared" si="27"/>
        <v>OK</v>
      </c>
      <c r="P599" s="30" t="str">
        <f t="shared" si="28"/>
        <v/>
      </c>
      <c r="Q599" s="26" t="str">
        <f t="shared" si="29"/>
        <v/>
      </c>
    </row>
    <row r="600" spans="1:17" x14ac:dyDescent="0.3">
      <c r="A600" s="33">
        <v>4031175875</v>
      </c>
      <c r="B600" s="21" t="s">
        <v>2850</v>
      </c>
      <c r="C600" s="21" t="s">
        <v>2851</v>
      </c>
      <c r="D600" s="21" t="s">
        <v>2852</v>
      </c>
      <c r="E600" s="21" t="s">
        <v>179</v>
      </c>
      <c r="F600" s="21" t="s">
        <v>2853</v>
      </c>
      <c r="G600" s="21" t="s">
        <v>2854</v>
      </c>
      <c r="H600" s="25"/>
      <c r="I600" s="25"/>
      <c r="J600" s="25"/>
      <c r="K600" s="25"/>
      <c r="L600" s="25"/>
      <c r="M600" s="22" t="s">
        <v>86</v>
      </c>
      <c r="N600" s="23">
        <v>46083</v>
      </c>
      <c r="O600" s="26" t="str">
        <f t="shared" si="27"/>
        <v>OK</v>
      </c>
      <c r="P600" s="30" t="str">
        <f t="shared" si="28"/>
        <v/>
      </c>
      <c r="Q600" s="26" t="str">
        <f t="shared" si="29"/>
        <v/>
      </c>
    </row>
    <row r="601" spans="1:17" x14ac:dyDescent="0.3">
      <c r="A601" s="33">
        <v>4038150896</v>
      </c>
      <c r="B601" s="21" t="s">
        <v>2855</v>
      </c>
      <c r="C601" s="21" t="s">
        <v>2856</v>
      </c>
      <c r="D601" s="21" t="s">
        <v>2857</v>
      </c>
      <c r="E601" s="21" t="s">
        <v>83</v>
      </c>
      <c r="F601" s="21" t="s">
        <v>2858</v>
      </c>
      <c r="G601" s="21" t="s">
        <v>2859</v>
      </c>
      <c r="H601" s="25"/>
      <c r="I601" s="25"/>
      <c r="J601" s="25"/>
      <c r="K601" s="25"/>
      <c r="L601" s="25"/>
      <c r="M601" s="22" t="s">
        <v>86</v>
      </c>
      <c r="N601" s="23">
        <v>46083</v>
      </c>
      <c r="O601" s="26" t="str">
        <f t="shared" si="27"/>
        <v>OK</v>
      </c>
      <c r="P601" s="30" t="str">
        <f t="shared" si="28"/>
        <v/>
      </c>
      <c r="Q601" s="26" t="str">
        <f t="shared" si="29"/>
        <v/>
      </c>
    </row>
    <row r="602" spans="1:17" x14ac:dyDescent="0.3">
      <c r="A602" s="33">
        <v>4030934167</v>
      </c>
      <c r="B602" s="21" t="s">
        <v>2860</v>
      </c>
      <c r="C602" s="21" t="s">
        <v>2861</v>
      </c>
      <c r="D602" s="21" t="s">
        <v>2862</v>
      </c>
      <c r="E602" s="21" t="s">
        <v>179</v>
      </c>
      <c r="F602" s="21" t="s">
        <v>2863</v>
      </c>
      <c r="G602" s="21" t="s">
        <v>2864</v>
      </c>
      <c r="H602" s="25"/>
      <c r="I602" s="25"/>
      <c r="J602" s="25"/>
      <c r="K602" s="25"/>
      <c r="L602" s="25"/>
      <c r="M602" s="22" t="s">
        <v>86</v>
      </c>
      <c r="N602" s="23">
        <v>46083</v>
      </c>
      <c r="O602" s="26" t="str">
        <f t="shared" si="27"/>
        <v>OK</v>
      </c>
      <c r="P602" s="30" t="str">
        <f t="shared" si="28"/>
        <v/>
      </c>
      <c r="Q602" s="26" t="str">
        <f t="shared" si="29"/>
        <v/>
      </c>
    </row>
    <row r="603" spans="1:17" x14ac:dyDescent="0.3">
      <c r="A603" s="33">
        <v>4021622268</v>
      </c>
      <c r="B603" s="21" t="s">
        <v>2865</v>
      </c>
      <c r="C603" s="21" t="s">
        <v>2866</v>
      </c>
      <c r="D603" s="21" t="s">
        <v>2867</v>
      </c>
      <c r="E603" s="21" t="s">
        <v>179</v>
      </c>
      <c r="F603" s="21" t="s">
        <v>2868</v>
      </c>
      <c r="G603" s="21" t="s">
        <v>2869</v>
      </c>
      <c r="H603" s="25"/>
      <c r="I603" s="25"/>
      <c r="J603" s="25"/>
      <c r="K603" s="25"/>
      <c r="L603" s="25"/>
      <c r="M603" s="22" t="s">
        <v>86</v>
      </c>
      <c r="N603" s="23">
        <v>46083</v>
      </c>
      <c r="O603" s="26" t="str">
        <f t="shared" si="27"/>
        <v>OK</v>
      </c>
      <c r="P603" s="30" t="str">
        <f t="shared" si="28"/>
        <v/>
      </c>
      <c r="Q603" s="26" t="str">
        <f t="shared" si="29"/>
        <v/>
      </c>
    </row>
    <row r="604" spans="1:17" x14ac:dyDescent="0.3">
      <c r="A604" s="33">
        <v>1208143883</v>
      </c>
      <c r="B604" s="21" t="s">
        <v>2870</v>
      </c>
      <c r="C604" s="21" t="s">
        <v>2871</v>
      </c>
      <c r="D604" s="21" t="s">
        <v>2872</v>
      </c>
      <c r="E604" s="21" t="s">
        <v>83</v>
      </c>
      <c r="F604" s="21" t="s">
        <v>2873</v>
      </c>
      <c r="G604" s="21" t="s">
        <v>1148</v>
      </c>
      <c r="H604" s="25"/>
      <c r="I604" s="25"/>
      <c r="J604" s="25"/>
      <c r="K604" s="25"/>
      <c r="L604" s="25"/>
      <c r="M604" s="22" t="s">
        <v>86</v>
      </c>
      <c r="N604" s="23">
        <v>46083</v>
      </c>
      <c r="O604" s="26" t="str">
        <f t="shared" si="27"/>
        <v>OK</v>
      </c>
      <c r="P604" s="30" t="str">
        <f t="shared" si="28"/>
        <v/>
      </c>
      <c r="Q604" s="26" t="str">
        <f t="shared" si="29"/>
        <v/>
      </c>
    </row>
    <row r="605" spans="1:17" x14ac:dyDescent="0.3">
      <c r="A605" s="33">
        <v>5606300716</v>
      </c>
      <c r="B605" s="21" t="s">
        <v>2874</v>
      </c>
      <c r="C605" s="21" t="s">
        <v>2875</v>
      </c>
      <c r="D605" s="21" t="s">
        <v>2876</v>
      </c>
      <c r="E605" s="21"/>
      <c r="F605" s="21"/>
      <c r="G605" s="21"/>
      <c r="H605" s="25"/>
      <c r="I605" s="25"/>
      <c r="J605" s="25"/>
      <c r="K605" s="25"/>
      <c r="L605" s="25"/>
      <c r="M605" s="22" t="s">
        <v>86</v>
      </c>
      <c r="N605" s="23">
        <v>46083</v>
      </c>
      <c r="O605" s="26" t="str">
        <f t="shared" si="27"/>
        <v>OK</v>
      </c>
      <c r="P605" s="30" t="str">
        <f t="shared" si="28"/>
        <v/>
      </c>
      <c r="Q605" s="26" t="str">
        <f t="shared" si="29"/>
        <v/>
      </c>
    </row>
    <row r="606" spans="1:17" x14ac:dyDescent="0.3">
      <c r="A606" s="33">
        <v>4942601524</v>
      </c>
      <c r="B606" s="21" t="s">
        <v>2877</v>
      </c>
      <c r="C606" s="21" t="s">
        <v>2878</v>
      </c>
      <c r="D606" s="21" t="s">
        <v>2879</v>
      </c>
      <c r="E606" s="21" t="s">
        <v>83</v>
      </c>
      <c r="F606" s="21" t="s">
        <v>96</v>
      </c>
      <c r="G606" s="21"/>
      <c r="H606" s="25"/>
      <c r="I606" s="25"/>
      <c r="J606" s="25"/>
      <c r="K606" s="25"/>
      <c r="L606" s="25"/>
      <c r="M606" s="22" t="s">
        <v>86</v>
      </c>
      <c r="N606" s="23">
        <v>46083</v>
      </c>
      <c r="O606" s="26" t="str">
        <f t="shared" si="27"/>
        <v>OK</v>
      </c>
      <c r="P606" s="30" t="str">
        <f t="shared" si="28"/>
        <v/>
      </c>
      <c r="Q606" s="26" t="str">
        <f t="shared" si="29"/>
        <v/>
      </c>
    </row>
    <row r="607" spans="1:17" x14ac:dyDescent="0.3">
      <c r="A607" s="33">
        <v>7130902640</v>
      </c>
      <c r="B607" s="21" t="s">
        <v>2880</v>
      </c>
      <c r="C607" s="21" t="s">
        <v>2881</v>
      </c>
      <c r="D607" s="21" t="s">
        <v>2882</v>
      </c>
      <c r="E607" s="21" t="s">
        <v>2883</v>
      </c>
      <c r="F607" s="21" t="s">
        <v>2884</v>
      </c>
      <c r="G607" s="21" t="s">
        <v>2885</v>
      </c>
      <c r="H607" s="25"/>
      <c r="I607" s="25"/>
      <c r="J607" s="25"/>
      <c r="K607" s="25"/>
      <c r="L607" s="25"/>
      <c r="M607" s="22" t="s">
        <v>86</v>
      </c>
      <c r="N607" s="23">
        <v>46083</v>
      </c>
      <c r="O607" s="26" t="str">
        <f t="shared" si="27"/>
        <v>OK</v>
      </c>
      <c r="P607" s="30" t="str">
        <f t="shared" si="28"/>
        <v/>
      </c>
      <c r="Q607" s="26" t="str">
        <f t="shared" si="29"/>
        <v/>
      </c>
    </row>
    <row r="608" spans="1:17" x14ac:dyDescent="0.3">
      <c r="A608" s="33">
        <v>3981001865</v>
      </c>
      <c r="B608" s="21" t="s">
        <v>2886</v>
      </c>
      <c r="C608" s="21" t="s">
        <v>2887</v>
      </c>
      <c r="D608" s="21" t="s">
        <v>2888</v>
      </c>
      <c r="E608" s="21" t="s">
        <v>179</v>
      </c>
      <c r="F608" s="21" t="s">
        <v>2630</v>
      </c>
      <c r="G608" s="21" t="s">
        <v>2889</v>
      </c>
      <c r="H608" s="25"/>
      <c r="I608" s="25"/>
      <c r="J608" s="25"/>
      <c r="K608" s="25"/>
      <c r="L608" s="25"/>
      <c r="M608" s="22" t="s">
        <v>86</v>
      </c>
      <c r="N608" s="23">
        <v>46083</v>
      </c>
      <c r="O608" s="26" t="str">
        <f t="shared" si="27"/>
        <v>OK</v>
      </c>
      <c r="P608" s="30" t="str">
        <f t="shared" si="28"/>
        <v/>
      </c>
      <c r="Q608" s="26" t="str">
        <f t="shared" si="29"/>
        <v/>
      </c>
    </row>
    <row r="609" spans="1:17" x14ac:dyDescent="0.3">
      <c r="A609" s="33">
        <v>4038168848</v>
      </c>
      <c r="B609" s="21" t="s">
        <v>2890</v>
      </c>
      <c r="C609" s="21" t="s">
        <v>2891</v>
      </c>
      <c r="D609" s="21" t="s">
        <v>2892</v>
      </c>
      <c r="E609" s="21" t="s">
        <v>179</v>
      </c>
      <c r="F609" s="21" t="s">
        <v>2893</v>
      </c>
      <c r="G609" s="21" t="s">
        <v>2894</v>
      </c>
      <c r="H609" s="25"/>
      <c r="I609" s="25"/>
      <c r="J609" s="25"/>
      <c r="K609" s="25"/>
      <c r="L609" s="25"/>
      <c r="M609" s="22" t="s">
        <v>86</v>
      </c>
      <c r="N609" s="23">
        <v>46083</v>
      </c>
      <c r="O609" s="26" t="str">
        <f t="shared" si="27"/>
        <v>OK</v>
      </c>
      <c r="P609" s="30" t="str">
        <f t="shared" si="28"/>
        <v/>
      </c>
      <c r="Q609" s="26" t="str">
        <f t="shared" si="29"/>
        <v/>
      </c>
    </row>
    <row r="610" spans="1:17" x14ac:dyDescent="0.3">
      <c r="A610" s="33">
        <v>5243400194</v>
      </c>
      <c r="B610" s="21" t="s">
        <v>2895</v>
      </c>
      <c r="C610" s="21" t="s">
        <v>2896</v>
      </c>
      <c r="D610" s="21" t="s">
        <v>2897</v>
      </c>
      <c r="E610" s="21" t="s">
        <v>83</v>
      </c>
      <c r="F610" s="21" t="s">
        <v>96</v>
      </c>
      <c r="G610" s="21"/>
      <c r="H610" s="25"/>
      <c r="I610" s="25"/>
      <c r="J610" s="25"/>
      <c r="K610" s="25"/>
      <c r="L610" s="25"/>
      <c r="M610" s="22" t="s">
        <v>86</v>
      </c>
      <c r="N610" s="23">
        <v>46083</v>
      </c>
      <c r="O610" s="26" t="str">
        <f t="shared" si="27"/>
        <v>OK</v>
      </c>
      <c r="P610" s="30" t="str">
        <f t="shared" si="28"/>
        <v/>
      </c>
      <c r="Q610" s="26" t="str">
        <f t="shared" si="29"/>
        <v/>
      </c>
    </row>
    <row r="611" spans="1:17" x14ac:dyDescent="0.3">
      <c r="A611" s="33">
        <v>4461000753</v>
      </c>
      <c r="B611" s="21" t="s">
        <v>2898</v>
      </c>
      <c r="C611" s="21" t="s">
        <v>2899</v>
      </c>
      <c r="D611" s="21" t="s">
        <v>2900</v>
      </c>
      <c r="E611" s="21" t="s">
        <v>179</v>
      </c>
      <c r="F611" s="21" t="s">
        <v>2630</v>
      </c>
      <c r="G611" s="21" t="s">
        <v>2901</v>
      </c>
      <c r="H611" s="25"/>
      <c r="I611" s="25"/>
      <c r="J611" s="25"/>
      <c r="K611" s="25"/>
      <c r="L611" s="25"/>
      <c r="M611" s="22" t="s">
        <v>86</v>
      </c>
      <c r="N611" s="23">
        <v>46083</v>
      </c>
      <c r="O611" s="26" t="str">
        <f t="shared" si="27"/>
        <v>OK</v>
      </c>
      <c r="P611" s="30" t="str">
        <f t="shared" si="28"/>
        <v/>
      </c>
      <c r="Q611" s="26" t="str">
        <f t="shared" si="29"/>
        <v/>
      </c>
    </row>
    <row r="612" spans="1:17" x14ac:dyDescent="0.3">
      <c r="A612" s="33">
        <v>3130525144</v>
      </c>
      <c r="B612" s="21" t="s">
        <v>2902</v>
      </c>
      <c r="C612" s="21" t="s">
        <v>2903</v>
      </c>
      <c r="D612" s="21" t="s">
        <v>2904</v>
      </c>
      <c r="E612" s="21" t="s">
        <v>247</v>
      </c>
      <c r="F612" s="21" t="s">
        <v>228</v>
      </c>
      <c r="G612" s="21" t="s">
        <v>2905</v>
      </c>
      <c r="H612" s="25"/>
      <c r="I612" s="25"/>
      <c r="J612" s="25"/>
      <c r="K612" s="25"/>
      <c r="L612" s="25"/>
      <c r="M612" s="22" t="s">
        <v>86</v>
      </c>
      <c r="N612" s="23">
        <v>46083</v>
      </c>
      <c r="O612" s="26" t="str">
        <f t="shared" si="27"/>
        <v>OK</v>
      </c>
      <c r="P612" s="30" t="str">
        <f t="shared" si="28"/>
        <v/>
      </c>
      <c r="Q612" s="26" t="str">
        <f t="shared" si="29"/>
        <v/>
      </c>
    </row>
    <row r="613" spans="1:17" x14ac:dyDescent="0.3">
      <c r="A613" s="33">
        <v>4031039149</v>
      </c>
      <c r="B613" s="21" t="s">
        <v>2906</v>
      </c>
      <c r="C613" s="21" t="s">
        <v>2907</v>
      </c>
      <c r="D613" s="21" t="s">
        <v>2908</v>
      </c>
      <c r="E613" s="21" t="s">
        <v>190</v>
      </c>
      <c r="F613" s="21" t="s">
        <v>2909</v>
      </c>
      <c r="G613" s="21" t="s">
        <v>2910</v>
      </c>
      <c r="H613" s="25"/>
      <c r="I613" s="25"/>
      <c r="J613" s="25"/>
      <c r="K613" s="25"/>
      <c r="L613" s="25"/>
      <c r="M613" s="22" t="s">
        <v>86</v>
      </c>
      <c r="N613" s="23">
        <v>46083</v>
      </c>
      <c r="O613" s="26" t="str">
        <f t="shared" si="27"/>
        <v>OK</v>
      </c>
      <c r="P613" s="30" t="str">
        <f t="shared" si="28"/>
        <v/>
      </c>
      <c r="Q613" s="26" t="str">
        <f t="shared" si="29"/>
        <v/>
      </c>
    </row>
    <row r="614" spans="1:17" x14ac:dyDescent="0.3">
      <c r="A614" s="33">
        <v>3468701702</v>
      </c>
      <c r="B614" s="21" t="s">
        <v>2911</v>
      </c>
      <c r="C614" s="21" t="s">
        <v>2912</v>
      </c>
      <c r="D614" s="21" t="s">
        <v>2913</v>
      </c>
      <c r="E614" s="21"/>
      <c r="F614" s="21"/>
      <c r="G614" s="21" t="s">
        <v>2914</v>
      </c>
      <c r="H614" s="25"/>
      <c r="I614" s="25"/>
      <c r="J614" s="25"/>
      <c r="K614" s="25"/>
      <c r="L614" s="25"/>
      <c r="M614" s="22" t="s">
        <v>86</v>
      </c>
      <c r="N614" s="23">
        <v>46083</v>
      </c>
      <c r="O614" s="26" t="str">
        <f t="shared" si="27"/>
        <v>OK</v>
      </c>
      <c r="P614" s="30" t="str">
        <f t="shared" si="28"/>
        <v/>
      </c>
      <c r="Q614" s="26" t="str">
        <f t="shared" si="29"/>
        <v/>
      </c>
    </row>
    <row r="615" spans="1:17" x14ac:dyDescent="0.3">
      <c r="A615" s="33">
        <v>4378800971</v>
      </c>
      <c r="B615" s="21" t="s">
        <v>2915</v>
      </c>
      <c r="C615" s="21" t="s">
        <v>2916</v>
      </c>
      <c r="D615" s="21" t="s">
        <v>2917</v>
      </c>
      <c r="E615" s="21" t="s">
        <v>83</v>
      </c>
      <c r="F615" s="21" t="s">
        <v>2918</v>
      </c>
      <c r="G615" s="21"/>
      <c r="H615" s="25"/>
      <c r="I615" s="25"/>
      <c r="J615" s="25"/>
      <c r="K615" s="25"/>
      <c r="L615" s="25"/>
      <c r="M615" s="22" t="s">
        <v>86</v>
      </c>
      <c r="N615" s="23">
        <v>46083</v>
      </c>
      <c r="O615" s="26" t="str">
        <f t="shared" si="27"/>
        <v>OK</v>
      </c>
      <c r="P615" s="30" t="str">
        <f t="shared" si="28"/>
        <v/>
      </c>
      <c r="Q615" s="26" t="str">
        <f t="shared" si="29"/>
        <v/>
      </c>
    </row>
    <row r="616" spans="1:17" x14ac:dyDescent="0.3">
      <c r="A616" s="33">
        <v>3868701786</v>
      </c>
      <c r="B616" s="21" t="s">
        <v>2919</v>
      </c>
      <c r="C616" s="21" t="s">
        <v>2920</v>
      </c>
      <c r="D616" s="21" t="s">
        <v>2921</v>
      </c>
      <c r="E616" s="21" t="s">
        <v>532</v>
      </c>
      <c r="F616" s="21" t="s">
        <v>2922</v>
      </c>
      <c r="G616" s="21" t="s">
        <v>1233</v>
      </c>
      <c r="H616" s="25"/>
      <c r="I616" s="25"/>
      <c r="J616" s="25"/>
      <c r="K616" s="25"/>
      <c r="L616" s="25"/>
      <c r="M616" s="22" t="s">
        <v>86</v>
      </c>
      <c r="N616" s="23">
        <v>46083</v>
      </c>
      <c r="O616" s="26" t="str">
        <f t="shared" si="27"/>
        <v>OK</v>
      </c>
      <c r="P616" s="30" t="str">
        <f t="shared" si="28"/>
        <v/>
      </c>
      <c r="Q616" s="26" t="str">
        <f t="shared" si="29"/>
        <v/>
      </c>
    </row>
    <row r="617" spans="1:17" x14ac:dyDescent="0.3">
      <c r="A617" s="33">
        <v>5158802702</v>
      </c>
      <c r="B617" s="21" t="s">
        <v>2923</v>
      </c>
      <c r="C617" s="21" t="s">
        <v>2924</v>
      </c>
      <c r="D617" s="21" t="s">
        <v>1020</v>
      </c>
      <c r="E617" s="21" t="s">
        <v>117</v>
      </c>
      <c r="F617" s="21" t="s">
        <v>2925</v>
      </c>
      <c r="G617" s="21" t="s">
        <v>2926</v>
      </c>
      <c r="H617" s="25"/>
      <c r="I617" s="25"/>
      <c r="J617" s="25"/>
      <c r="K617" s="25"/>
      <c r="L617" s="25"/>
      <c r="M617" s="22" t="s">
        <v>86</v>
      </c>
      <c r="N617" s="23">
        <v>46083</v>
      </c>
      <c r="O617" s="26" t="str">
        <f t="shared" si="27"/>
        <v>OK</v>
      </c>
      <c r="P617" s="30" t="str">
        <f t="shared" si="28"/>
        <v/>
      </c>
      <c r="Q617" s="26" t="str">
        <f t="shared" si="29"/>
        <v/>
      </c>
    </row>
    <row r="618" spans="1:17" x14ac:dyDescent="0.3">
      <c r="A618" s="33">
        <v>1358176580</v>
      </c>
      <c r="B618" s="21" t="s">
        <v>2927</v>
      </c>
      <c r="C618" s="21" t="s">
        <v>2928</v>
      </c>
      <c r="D618" s="21" t="s">
        <v>2929</v>
      </c>
      <c r="E618" s="21" t="s">
        <v>83</v>
      </c>
      <c r="F618" s="21" t="s">
        <v>450</v>
      </c>
      <c r="G618" s="21" t="s">
        <v>2930</v>
      </c>
      <c r="H618" s="25"/>
      <c r="I618" s="25"/>
      <c r="J618" s="25"/>
      <c r="K618" s="25"/>
      <c r="L618" s="25"/>
      <c r="M618" s="22" t="s">
        <v>86</v>
      </c>
      <c r="N618" s="23">
        <v>46083</v>
      </c>
      <c r="O618" s="26" t="str">
        <f t="shared" si="27"/>
        <v>OK</v>
      </c>
      <c r="P618" s="30" t="str">
        <f t="shared" si="28"/>
        <v/>
      </c>
      <c r="Q618" s="26" t="str">
        <f t="shared" si="29"/>
        <v/>
      </c>
    </row>
    <row r="619" spans="1:17" x14ac:dyDescent="0.3">
      <c r="A619" s="33">
        <v>4278801779</v>
      </c>
      <c r="B619" s="21" t="s">
        <v>2931</v>
      </c>
      <c r="C619" s="21" t="s">
        <v>2932</v>
      </c>
      <c r="D619" s="21" t="s">
        <v>2933</v>
      </c>
      <c r="E619" s="21"/>
      <c r="F619" s="21"/>
      <c r="G619" s="21" t="s">
        <v>2934</v>
      </c>
      <c r="H619" s="25"/>
      <c r="I619" s="25"/>
      <c r="J619" s="25"/>
      <c r="K619" s="25"/>
      <c r="L619" s="25"/>
      <c r="M619" s="22" t="s">
        <v>86</v>
      </c>
      <c r="N619" s="23">
        <v>46083</v>
      </c>
      <c r="O619" s="26" t="str">
        <f t="shared" si="27"/>
        <v>OK</v>
      </c>
      <c r="P619" s="30" t="str">
        <f t="shared" si="28"/>
        <v/>
      </c>
      <c r="Q619" s="26" t="str">
        <f t="shared" si="29"/>
        <v/>
      </c>
    </row>
    <row r="620" spans="1:17" x14ac:dyDescent="0.3">
      <c r="A620" s="33">
        <v>4428602263</v>
      </c>
      <c r="B620" s="21" t="s">
        <v>2935</v>
      </c>
      <c r="C620" s="21" t="s">
        <v>2936</v>
      </c>
      <c r="D620" s="21" t="s">
        <v>2937</v>
      </c>
      <c r="E620" s="21" t="s">
        <v>83</v>
      </c>
      <c r="F620" s="21" t="s">
        <v>96</v>
      </c>
      <c r="G620" s="21" t="s">
        <v>2938</v>
      </c>
      <c r="H620" s="25"/>
      <c r="I620" s="25"/>
      <c r="J620" s="25"/>
      <c r="K620" s="25"/>
      <c r="L620" s="25"/>
      <c r="M620" s="22" t="s">
        <v>86</v>
      </c>
      <c r="N620" s="23">
        <v>46083</v>
      </c>
      <c r="O620" s="26" t="str">
        <f t="shared" si="27"/>
        <v>OK</v>
      </c>
      <c r="P620" s="30" t="str">
        <f t="shared" si="28"/>
        <v/>
      </c>
      <c r="Q620" s="26" t="str">
        <f t="shared" si="29"/>
        <v/>
      </c>
    </row>
    <row r="621" spans="1:17" x14ac:dyDescent="0.3">
      <c r="A621" s="33">
        <v>4038129637</v>
      </c>
      <c r="B621" s="21" t="s">
        <v>2939</v>
      </c>
      <c r="C621" s="21" t="s">
        <v>2940</v>
      </c>
      <c r="D621" s="21" t="s">
        <v>2941</v>
      </c>
      <c r="E621" s="21" t="s">
        <v>153</v>
      </c>
      <c r="F621" s="21" t="s">
        <v>2942</v>
      </c>
      <c r="G621" s="21" t="s">
        <v>2943</v>
      </c>
      <c r="H621" s="25"/>
      <c r="I621" s="25"/>
      <c r="J621" s="25"/>
      <c r="K621" s="25"/>
      <c r="L621" s="25"/>
      <c r="M621" s="22" t="s">
        <v>86</v>
      </c>
      <c r="N621" s="23">
        <v>46083</v>
      </c>
      <c r="O621" s="26" t="str">
        <f t="shared" si="27"/>
        <v>OK</v>
      </c>
      <c r="P621" s="30" t="str">
        <f t="shared" si="28"/>
        <v/>
      </c>
      <c r="Q621" s="26" t="str">
        <f t="shared" si="29"/>
        <v/>
      </c>
    </row>
    <row r="622" spans="1:17" x14ac:dyDescent="0.3">
      <c r="A622" s="33">
        <v>4028191666</v>
      </c>
      <c r="B622" s="21" t="s">
        <v>2944</v>
      </c>
      <c r="C622" s="21" t="s">
        <v>2945</v>
      </c>
      <c r="D622" s="21" t="s">
        <v>2946</v>
      </c>
      <c r="E622" s="21" t="s">
        <v>179</v>
      </c>
      <c r="F622" s="21" t="s">
        <v>2228</v>
      </c>
      <c r="G622" s="21" t="s">
        <v>2947</v>
      </c>
      <c r="H622" s="25"/>
      <c r="I622" s="25"/>
      <c r="J622" s="25"/>
      <c r="K622" s="25"/>
      <c r="L622" s="25"/>
      <c r="M622" s="22" t="s">
        <v>86</v>
      </c>
      <c r="N622" s="23">
        <v>46083</v>
      </c>
      <c r="O622" s="26" t="str">
        <f t="shared" si="27"/>
        <v>OK</v>
      </c>
      <c r="P622" s="30" t="str">
        <f t="shared" si="28"/>
        <v/>
      </c>
      <c r="Q622" s="26" t="str">
        <f t="shared" si="29"/>
        <v/>
      </c>
    </row>
    <row r="623" spans="1:17" x14ac:dyDescent="0.3">
      <c r="A623" s="33">
        <v>4038113606</v>
      </c>
      <c r="B623" s="21" t="s">
        <v>2948</v>
      </c>
      <c r="C623" s="21" t="s">
        <v>2949</v>
      </c>
      <c r="D623" s="21" t="s">
        <v>2950</v>
      </c>
      <c r="E623" s="21" t="s">
        <v>190</v>
      </c>
      <c r="F623" s="21" t="s">
        <v>2951</v>
      </c>
      <c r="G623" s="21" t="s">
        <v>2952</v>
      </c>
      <c r="H623" s="25"/>
      <c r="I623" s="25"/>
      <c r="J623" s="25"/>
      <c r="K623" s="25"/>
      <c r="L623" s="25"/>
      <c r="M623" s="22" t="s">
        <v>86</v>
      </c>
      <c r="N623" s="23">
        <v>46083</v>
      </c>
      <c r="O623" s="26" t="str">
        <f t="shared" si="27"/>
        <v>OK</v>
      </c>
      <c r="P623" s="30" t="str">
        <f t="shared" si="28"/>
        <v/>
      </c>
      <c r="Q623" s="26" t="str">
        <f t="shared" si="29"/>
        <v/>
      </c>
    </row>
    <row r="624" spans="1:17" x14ac:dyDescent="0.3">
      <c r="A624" s="33">
        <v>3338800664</v>
      </c>
      <c r="B624" s="21" t="s">
        <v>2953</v>
      </c>
      <c r="C624" s="21" t="s">
        <v>2954</v>
      </c>
      <c r="D624" s="21" t="s">
        <v>2955</v>
      </c>
      <c r="E624" s="21" t="s">
        <v>83</v>
      </c>
      <c r="F624" s="21" t="s">
        <v>2956</v>
      </c>
      <c r="G624" s="21" t="s">
        <v>2957</v>
      </c>
      <c r="H624" s="25"/>
      <c r="I624" s="25"/>
      <c r="J624" s="25"/>
      <c r="K624" s="25"/>
      <c r="L624" s="25"/>
      <c r="M624" s="22" t="s">
        <v>86</v>
      </c>
      <c r="N624" s="23">
        <v>46083</v>
      </c>
      <c r="O624" s="26" t="str">
        <f t="shared" si="27"/>
        <v>OK</v>
      </c>
      <c r="P624" s="30" t="str">
        <f t="shared" si="28"/>
        <v/>
      </c>
      <c r="Q624" s="26" t="str">
        <f t="shared" si="29"/>
        <v/>
      </c>
    </row>
    <row r="625" spans="1:17" x14ac:dyDescent="0.3">
      <c r="A625" s="33">
        <v>1678603449</v>
      </c>
      <c r="B625" s="21" t="s">
        <v>2958</v>
      </c>
      <c r="C625" s="21" t="s">
        <v>503</v>
      </c>
      <c r="D625" s="21" t="s">
        <v>2959</v>
      </c>
      <c r="E625" s="21" t="s">
        <v>83</v>
      </c>
      <c r="F625" s="21" t="s">
        <v>242</v>
      </c>
      <c r="G625" s="21" t="s">
        <v>2960</v>
      </c>
      <c r="H625" s="25"/>
      <c r="I625" s="25"/>
      <c r="J625" s="25"/>
      <c r="K625" s="25"/>
      <c r="L625" s="25"/>
      <c r="M625" s="22" t="s">
        <v>86</v>
      </c>
      <c r="N625" s="23">
        <v>46083</v>
      </c>
      <c r="O625" s="26" t="str">
        <f t="shared" si="27"/>
        <v>OK</v>
      </c>
      <c r="P625" s="30" t="str">
        <f t="shared" si="28"/>
        <v/>
      </c>
      <c r="Q625" s="26" t="str">
        <f t="shared" si="29"/>
        <v/>
      </c>
    </row>
    <row r="626" spans="1:17" x14ac:dyDescent="0.3">
      <c r="A626" s="33">
        <v>4038107235</v>
      </c>
      <c r="B626" s="21" t="s">
        <v>2961</v>
      </c>
      <c r="C626" s="21" t="s">
        <v>2962</v>
      </c>
      <c r="D626" s="21" t="s">
        <v>2963</v>
      </c>
      <c r="E626" s="21" t="s">
        <v>190</v>
      </c>
      <c r="F626" s="21" t="s">
        <v>2964</v>
      </c>
      <c r="G626" s="21" t="s">
        <v>2965</v>
      </c>
      <c r="H626" s="25"/>
      <c r="I626" s="25"/>
      <c r="J626" s="25"/>
      <c r="K626" s="25"/>
      <c r="L626" s="25"/>
      <c r="M626" s="22" t="s">
        <v>86</v>
      </c>
      <c r="N626" s="23">
        <v>46083</v>
      </c>
      <c r="O626" s="26" t="str">
        <f t="shared" si="27"/>
        <v>OK</v>
      </c>
      <c r="P626" s="30" t="str">
        <f t="shared" si="28"/>
        <v/>
      </c>
      <c r="Q626" s="26" t="str">
        <f t="shared" si="29"/>
        <v/>
      </c>
    </row>
    <row r="627" spans="1:17" x14ac:dyDescent="0.3">
      <c r="A627" s="33">
        <v>4038104034</v>
      </c>
      <c r="B627" s="21" t="s">
        <v>2966</v>
      </c>
      <c r="C627" s="21" t="s">
        <v>2967</v>
      </c>
      <c r="D627" s="21" t="s">
        <v>2968</v>
      </c>
      <c r="E627" s="21" t="s">
        <v>83</v>
      </c>
      <c r="F627" s="21" t="s">
        <v>951</v>
      </c>
      <c r="G627" s="21" t="s">
        <v>2969</v>
      </c>
      <c r="H627" s="25"/>
      <c r="I627" s="25"/>
      <c r="J627" s="25"/>
      <c r="K627" s="25"/>
      <c r="L627" s="25"/>
      <c r="M627" s="22" t="s">
        <v>86</v>
      </c>
      <c r="N627" s="23">
        <v>46083</v>
      </c>
      <c r="O627" s="26" t="str">
        <f t="shared" si="27"/>
        <v>OK</v>
      </c>
      <c r="P627" s="30" t="str">
        <f t="shared" si="28"/>
        <v/>
      </c>
      <c r="Q627" s="26" t="str">
        <f t="shared" si="29"/>
        <v/>
      </c>
    </row>
    <row r="628" spans="1:17" x14ac:dyDescent="0.3">
      <c r="A628" s="33">
        <v>2108801147</v>
      </c>
      <c r="B628" s="21" t="s">
        <v>2970</v>
      </c>
      <c r="C628" s="21" t="s">
        <v>2971</v>
      </c>
      <c r="D628" s="21" t="s">
        <v>2972</v>
      </c>
      <c r="E628" s="21" t="s">
        <v>153</v>
      </c>
      <c r="F628" s="21" t="s">
        <v>2973</v>
      </c>
      <c r="G628" s="21" t="s">
        <v>2974</v>
      </c>
      <c r="H628" s="25"/>
      <c r="I628" s="25"/>
      <c r="J628" s="25"/>
      <c r="K628" s="25"/>
      <c r="L628" s="25"/>
      <c r="M628" s="22" t="s">
        <v>86</v>
      </c>
      <c r="N628" s="23">
        <v>46083</v>
      </c>
      <c r="O628" s="26" t="str">
        <f t="shared" si="27"/>
        <v>OK</v>
      </c>
      <c r="P628" s="30" t="str">
        <f t="shared" si="28"/>
        <v/>
      </c>
      <c r="Q628" s="26" t="str">
        <f t="shared" si="29"/>
        <v/>
      </c>
    </row>
    <row r="629" spans="1:17" x14ac:dyDescent="0.3">
      <c r="A629" s="33">
        <v>4038126396</v>
      </c>
      <c r="B629" s="21" t="s">
        <v>2975</v>
      </c>
      <c r="C629" s="21" t="s">
        <v>2976</v>
      </c>
      <c r="D629" s="21" t="s">
        <v>2977</v>
      </c>
      <c r="E629" s="21" t="s">
        <v>111</v>
      </c>
      <c r="F629" s="21" t="s">
        <v>823</v>
      </c>
      <c r="G629" s="21" t="s">
        <v>2978</v>
      </c>
      <c r="H629" s="25"/>
      <c r="I629" s="25"/>
      <c r="J629" s="25"/>
      <c r="K629" s="25"/>
      <c r="L629" s="25"/>
      <c r="M629" s="22" t="s">
        <v>86</v>
      </c>
      <c r="N629" s="23">
        <v>46083</v>
      </c>
      <c r="O629" s="26" t="str">
        <f t="shared" si="27"/>
        <v>OK</v>
      </c>
      <c r="P629" s="30" t="str">
        <f t="shared" si="28"/>
        <v/>
      </c>
      <c r="Q629" s="26" t="str">
        <f t="shared" si="29"/>
        <v/>
      </c>
    </row>
    <row r="630" spans="1:17" x14ac:dyDescent="0.3">
      <c r="A630" s="33">
        <v>1188111466</v>
      </c>
      <c r="B630" s="21" t="s">
        <v>2979</v>
      </c>
      <c r="C630" s="21" t="s">
        <v>2980</v>
      </c>
      <c r="D630" s="21" t="s">
        <v>2981</v>
      </c>
      <c r="E630" s="21" t="s">
        <v>83</v>
      </c>
      <c r="F630" s="21" t="s">
        <v>138</v>
      </c>
      <c r="G630" s="21" t="s">
        <v>2982</v>
      </c>
      <c r="H630" s="25"/>
      <c r="I630" s="25"/>
      <c r="J630" s="25"/>
      <c r="K630" s="25"/>
      <c r="L630" s="25"/>
      <c r="M630" s="22" t="s">
        <v>86</v>
      </c>
      <c r="N630" s="23">
        <v>46083</v>
      </c>
      <c r="O630" s="26" t="str">
        <f t="shared" si="27"/>
        <v>OK</v>
      </c>
      <c r="P630" s="30" t="str">
        <f t="shared" si="28"/>
        <v/>
      </c>
      <c r="Q630" s="26" t="str">
        <f t="shared" si="29"/>
        <v/>
      </c>
    </row>
    <row r="631" spans="1:17" x14ac:dyDescent="0.3">
      <c r="A631" s="33">
        <v>2208609287</v>
      </c>
      <c r="B631" s="21" t="s">
        <v>2983</v>
      </c>
      <c r="C631" s="21" t="s">
        <v>2984</v>
      </c>
      <c r="D631" s="21" t="s">
        <v>2985</v>
      </c>
      <c r="E631" s="21" t="s">
        <v>2986</v>
      </c>
      <c r="F631" s="21" t="s">
        <v>2987</v>
      </c>
      <c r="G631" s="21" t="s">
        <v>2988</v>
      </c>
      <c r="H631" s="25"/>
      <c r="I631" s="25"/>
      <c r="J631" s="25"/>
      <c r="K631" s="25"/>
      <c r="L631" s="25"/>
      <c r="M631" s="22" t="s">
        <v>86</v>
      </c>
      <c r="N631" s="23">
        <v>46083</v>
      </c>
      <c r="O631" s="26" t="str">
        <f t="shared" si="27"/>
        <v>OK</v>
      </c>
      <c r="P631" s="30" t="str">
        <f t="shared" si="28"/>
        <v/>
      </c>
      <c r="Q631" s="26" t="str">
        <f t="shared" si="29"/>
        <v/>
      </c>
    </row>
    <row r="632" spans="1:17" x14ac:dyDescent="0.3">
      <c r="A632" s="33">
        <v>8348600635</v>
      </c>
      <c r="B632" s="21" t="s">
        <v>2989</v>
      </c>
      <c r="C632" s="21" t="s">
        <v>2990</v>
      </c>
      <c r="D632" s="21" t="s">
        <v>2991</v>
      </c>
      <c r="E632" s="21" t="s">
        <v>647</v>
      </c>
      <c r="F632" s="21" t="s">
        <v>2992</v>
      </c>
      <c r="G632" s="21" t="s">
        <v>2993</v>
      </c>
      <c r="H632" s="25"/>
      <c r="I632" s="25"/>
      <c r="J632" s="25"/>
      <c r="K632" s="25"/>
      <c r="L632" s="25"/>
      <c r="M632" s="22" t="s">
        <v>86</v>
      </c>
      <c r="N632" s="23">
        <v>46083</v>
      </c>
      <c r="O632" s="26" t="str">
        <f t="shared" si="27"/>
        <v>OK</v>
      </c>
      <c r="P632" s="30" t="str">
        <f t="shared" si="28"/>
        <v/>
      </c>
      <c r="Q632" s="26" t="str">
        <f t="shared" si="29"/>
        <v/>
      </c>
    </row>
    <row r="633" spans="1:17" x14ac:dyDescent="0.3">
      <c r="A633" s="33">
        <v>4268601054</v>
      </c>
      <c r="B633" s="21" t="s">
        <v>2994</v>
      </c>
      <c r="C633" s="21" t="s">
        <v>2995</v>
      </c>
      <c r="D633" s="21" t="s">
        <v>2996</v>
      </c>
      <c r="E633" s="21" t="s">
        <v>2997</v>
      </c>
      <c r="F633" s="21" t="s">
        <v>2998</v>
      </c>
      <c r="G633" s="21" t="s">
        <v>2999</v>
      </c>
      <c r="H633" s="25"/>
      <c r="I633" s="25"/>
      <c r="J633" s="25"/>
      <c r="K633" s="25"/>
      <c r="L633" s="25"/>
      <c r="M633" s="22" t="s">
        <v>86</v>
      </c>
      <c r="N633" s="23">
        <v>46083</v>
      </c>
      <c r="O633" s="26" t="str">
        <f t="shared" si="27"/>
        <v>OK</v>
      </c>
      <c r="P633" s="30" t="str">
        <f t="shared" si="28"/>
        <v/>
      </c>
      <c r="Q633" s="26" t="str">
        <f t="shared" si="29"/>
        <v/>
      </c>
    </row>
    <row r="634" spans="1:17" x14ac:dyDescent="0.3">
      <c r="A634" s="33">
        <v>3268701407</v>
      </c>
      <c r="B634" s="21" t="s">
        <v>3000</v>
      </c>
      <c r="C634" s="21" t="s">
        <v>3001</v>
      </c>
      <c r="D634" s="21" t="s">
        <v>3002</v>
      </c>
      <c r="E634" s="21" t="s">
        <v>111</v>
      </c>
      <c r="F634" s="21" t="s">
        <v>823</v>
      </c>
      <c r="G634" s="21" t="s">
        <v>3003</v>
      </c>
      <c r="H634" s="25"/>
      <c r="I634" s="25"/>
      <c r="J634" s="25"/>
      <c r="K634" s="25"/>
      <c r="L634" s="25"/>
      <c r="M634" s="22" t="s">
        <v>86</v>
      </c>
      <c r="N634" s="23">
        <v>46083</v>
      </c>
      <c r="O634" s="26" t="str">
        <f t="shared" si="27"/>
        <v>OK</v>
      </c>
      <c r="P634" s="30" t="str">
        <f t="shared" si="28"/>
        <v/>
      </c>
      <c r="Q634" s="26" t="str">
        <f t="shared" si="29"/>
        <v/>
      </c>
    </row>
    <row r="635" spans="1:17" x14ac:dyDescent="0.3">
      <c r="A635" s="33">
        <v>4028179226</v>
      </c>
      <c r="B635" s="21" t="s">
        <v>3004</v>
      </c>
      <c r="C635" s="21" t="s">
        <v>3005</v>
      </c>
      <c r="D635" s="21" t="s">
        <v>3006</v>
      </c>
      <c r="E635" s="21" t="s">
        <v>537</v>
      </c>
      <c r="F635" s="21" t="s">
        <v>3007</v>
      </c>
      <c r="G635" s="21" t="s">
        <v>3008</v>
      </c>
      <c r="H635" s="25"/>
      <c r="I635" s="25"/>
      <c r="J635" s="25"/>
      <c r="K635" s="25"/>
      <c r="L635" s="25"/>
      <c r="M635" s="22" t="s">
        <v>86</v>
      </c>
      <c r="N635" s="23">
        <v>46083</v>
      </c>
      <c r="O635" s="26" t="str">
        <f t="shared" si="27"/>
        <v>OK</v>
      </c>
      <c r="P635" s="30" t="str">
        <f t="shared" si="28"/>
        <v/>
      </c>
      <c r="Q635" s="26" t="str">
        <f t="shared" si="29"/>
        <v/>
      </c>
    </row>
    <row r="636" spans="1:17" x14ac:dyDescent="0.3">
      <c r="A636" s="33">
        <v>1378144973</v>
      </c>
      <c r="B636" s="21" t="s">
        <v>3009</v>
      </c>
      <c r="C636" s="21" t="s">
        <v>3010</v>
      </c>
      <c r="D636" s="21" t="s">
        <v>3011</v>
      </c>
      <c r="E636" s="21" t="s">
        <v>111</v>
      </c>
      <c r="F636" s="21" t="s">
        <v>3012</v>
      </c>
      <c r="G636" s="21" t="s">
        <v>3013</v>
      </c>
      <c r="H636" s="25"/>
      <c r="I636" s="25"/>
      <c r="J636" s="25"/>
      <c r="K636" s="25"/>
      <c r="L636" s="25"/>
      <c r="M636" s="22" t="s">
        <v>86</v>
      </c>
      <c r="N636" s="23">
        <v>46083</v>
      </c>
      <c r="O636" s="26" t="str">
        <f t="shared" si="27"/>
        <v>OK</v>
      </c>
      <c r="P636" s="30" t="str">
        <f t="shared" si="28"/>
        <v/>
      </c>
      <c r="Q636" s="26" t="str">
        <f t="shared" si="29"/>
        <v/>
      </c>
    </row>
    <row r="637" spans="1:17" x14ac:dyDescent="0.3">
      <c r="A637" s="33">
        <v>1798802369</v>
      </c>
      <c r="B637" s="21" t="s">
        <v>3014</v>
      </c>
      <c r="C637" s="21" t="s">
        <v>2669</v>
      </c>
      <c r="D637" s="21" t="s">
        <v>3015</v>
      </c>
      <c r="E637" s="21" t="s">
        <v>346</v>
      </c>
      <c r="F637" s="21" t="s">
        <v>3016</v>
      </c>
      <c r="G637" s="21" t="s">
        <v>3017</v>
      </c>
      <c r="H637" s="25"/>
      <c r="I637" s="25"/>
      <c r="J637" s="25"/>
      <c r="K637" s="25"/>
      <c r="L637" s="25"/>
      <c r="M637" s="22" t="s">
        <v>86</v>
      </c>
      <c r="N637" s="23">
        <v>46083</v>
      </c>
      <c r="O637" s="26" t="str">
        <f t="shared" si="27"/>
        <v>OK</v>
      </c>
      <c r="P637" s="30" t="str">
        <f t="shared" si="28"/>
        <v/>
      </c>
      <c r="Q637" s="26" t="str">
        <f t="shared" si="29"/>
        <v/>
      </c>
    </row>
    <row r="638" spans="1:17" x14ac:dyDescent="0.3">
      <c r="A638" s="33" t="s">
        <v>3027</v>
      </c>
      <c r="B638" s="21" t="s">
        <v>3028</v>
      </c>
      <c r="C638" s="21" t="s">
        <v>3029</v>
      </c>
      <c r="D638" s="21" t="s">
        <v>3030</v>
      </c>
      <c r="E638" s="21" t="s">
        <v>83</v>
      </c>
      <c r="F638" s="21" t="s">
        <v>3031</v>
      </c>
      <c r="G638" s="64" t="s">
        <v>3032</v>
      </c>
      <c r="H638" s="25"/>
      <c r="I638" s="25"/>
      <c r="J638" s="25"/>
      <c r="K638" s="25"/>
      <c r="L638" s="25"/>
      <c r="M638" s="22" t="s">
        <v>86</v>
      </c>
      <c r="N638" s="23">
        <v>46083</v>
      </c>
      <c r="O638" s="26" t="str">
        <f t="shared" ref="O638" si="30">IF(A638="","",IFERROR(IF(AND(LEN(A638)=10,NOT(ISERROR(VALUE(A638)))),"OK","확인"),"확인"))</f>
        <v>OK</v>
      </c>
      <c r="P638" s="30" t="str">
        <f t="shared" ref="P638" si="31">IF(A638="","",IF(COUNTIF($A$2:$A$1946,A638)&gt;1,"중복",""))</f>
        <v/>
      </c>
      <c r="Q638" s="26" t="str">
        <f t="shared" ref="Q638" si="32">IF(G638="","",IF(ISNUMBER(SEARCH("@",G638)),"","확인"))</f>
        <v/>
      </c>
    </row>
    <row r="639" spans="1:17" x14ac:dyDescent="0.3">
      <c r="A639" s="35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2" t="s">
        <v>86</v>
      </c>
      <c r="N639" s="23">
        <v>46083</v>
      </c>
      <c r="O639" s="26" t="str">
        <f t="shared" si="27"/>
        <v/>
      </c>
      <c r="P639" s="26" t="str">
        <f t="shared" si="28"/>
        <v/>
      </c>
      <c r="Q639" s="26" t="str">
        <f t="shared" si="29"/>
        <v/>
      </c>
    </row>
    <row r="640" spans="1:17" x14ac:dyDescent="0.3">
      <c r="A640" s="35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2" t="s">
        <v>86</v>
      </c>
      <c r="N640" s="23">
        <v>46083</v>
      </c>
      <c r="O640" s="26" t="str">
        <f t="shared" si="27"/>
        <v/>
      </c>
      <c r="P640" s="26" t="str">
        <f t="shared" si="28"/>
        <v/>
      </c>
      <c r="Q640" s="26" t="str">
        <f t="shared" si="29"/>
        <v/>
      </c>
    </row>
    <row r="641" spans="1:17" x14ac:dyDescent="0.3">
      <c r="A641" s="35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2" t="s">
        <v>86</v>
      </c>
      <c r="N641" s="23">
        <v>46083</v>
      </c>
      <c r="O641" s="26" t="str">
        <f t="shared" si="27"/>
        <v/>
      </c>
      <c r="P641" s="26" t="str">
        <f t="shared" si="28"/>
        <v/>
      </c>
      <c r="Q641" s="26" t="str">
        <f t="shared" si="29"/>
        <v/>
      </c>
    </row>
    <row r="642" spans="1:17" x14ac:dyDescent="0.3">
      <c r="A642" s="35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2" t="s">
        <v>86</v>
      </c>
      <c r="N642" s="23">
        <v>46083</v>
      </c>
      <c r="O642" s="26" t="str">
        <f t="shared" ref="O642:O705" si="33">IF(A642="","",IFERROR(IF(AND(LEN(A642)=10,NOT(ISERROR(VALUE(A642)))),"OK","확인"),"확인"))</f>
        <v/>
      </c>
      <c r="P642" s="26" t="str">
        <f t="shared" ref="P642:P705" si="34">IF(A642="","",IF(COUNTIF($A$2:$A$1946,A642)&gt;1,"중복",""))</f>
        <v/>
      </c>
      <c r="Q642" s="26" t="str">
        <f t="shared" ref="Q642:Q705" si="35">IF(G642="","",IF(ISNUMBER(SEARCH("@",G642)),"","확인"))</f>
        <v/>
      </c>
    </row>
    <row r="643" spans="1:17" x14ac:dyDescent="0.3">
      <c r="A643" s="35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2" t="s">
        <v>86</v>
      </c>
      <c r="N643" s="23">
        <v>46083</v>
      </c>
      <c r="O643" s="26" t="str">
        <f t="shared" si="33"/>
        <v/>
      </c>
      <c r="P643" s="26" t="str">
        <f t="shared" si="34"/>
        <v/>
      </c>
      <c r="Q643" s="26" t="str">
        <f t="shared" si="35"/>
        <v/>
      </c>
    </row>
    <row r="644" spans="1:17" x14ac:dyDescent="0.3">
      <c r="A644" s="35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2" t="s">
        <v>86</v>
      </c>
      <c r="N644" s="23">
        <v>46083</v>
      </c>
      <c r="O644" s="26" t="str">
        <f t="shared" si="33"/>
        <v/>
      </c>
      <c r="P644" s="26" t="str">
        <f t="shared" si="34"/>
        <v/>
      </c>
      <c r="Q644" s="26" t="str">
        <f t="shared" si="35"/>
        <v/>
      </c>
    </row>
    <row r="645" spans="1:17" x14ac:dyDescent="0.3">
      <c r="A645" s="35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2" t="s">
        <v>86</v>
      </c>
      <c r="N645" s="23">
        <v>46083</v>
      </c>
      <c r="O645" s="26" t="str">
        <f t="shared" si="33"/>
        <v/>
      </c>
      <c r="P645" s="26" t="str">
        <f t="shared" si="34"/>
        <v/>
      </c>
      <c r="Q645" s="26" t="str">
        <f t="shared" si="35"/>
        <v/>
      </c>
    </row>
    <row r="646" spans="1:17" x14ac:dyDescent="0.3">
      <c r="A646" s="35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2" t="s">
        <v>86</v>
      </c>
      <c r="N646" s="23">
        <v>46083</v>
      </c>
      <c r="O646" s="26" t="str">
        <f t="shared" si="33"/>
        <v/>
      </c>
      <c r="P646" s="26" t="str">
        <f t="shared" si="34"/>
        <v/>
      </c>
      <c r="Q646" s="26" t="str">
        <f t="shared" si="35"/>
        <v/>
      </c>
    </row>
    <row r="647" spans="1:17" x14ac:dyDescent="0.3">
      <c r="A647" s="35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2" t="s">
        <v>86</v>
      </c>
      <c r="N647" s="23">
        <v>46083</v>
      </c>
      <c r="O647" s="26" t="str">
        <f t="shared" si="33"/>
        <v/>
      </c>
      <c r="P647" s="26" t="str">
        <f t="shared" si="34"/>
        <v/>
      </c>
      <c r="Q647" s="26" t="str">
        <f t="shared" si="35"/>
        <v/>
      </c>
    </row>
    <row r="648" spans="1:17" x14ac:dyDescent="0.3">
      <c r="A648" s="35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2" t="s">
        <v>86</v>
      </c>
      <c r="N648" s="23">
        <v>46083</v>
      </c>
      <c r="O648" s="26" t="str">
        <f t="shared" si="33"/>
        <v/>
      </c>
      <c r="P648" s="26" t="str">
        <f t="shared" si="34"/>
        <v/>
      </c>
      <c r="Q648" s="26" t="str">
        <f t="shared" si="35"/>
        <v/>
      </c>
    </row>
    <row r="649" spans="1:17" x14ac:dyDescent="0.3">
      <c r="A649" s="35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2" t="s">
        <v>86</v>
      </c>
      <c r="N649" s="23">
        <v>46083</v>
      </c>
      <c r="O649" s="26" t="str">
        <f t="shared" si="33"/>
        <v/>
      </c>
      <c r="P649" s="26" t="str">
        <f t="shared" si="34"/>
        <v/>
      </c>
      <c r="Q649" s="26" t="str">
        <f t="shared" si="35"/>
        <v/>
      </c>
    </row>
    <row r="650" spans="1:17" x14ac:dyDescent="0.3">
      <c r="A650" s="35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2" t="s">
        <v>86</v>
      </c>
      <c r="N650" s="23">
        <v>46083</v>
      </c>
      <c r="O650" s="26" t="str">
        <f t="shared" si="33"/>
        <v/>
      </c>
      <c r="P650" s="26" t="str">
        <f t="shared" si="34"/>
        <v/>
      </c>
      <c r="Q650" s="26" t="str">
        <f t="shared" si="35"/>
        <v/>
      </c>
    </row>
    <row r="651" spans="1:17" x14ac:dyDescent="0.3">
      <c r="A651" s="35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2" t="s">
        <v>86</v>
      </c>
      <c r="N651" s="23">
        <v>46083</v>
      </c>
      <c r="O651" s="26" t="str">
        <f t="shared" si="33"/>
        <v/>
      </c>
      <c r="P651" s="26" t="str">
        <f t="shared" si="34"/>
        <v/>
      </c>
      <c r="Q651" s="26" t="str">
        <f t="shared" si="35"/>
        <v/>
      </c>
    </row>
    <row r="652" spans="1:17" x14ac:dyDescent="0.3">
      <c r="A652" s="35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2" t="s">
        <v>86</v>
      </c>
      <c r="N652" s="23">
        <v>46083</v>
      </c>
      <c r="O652" s="26" t="str">
        <f t="shared" si="33"/>
        <v/>
      </c>
      <c r="P652" s="26" t="str">
        <f t="shared" si="34"/>
        <v/>
      </c>
      <c r="Q652" s="26" t="str">
        <f t="shared" si="35"/>
        <v/>
      </c>
    </row>
    <row r="653" spans="1:17" x14ac:dyDescent="0.3">
      <c r="A653" s="35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2" t="s">
        <v>86</v>
      </c>
      <c r="N653" s="23">
        <v>46083</v>
      </c>
      <c r="O653" s="26" t="str">
        <f t="shared" si="33"/>
        <v/>
      </c>
      <c r="P653" s="26" t="str">
        <f t="shared" si="34"/>
        <v/>
      </c>
      <c r="Q653" s="26" t="str">
        <f t="shared" si="35"/>
        <v/>
      </c>
    </row>
    <row r="654" spans="1:17" x14ac:dyDescent="0.3">
      <c r="A654" s="35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2" t="s">
        <v>86</v>
      </c>
      <c r="N654" s="23">
        <v>46083</v>
      </c>
      <c r="O654" s="26" t="str">
        <f t="shared" si="33"/>
        <v/>
      </c>
      <c r="P654" s="26" t="str">
        <f t="shared" si="34"/>
        <v/>
      </c>
      <c r="Q654" s="26" t="str">
        <f t="shared" si="35"/>
        <v/>
      </c>
    </row>
    <row r="655" spans="1:17" x14ac:dyDescent="0.3">
      <c r="A655" s="35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2" t="s">
        <v>86</v>
      </c>
      <c r="N655" s="23">
        <v>46083</v>
      </c>
      <c r="O655" s="26" t="str">
        <f t="shared" si="33"/>
        <v/>
      </c>
      <c r="P655" s="26" t="str">
        <f t="shared" si="34"/>
        <v/>
      </c>
      <c r="Q655" s="26" t="str">
        <f t="shared" si="35"/>
        <v/>
      </c>
    </row>
    <row r="656" spans="1:17" x14ac:dyDescent="0.3">
      <c r="A656" s="35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2" t="s">
        <v>86</v>
      </c>
      <c r="N656" s="23">
        <v>46083</v>
      </c>
      <c r="O656" s="26" t="str">
        <f t="shared" si="33"/>
        <v/>
      </c>
      <c r="P656" s="26" t="str">
        <f t="shared" si="34"/>
        <v/>
      </c>
      <c r="Q656" s="26" t="str">
        <f t="shared" si="35"/>
        <v/>
      </c>
    </row>
    <row r="657" spans="1:17" x14ac:dyDescent="0.3">
      <c r="A657" s="35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2" t="s">
        <v>86</v>
      </c>
      <c r="N657" s="23">
        <v>46083</v>
      </c>
      <c r="O657" s="26" t="str">
        <f t="shared" si="33"/>
        <v/>
      </c>
      <c r="P657" s="26" t="str">
        <f t="shared" si="34"/>
        <v/>
      </c>
      <c r="Q657" s="26" t="str">
        <f t="shared" si="35"/>
        <v/>
      </c>
    </row>
    <row r="658" spans="1:17" x14ac:dyDescent="0.3">
      <c r="A658" s="35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2" t="s">
        <v>86</v>
      </c>
      <c r="N658" s="23">
        <v>46083</v>
      </c>
      <c r="O658" s="26" t="str">
        <f t="shared" si="33"/>
        <v/>
      </c>
      <c r="P658" s="26" t="str">
        <f t="shared" si="34"/>
        <v/>
      </c>
      <c r="Q658" s="26" t="str">
        <f t="shared" si="35"/>
        <v/>
      </c>
    </row>
    <row r="659" spans="1:17" x14ac:dyDescent="0.3">
      <c r="A659" s="35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2" t="s">
        <v>86</v>
      </c>
      <c r="N659" s="23">
        <v>46083</v>
      </c>
      <c r="O659" s="26" t="str">
        <f t="shared" si="33"/>
        <v/>
      </c>
      <c r="P659" s="26" t="str">
        <f t="shared" si="34"/>
        <v/>
      </c>
      <c r="Q659" s="26" t="str">
        <f t="shared" si="35"/>
        <v/>
      </c>
    </row>
    <row r="660" spans="1:17" x14ac:dyDescent="0.3">
      <c r="A660" s="35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2" t="s">
        <v>86</v>
      </c>
      <c r="N660" s="23">
        <v>46083</v>
      </c>
      <c r="O660" s="26" t="str">
        <f t="shared" si="33"/>
        <v/>
      </c>
      <c r="P660" s="26" t="str">
        <f t="shared" si="34"/>
        <v/>
      </c>
      <c r="Q660" s="26" t="str">
        <f t="shared" si="35"/>
        <v/>
      </c>
    </row>
    <row r="661" spans="1:17" x14ac:dyDescent="0.3">
      <c r="A661" s="35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2" t="s">
        <v>86</v>
      </c>
      <c r="N661" s="23">
        <v>46083</v>
      </c>
      <c r="O661" s="26" t="str">
        <f t="shared" si="33"/>
        <v/>
      </c>
      <c r="P661" s="26" t="str">
        <f t="shared" si="34"/>
        <v/>
      </c>
      <c r="Q661" s="26" t="str">
        <f t="shared" si="35"/>
        <v/>
      </c>
    </row>
    <row r="662" spans="1:17" x14ac:dyDescent="0.3">
      <c r="A662" s="35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2" t="s">
        <v>86</v>
      </c>
      <c r="N662" s="23">
        <v>46083</v>
      </c>
      <c r="O662" s="26" t="str">
        <f t="shared" si="33"/>
        <v/>
      </c>
      <c r="P662" s="26" t="str">
        <f t="shared" si="34"/>
        <v/>
      </c>
      <c r="Q662" s="26" t="str">
        <f t="shared" si="35"/>
        <v/>
      </c>
    </row>
    <row r="663" spans="1:17" x14ac:dyDescent="0.3">
      <c r="A663" s="35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2" t="s">
        <v>86</v>
      </c>
      <c r="N663" s="23">
        <v>46083</v>
      </c>
      <c r="O663" s="26" t="str">
        <f t="shared" si="33"/>
        <v/>
      </c>
      <c r="P663" s="26" t="str">
        <f t="shared" si="34"/>
        <v/>
      </c>
      <c r="Q663" s="26" t="str">
        <f t="shared" si="35"/>
        <v/>
      </c>
    </row>
    <row r="664" spans="1:17" x14ac:dyDescent="0.3">
      <c r="A664" s="35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2" t="s">
        <v>86</v>
      </c>
      <c r="N664" s="23">
        <v>46083</v>
      </c>
      <c r="O664" s="26" t="str">
        <f t="shared" si="33"/>
        <v/>
      </c>
      <c r="P664" s="26" t="str">
        <f t="shared" si="34"/>
        <v/>
      </c>
      <c r="Q664" s="26" t="str">
        <f t="shared" si="35"/>
        <v/>
      </c>
    </row>
    <row r="665" spans="1:17" x14ac:dyDescent="0.3">
      <c r="A665" s="35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2" t="s">
        <v>86</v>
      </c>
      <c r="N665" s="23">
        <v>46083</v>
      </c>
      <c r="O665" s="26" t="str">
        <f t="shared" si="33"/>
        <v/>
      </c>
      <c r="P665" s="26" t="str">
        <f t="shared" si="34"/>
        <v/>
      </c>
      <c r="Q665" s="26" t="str">
        <f t="shared" si="35"/>
        <v/>
      </c>
    </row>
    <row r="666" spans="1:17" x14ac:dyDescent="0.3">
      <c r="A666" s="35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2" t="s">
        <v>86</v>
      </c>
      <c r="N666" s="23">
        <v>46083</v>
      </c>
      <c r="O666" s="26" t="str">
        <f t="shared" si="33"/>
        <v/>
      </c>
      <c r="P666" s="26" t="str">
        <f t="shared" si="34"/>
        <v/>
      </c>
      <c r="Q666" s="26" t="str">
        <f t="shared" si="35"/>
        <v/>
      </c>
    </row>
    <row r="667" spans="1:17" x14ac:dyDescent="0.3">
      <c r="A667" s="35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2" t="s">
        <v>86</v>
      </c>
      <c r="N667" s="23">
        <v>46083</v>
      </c>
      <c r="O667" s="26" t="str">
        <f t="shared" si="33"/>
        <v/>
      </c>
      <c r="P667" s="26" t="str">
        <f t="shared" si="34"/>
        <v/>
      </c>
      <c r="Q667" s="26" t="str">
        <f t="shared" si="35"/>
        <v/>
      </c>
    </row>
    <row r="668" spans="1:17" x14ac:dyDescent="0.3">
      <c r="A668" s="35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2" t="s">
        <v>86</v>
      </c>
      <c r="N668" s="23">
        <v>46083</v>
      </c>
      <c r="O668" s="26" t="str">
        <f t="shared" si="33"/>
        <v/>
      </c>
      <c r="P668" s="26" t="str">
        <f t="shared" si="34"/>
        <v/>
      </c>
      <c r="Q668" s="26" t="str">
        <f t="shared" si="35"/>
        <v/>
      </c>
    </row>
    <row r="669" spans="1:17" x14ac:dyDescent="0.3">
      <c r="A669" s="35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2" t="s">
        <v>86</v>
      </c>
      <c r="N669" s="23">
        <v>46083</v>
      </c>
      <c r="O669" s="26" t="str">
        <f t="shared" si="33"/>
        <v/>
      </c>
      <c r="P669" s="26" t="str">
        <f t="shared" si="34"/>
        <v/>
      </c>
      <c r="Q669" s="26" t="str">
        <f t="shared" si="35"/>
        <v/>
      </c>
    </row>
    <row r="670" spans="1:17" x14ac:dyDescent="0.3">
      <c r="A670" s="35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2" t="s">
        <v>86</v>
      </c>
      <c r="N670" s="23">
        <v>46083</v>
      </c>
      <c r="O670" s="26" t="str">
        <f t="shared" si="33"/>
        <v/>
      </c>
      <c r="P670" s="26" t="str">
        <f t="shared" si="34"/>
        <v/>
      </c>
      <c r="Q670" s="26" t="str">
        <f t="shared" si="35"/>
        <v/>
      </c>
    </row>
    <row r="671" spans="1:17" x14ac:dyDescent="0.3">
      <c r="A671" s="35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2" t="s">
        <v>86</v>
      </c>
      <c r="N671" s="23">
        <v>46083</v>
      </c>
      <c r="O671" s="26" t="str">
        <f t="shared" si="33"/>
        <v/>
      </c>
      <c r="P671" s="26" t="str">
        <f t="shared" si="34"/>
        <v/>
      </c>
      <c r="Q671" s="26" t="str">
        <f t="shared" si="35"/>
        <v/>
      </c>
    </row>
    <row r="672" spans="1:17" x14ac:dyDescent="0.3">
      <c r="A672" s="35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2" t="s">
        <v>86</v>
      </c>
      <c r="N672" s="23">
        <v>46083</v>
      </c>
      <c r="O672" s="26" t="str">
        <f t="shared" si="33"/>
        <v/>
      </c>
      <c r="P672" s="26" t="str">
        <f t="shared" si="34"/>
        <v/>
      </c>
      <c r="Q672" s="26" t="str">
        <f t="shared" si="35"/>
        <v/>
      </c>
    </row>
    <row r="673" spans="1:17" x14ac:dyDescent="0.3">
      <c r="A673" s="35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2" t="s">
        <v>86</v>
      </c>
      <c r="N673" s="23">
        <v>46083</v>
      </c>
      <c r="O673" s="26" t="str">
        <f t="shared" si="33"/>
        <v/>
      </c>
      <c r="P673" s="26" t="str">
        <f t="shared" si="34"/>
        <v/>
      </c>
      <c r="Q673" s="26" t="str">
        <f t="shared" si="35"/>
        <v/>
      </c>
    </row>
    <row r="674" spans="1:17" x14ac:dyDescent="0.3">
      <c r="A674" s="35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2" t="s">
        <v>86</v>
      </c>
      <c r="N674" s="23">
        <v>46083</v>
      </c>
      <c r="O674" s="26" t="str">
        <f t="shared" si="33"/>
        <v/>
      </c>
      <c r="P674" s="26" t="str">
        <f t="shared" si="34"/>
        <v/>
      </c>
      <c r="Q674" s="26" t="str">
        <f t="shared" si="35"/>
        <v/>
      </c>
    </row>
    <row r="675" spans="1:17" x14ac:dyDescent="0.3">
      <c r="A675" s="35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2" t="s">
        <v>86</v>
      </c>
      <c r="N675" s="23">
        <v>46083</v>
      </c>
      <c r="O675" s="26" t="str">
        <f t="shared" si="33"/>
        <v/>
      </c>
      <c r="P675" s="26" t="str">
        <f t="shared" si="34"/>
        <v/>
      </c>
      <c r="Q675" s="26" t="str">
        <f t="shared" si="35"/>
        <v/>
      </c>
    </row>
    <row r="676" spans="1:17" x14ac:dyDescent="0.3">
      <c r="A676" s="35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2" t="s">
        <v>86</v>
      </c>
      <c r="N676" s="23">
        <v>46083</v>
      </c>
      <c r="O676" s="26" t="str">
        <f t="shared" si="33"/>
        <v/>
      </c>
      <c r="P676" s="26" t="str">
        <f t="shared" si="34"/>
        <v/>
      </c>
      <c r="Q676" s="26" t="str">
        <f t="shared" si="35"/>
        <v/>
      </c>
    </row>
    <row r="677" spans="1:17" x14ac:dyDescent="0.3">
      <c r="A677" s="35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2" t="s">
        <v>86</v>
      </c>
      <c r="N677" s="23">
        <v>46083</v>
      </c>
      <c r="O677" s="26" t="str">
        <f t="shared" si="33"/>
        <v/>
      </c>
      <c r="P677" s="26" t="str">
        <f t="shared" si="34"/>
        <v/>
      </c>
      <c r="Q677" s="26" t="str">
        <f t="shared" si="35"/>
        <v/>
      </c>
    </row>
    <row r="678" spans="1:17" x14ac:dyDescent="0.3">
      <c r="A678" s="35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2" t="s">
        <v>86</v>
      </c>
      <c r="N678" s="23">
        <v>46083</v>
      </c>
      <c r="O678" s="26" t="str">
        <f t="shared" si="33"/>
        <v/>
      </c>
      <c r="P678" s="26" t="str">
        <f t="shared" si="34"/>
        <v/>
      </c>
      <c r="Q678" s="26" t="str">
        <f t="shared" si="35"/>
        <v/>
      </c>
    </row>
    <row r="679" spans="1:17" x14ac:dyDescent="0.3">
      <c r="A679" s="35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2" t="s">
        <v>86</v>
      </c>
      <c r="N679" s="23">
        <v>46083</v>
      </c>
      <c r="O679" s="26" t="str">
        <f t="shared" si="33"/>
        <v/>
      </c>
      <c r="P679" s="26" t="str">
        <f t="shared" si="34"/>
        <v/>
      </c>
      <c r="Q679" s="26" t="str">
        <f t="shared" si="35"/>
        <v/>
      </c>
    </row>
    <row r="680" spans="1:17" x14ac:dyDescent="0.3">
      <c r="A680" s="35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2" t="s">
        <v>86</v>
      </c>
      <c r="N680" s="23">
        <v>46083</v>
      </c>
      <c r="O680" s="26" t="str">
        <f t="shared" si="33"/>
        <v/>
      </c>
      <c r="P680" s="26" t="str">
        <f t="shared" si="34"/>
        <v/>
      </c>
      <c r="Q680" s="26" t="str">
        <f t="shared" si="35"/>
        <v/>
      </c>
    </row>
    <row r="681" spans="1:17" x14ac:dyDescent="0.3">
      <c r="A681" s="35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2" t="s">
        <v>86</v>
      </c>
      <c r="N681" s="23">
        <v>46083</v>
      </c>
      <c r="O681" s="26" t="str">
        <f t="shared" si="33"/>
        <v/>
      </c>
      <c r="P681" s="26" t="str">
        <f t="shared" si="34"/>
        <v/>
      </c>
      <c r="Q681" s="26" t="str">
        <f t="shared" si="35"/>
        <v/>
      </c>
    </row>
    <row r="682" spans="1:17" x14ac:dyDescent="0.3">
      <c r="A682" s="35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2" t="s">
        <v>86</v>
      </c>
      <c r="N682" s="23">
        <v>46083</v>
      </c>
      <c r="O682" s="26" t="str">
        <f t="shared" si="33"/>
        <v/>
      </c>
      <c r="P682" s="26" t="str">
        <f t="shared" si="34"/>
        <v/>
      </c>
      <c r="Q682" s="26" t="str">
        <f t="shared" si="35"/>
        <v/>
      </c>
    </row>
    <row r="683" spans="1:17" x14ac:dyDescent="0.3">
      <c r="A683" s="35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2" t="s">
        <v>86</v>
      </c>
      <c r="N683" s="23">
        <v>46083</v>
      </c>
      <c r="O683" s="26" t="str">
        <f t="shared" si="33"/>
        <v/>
      </c>
      <c r="P683" s="26" t="str">
        <f t="shared" si="34"/>
        <v/>
      </c>
      <c r="Q683" s="26" t="str">
        <f t="shared" si="35"/>
        <v/>
      </c>
    </row>
    <row r="684" spans="1:17" x14ac:dyDescent="0.3">
      <c r="A684" s="35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2" t="s">
        <v>86</v>
      </c>
      <c r="N684" s="23">
        <v>46083</v>
      </c>
      <c r="O684" s="26" t="str">
        <f t="shared" si="33"/>
        <v/>
      </c>
      <c r="P684" s="26" t="str">
        <f t="shared" si="34"/>
        <v/>
      </c>
      <c r="Q684" s="26" t="str">
        <f t="shared" si="35"/>
        <v/>
      </c>
    </row>
    <row r="685" spans="1:17" x14ac:dyDescent="0.3">
      <c r="A685" s="35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2" t="s">
        <v>86</v>
      </c>
      <c r="N685" s="23">
        <v>46083</v>
      </c>
      <c r="O685" s="26" t="str">
        <f t="shared" si="33"/>
        <v/>
      </c>
      <c r="P685" s="26" t="str">
        <f t="shared" si="34"/>
        <v/>
      </c>
      <c r="Q685" s="26" t="str">
        <f t="shared" si="35"/>
        <v/>
      </c>
    </row>
    <row r="686" spans="1:17" x14ac:dyDescent="0.3">
      <c r="A686" s="35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2" t="s">
        <v>86</v>
      </c>
      <c r="N686" s="23">
        <v>46083</v>
      </c>
      <c r="O686" s="26" t="str">
        <f t="shared" si="33"/>
        <v/>
      </c>
      <c r="P686" s="26" t="str">
        <f t="shared" si="34"/>
        <v/>
      </c>
      <c r="Q686" s="26" t="str">
        <f t="shared" si="35"/>
        <v/>
      </c>
    </row>
    <row r="687" spans="1:17" x14ac:dyDescent="0.3">
      <c r="A687" s="35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2" t="s">
        <v>86</v>
      </c>
      <c r="N687" s="23">
        <v>46083</v>
      </c>
      <c r="O687" s="26" t="str">
        <f t="shared" si="33"/>
        <v/>
      </c>
      <c r="P687" s="26" t="str">
        <f t="shared" si="34"/>
        <v/>
      </c>
      <c r="Q687" s="26" t="str">
        <f t="shared" si="35"/>
        <v/>
      </c>
    </row>
    <row r="688" spans="1:17" x14ac:dyDescent="0.3">
      <c r="A688" s="35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2" t="s">
        <v>86</v>
      </c>
      <c r="N688" s="23">
        <v>46083</v>
      </c>
      <c r="O688" s="26" t="str">
        <f t="shared" si="33"/>
        <v/>
      </c>
      <c r="P688" s="26" t="str">
        <f t="shared" si="34"/>
        <v/>
      </c>
      <c r="Q688" s="26" t="str">
        <f t="shared" si="35"/>
        <v/>
      </c>
    </row>
    <row r="689" spans="1:17" x14ac:dyDescent="0.3">
      <c r="A689" s="35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2" t="s">
        <v>86</v>
      </c>
      <c r="N689" s="23">
        <v>46083</v>
      </c>
      <c r="O689" s="26" t="str">
        <f t="shared" si="33"/>
        <v/>
      </c>
      <c r="P689" s="26" t="str">
        <f t="shared" si="34"/>
        <v/>
      </c>
      <c r="Q689" s="26" t="str">
        <f t="shared" si="35"/>
        <v/>
      </c>
    </row>
    <row r="690" spans="1:17" x14ac:dyDescent="0.3">
      <c r="A690" s="35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2" t="s">
        <v>86</v>
      </c>
      <c r="N690" s="23">
        <v>46083</v>
      </c>
      <c r="O690" s="26" t="str">
        <f t="shared" si="33"/>
        <v/>
      </c>
      <c r="P690" s="26" t="str">
        <f t="shared" si="34"/>
        <v/>
      </c>
      <c r="Q690" s="26" t="str">
        <f t="shared" si="35"/>
        <v/>
      </c>
    </row>
    <row r="691" spans="1:17" x14ac:dyDescent="0.3">
      <c r="A691" s="35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2" t="s">
        <v>86</v>
      </c>
      <c r="N691" s="23">
        <v>46083</v>
      </c>
      <c r="O691" s="26" t="str">
        <f t="shared" si="33"/>
        <v/>
      </c>
      <c r="P691" s="26" t="str">
        <f t="shared" si="34"/>
        <v/>
      </c>
      <c r="Q691" s="26" t="str">
        <f t="shared" si="35"/>
        <v/>
      </c>
    </row>
    <row r="692" spans="1:17" x14ac:dyDescent="0.3">
      <c r="A692" s="35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2" t="s">
        <v>86</v>
      </c>
      <c r="N692" s="23">
        <v>46083</v>
      </c>
      <c r="O692" s="26" t="str">
        <f t="shared" si="33"/>
        <v/>
      </c>
      <c r="P692" s="26" t="str">
        <f t="shared" si="34"/>
        <v/>
      </c>
      <c r="Q692" s="26" t="str">
        <f t="shared" si="35"/>
        <v/>
      </c>
    </row>
    <row r="693" spans="1:17" x14ac:dyDescent="0.3">
      <c r="A693" s="35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2" t="s">
        <v>86</v>
      </c>
      <c r="N693" s="23">
        <v>46083</v>
      </c>
      <c r="O693" s="26" t="str">
        <f t="shared" si="33"/>
        <v/>
      </c>
      <c r="P693" s="26" t="str">
        <f t="shared" si="34"/>
        <v/>
      </c>
      <c r="Q693" s="26" t="str">
        <f t="shared" si="35"/>
        <v/>
      </c>
    </row>
    <row r="694" spans="1:17" x14ac:dyDescent="0.3">
      <c r="A694" s="35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2" t="s">
        <v>86</v>
      </c>
      <c r="N694" s="23">
        <v>46083</v>
      </c>
      <c r="O694" s="26" t="str">
        <f t="shared" si="33"/>
        <v/>
      </c>
      <c r="P694" s="26" t="str">
        <f t="shared" si="34"/>
        <v/>
      </c>
      <c r="Q694" s="26" t="str">
        <f t="shared" si="35"/>
        <v/>
      </c>
    </row>
    <row r="695" spans="1:17" x14ac:dyDescent="0.3">
      <c r="A695" s="35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2" t="s">
        <v>86</v>
      </c>
      <c r="N695" s="23">
        <v>46083</v>
      </c>
      <c r="O695" s="26" t="str">
        <f t="shared" si="33"/>
        <v/>
      </c>
      <c r="P695" s="26" t="str">
        <f t="shared" si="34"/>
        <v/>
      </c>
      <c r="Q695" s="26" t="str">
        <f t="shared" si="35"/>
        <v/>
      </c>
    </row>
    <row r="696" spans="1:17" x14ac:dyDescent="0.3">
      <c r="A696" s="35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2" t="s">
        <v>86</v>
      </c>
      <c r="N696" s="23">
        <v>46083</v>
      </c>
      <c r="O696" s="26" t="str">
        <f t="shared" si="33"/>
        <v/>
      </c>
      <c r="P696" s="26" t="str">
        <f t="shared" si="34"/>
        <v/>
      </c>
      <c r="Q696" s="26" t="str">
        <f t="shared" si="35"/>
        <v/>
      </c>
    </row>
    <row r="697" spans="1:17" x14ac:dyDescent="0.3">
      <c r="A697" s="35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2" t="s">
        <v>86</v>
      </c>
      <c r="N697" s="23">
        <v>46083</v>
      </c>
      <c r="O697" s="26" t="str">
        <f t="shared" si="33"/>
        <v/>
      </c>
      <c r="P697" s="26" t="str">
        <f t="shared" si="34"/>
        <v/>
      </c>
      <c r="Q697" s="26" t="str">
        <f t="shared" si="35"/>
        <v/>
      </c>
    </row>
    <row r="698" spans="1:17" x14ac:dyDescent="0.3">
      <c r="A698" s="35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2" t="s">
        <v>86</v>
      </c>
      <c r="N698" s="23">
        <v>46083</v>
      </c>
      <c r="O698" s="26" t="str">
        <f t="shared" si="33"/>
        <v/>
      </c>
      <c r="P698" s="26" t="str">
        <f t="shared" si="34"/>
        <v/>
      </c>
      <c r="Q698" s="26" t="str">
        <f t="shared" si="35"/>
        <v/>
      </c>
    </row>
    <row r="699" spans="1:17" x14ac:dyDescent="0.3">
      <c r="A699" s="35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2" t="s">
        <v>86</v>
      </c>
      <c r="N699" s="23">
        <v>46083</v>
      </c>
      <c r="O699" s="26" t="str">
        <f t="shared" si="33"/>
        <v/>
      </c>
      <c r="P699" s="26" t="str">
        <f t="shared" si="34"/>
        <v/>
      </c>
      <c r="Q699" s="26" t="str">
        <f t="shared" si="35"/>
        <v/>
      </c>
    </row>
    <row r="700" spans="1:17" x14ac:dyDescent="0.3">
      <c r="A700" s="35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2" t="s">
        <v>86</v>
      </c>
      <c r="N700" s="23">
        <v>46083</v>
      </c>
      <c r="O700" s="26" t="str">
        <f t="shared" si="33"/>
        <v/>
      </c>
      <c r="P700" s="26" t="str">
        <f t="shared" si="34"/>
        <v/>
      </c>
      <c r="Q700" s="26" t="str">
        <f t="shared" si="35"/>
        <v/>
      </c>
    </row>
    <row r="701" spans="1:17" x14ac:dyDescent="0.3">
      <c r="A701" s="35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2" t="s">
        <v>86</v>
      </c>
      <c r="N701" s="23">
        <v>46083</v>
      </c>
      <c r="O701" s="26" t="str">
        <f t="shared" si="33"/>
        <v/>
      </c>
      <c r="P701" s="26" t="str">
        <f t="shared" si="34"/>
        <v/>
      </c>
      <c r="Q701" s="26" t="str">
        <f t="shared" si="35"/>
        <v/>
      </c>
    </row>
    <row r="702" spans="1:17" x14ac:dyDescent="0.3">
      <c r="A702" s="35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2" t="s">
        <v>86</v>
      </c>
      <c r="N702" s="23">
        <v>46083</v>
      </c>
      <c r="O702" s="26" t="str">
        <f t="shared" si="33"/>
        <v/>
      </c>
      <c r="P702" s="26" t="str">
        <f t="shared" si="34"/>
        <v/>
      </c>
      <c r="Q702" s="26" t="str">
        <f t="shared" si="35"/>
        <v/>
      </c>
    </row>
    <row r="703" spans="1:17" x14ac:dyDescent="0.3">
      <c r="A703" s="35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2" t="s">
        <v>86</v>
      </c>
      <c r="N703" s="23">
        <v>46083</v>
      </c>
      <c r="O703" s="26" t="str">
        <f t="shared" si="33"/>
        <v/>
      </c>
      <c r="P703" s="26" t="str">
        <f t="shared" si="34"/>
        <v/>
      </c>
      <c r="Q703" s="26" t="str">
        <f t="shared" si="35"/>
        <v/>
      </c>
    </row>
    <row r="704" spans="1:17" x14ac:dyDescent="0.3">
      <c r="A704" s="35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2" t="s">
        <v>86</v>
      </c>
      <c r="N704" s="23">
        <v>46083</v>
      </c>
      <c r="O704" s="26" t="str">
        <f t="shared" si="33"/>
        <v/>
      </c>
      <c r="P704" s="26" t="str">
        <f t="shared" si="34"/>
        <v/>
      </c>
      <c r="Q704" s="26" t="str">
        <f t="shared" si="35"/>
        <v/>
      </c>
    </row>
    <row r="705" spans="1:17" x14ac:dyDescent="0.3">
      <c r="A705" s="35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2" t="s">
        <v>86</v>
      </c>
      <c r="N705" s="23">
        <v>46083</v>
      </c>
      <c r="O705" s="26" t="str">
        <f t="shared" si="33"/>
        <v/>
      </c>
      <c r="P705" s="26" t="str">
        <f t="shared" si="34"/>
        <v/>
      </c>
      <c r="Q705" s="26" t="str">
        <f t="shared" si="35"/>
        <v/>
      </c>
    </row>
    <row r="706" spans="1:17" x14ac:dyDescent="0.3">
      <c r="A706" s="35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2" t="s">
        <v>86</v>
      </c>
      <c r="N706" s="23">
        <v>46083</v>
      </c>
      <c r="O706" s="26" t="str">
        <f t="shared" ref="O706:O769" si="36">IF(A706="","",IFERROR(IF(AND(LEN(A706)=10,NOT(ISERROR(VALUE(A706)))),"OK","확인"),"확인"))</f>
        <v/>
      </c>
      <c r="P706" s="26" t="str">
        <f t="shared" ref="P706:P769" si="37">IF(A706="","",IF(COUNTIF($A$2:$A$1946,A706)&gt;1,"중복",""))</f>
        <v/>
      </c>
      <c r="Q706" s="26" t="str">
        <f t="shared" ref="Q706:Q769" si="38">IF(G706="","",IF(ISNUMBER(SEARCH("@",G706)),"","확인"))</f>
        <v/>
      </c>
    </row>
    <row r="707" spans="1:17" x14ac:dyDescent="0.3">
      <c r="A707" s="35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2" t="s">
        <v>86</v>
      </c>
      <c r="N707" s="23">
        <v>46083</v>
      </c>
      <c r="O707" s="26" t="str">
        <f t="shared" si="36"/>
        <v/>
      </c>
      <c r="P707" s="26" t="str">
        <f t="shared" si="37"/>
        <v/>
      </c>
      <c r="Q707" s="26" t="str">
        <f t="shared" si="38"/>
        <v/>
      </c>
    </row>
    <row r="708" spans="1:17" x14ac:dyDescent="0.3">
      <c r="A708" s="35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2" t="s">
        <v>86</v>
      </c>
      <c r="N708" s="23">
        <v>46083</v>
      </c>
      <c r="O708" s="26" t="str">
        <f t="shared" si="36"/>
        <v/>
      </c>
      <c r="P708" s="26" t="str">
        <f t="shared" si="37"/>
        <v/>
      </c>
      <c r="Q708" s="26" t="str">
        <f t="shared" si="38"/>
        <v/>
      </c>
    </row>
    <row r="709" spans="1:17" x14ac:dyDescent="0.3">
      <c r="A709" s="35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2" t="s">
        <v>86</v>
      </c>
      <c r="N709" s="23">
        <v>46083</v>
      </c>
      <c r="O709" s="26" t="str">
        <f t="shared" si="36"/>
        <v/>
      </c>
      <c r="P709" s="26" t="str">
        <f t="shared" si="37"/>
        <v/>
      </c>
      <c r="Q709" s="26" t="str">
        <f t="shared" si="38"/>
        <v/>
      </c>
    </row>
    <row r="710" spans="1:17" x14ac:dyDescent="0.3">
      <c r="A710" s="35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2" t="s">
        <v>86</v>
      </c>
      <c r="N710" s="23">
        <v>46083</v>
      </c>
      <c r="O710" s="26" t="str">
        <f t="shared" si="36"/>
        <v/>
      </c>
      <c r="P710" s="26" t="str">
        <f t="shared" si="37"/>
        <v/>
      </c>
      <c r="Q710" s="26" t="str">
        <f t="shared" si="38"/>
        <v/>
      </c>
    </row>
    <row r="711" spans="1:17" x14ac:dyDescent="0.3">
      <c r="A711" s="35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2" t="s">
        <v>86</v>
      </c>
      <c r="N711" s="23">
        <v>46083</v>
      </c>
      <c r="O711" s="26" t="str">
        <f t="shared" si="36"/>
        <v/>
      </c>
      <c r="P711" s="26" t="str">
        <f t="shared" si="37"/>
        <v/>
      </c>
      <c r="Q711" s="26" t="str">
        <f t="shared" si="38"/>
        <v/>
      </c>
    </row>
    <row r="712" spans="1:17" x14ac:dyDescent="0.3">
      <c r="A712" s="35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2" t="s">
        <v>86</v>
      </c>
      <c r="N712" s="23">
        <v>46083</v>
      </c>
      <c r="O712" s="26" t="str">
        <f t="shared" si="36"/>
        <v/>
      </c>
      <c r="P712" s="26" t="str">
        <f t="shared" si="37"/>
        <v/>
      </c>
      <c r="Q712" s="26" t="str">
        <f t="shared" si="38"/>
        <v/>
      </c>
    </row>
    <row r="713" spans="1:17" x14ac:dyDescent="0.3">
      <c r="A713" s="35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2" t="s">
        <v>86</v>
      </c>
      <c r="N713" s="23">
        <v>46083</v>
      </c>
      <c r="O713" s="26" t="str">
        <f t="shared" si="36"/>
        <v/>
      </c>
      <c r="P713" s="26" t="str">
        <f t="shared" si="37"/>
        <v/>
      </c>
      <c r="Q713" s="26" t="str">
        <f t="shared" si="38"/>
        <v/>
      </c>
    </row>
    <row r="714" spans="1:17" x14ac:dyDescent="0.3">
      <c r="A714" s="35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2" t="s">
        <v>86</v>
      </c>
      <c r="N714" s="23">
        <v>46083</v>
      </c>
      <c r="O714" s="26" t="str">
        <f t="shared" si="36"/>
        <v/>
      </c>
      <c r="P714" s="26" t="str">
        <f t="shared" si="37"/>
        <v/>
      </c>
      <c r="Q714" s="26" t="str">
        <f t="shared" si="38"/>
        <v/>
      </c>
    </row>
    <row r="715" spans="1:17" x14ac:dyDescent="0.3">
      <c r="A715" s="35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2" t="s">
        <v>86</v>
      </c>
      <c r="N715" s="23">
        <v>46083</v>
      </c>
      <c r="O715" s="26" t="str">
        <f t="shared" si="36"/>
        <v/>
      </c>
      <c r="P715" s="26" t="str">
        <f t="shared" si="37"/>
        <v/>
      </c>
      <c r="Q715" s="26" t="str">
        <f t="shared" si="38"/>
        <v/>
      </c>
    </row>
    <row r="716" spans="1:17" x14ac:dyDescent="0.3">
      <c r="A716" s="35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2" t="s">
        <v>86</v>
      </c>
      <c r="N716" s="23">
        <v>46083</v>
      </c>
      <c r="O716" s="26" t="str">
        <f t="shared" si="36"/>
        <v/>
      </c>
      <c r="P716" s="26" t="str">
        <f t="shared" si="37"/>
        <v/>
      </c>
      <c r="Q716" s="26" t="str">
        <f t="shared" si="38"/>
        <v/>
      </c>
    </row>
    <row r="717" spans="1:17" x14ac:dyDescent="0.3">
      <c r="A717" s="35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2" t="s">
        <v>86</v>
      </c>
      <c r="N717" s="23">
        <v>46083</v>
      </c>
      <c r="O717" s="26" t="str">
        <f t="shared" si="36"/>
        <v/>
      </c>
      <c r="P717" s="26" t="str">
        <f t="shared" si="37"/>
        <v/>
      </c>
      <c r="Q717" s="26" t="str">
        <f t="shared" si="38"/>
        <v/>
      </c>
    </row>
    <row r="718" spans="1:17" x14ac:dyDescent="0.3">
      <c r="A718" s="35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2" t="s">
        <v>86</v>
      </c>
      <c r="N718" s="23">
        <v>46083</v>
      </c>
      <c r="O718" s="26" t="str">
        <f t="shared" si="36"/>
        <v/>
      </c>
      <c r="P718" s="26" t="str">
        <f t="shared" si="37"/>
        <v/>
      </c>
      <c r="Q718" s="26" t="str">
        <f t="shared" si="38"/>
        <v/>
      </c>
    </row>
    <row r="719" spans="1:17" x14ac:dyDescent="0.3">
      <c r="A719" s="35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2" t="s">
        <v>86</v>
      </c>
      <c r="N719" s="23">
        <v>46083</v>
      </c>
      <c r="O719" s="26" t="str">
        <f t="shared" si="36"/>
        <v/>
      </c>
      <c r="P719" s="26" t="str">
        <f t="shared" si="37"/>
        <v/>
      </c>
      <c r="Q719" s="26" t="str">
        <f t="shared" si="38"/>
        <v/>
      </c>
    </row>
    <row r="720" spans="1:17" x14ac:dyDescent="0.3">
      <c r="A720" s="35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2" t="s">
        <v>86</v>
      </c>
      <c r="N720" s="23">
        <v>46083</v>
      </c>
      <c r="O720" s="26" t="str">
        <f t="shared" si="36"/>
        <v/>
      </c>
      <c r="P720" s="26" t="str">
        <f t="shared" si="37"/>
        <v/>
      </c>
      <c r="Q720" s="26" t="str">
        <f t="shared" si="38"/>
        <v/>
      </c>
    </row>
    <row r="721" spans="1:17" x14ac:dyDescent="0.3">
      <c r="A721" s="35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2" t="s">
        <v>86</v>
      </c>
      <c r="N721" s="23">
        <v>46083</v>
      </c>
      <c r="O721" s="26" t="str">
        <f t="shared" si="36"/>
        <v/>
      </c>
      <c r="P721" s="26" t="str">
        <f t="shared" si="37"/>
        <v/>
      </c>
      <c r="Q721" s="26" t="str">
        <f t="shared" si="38"/>
        <v/>
      </c>
    </row>
    <row r="722" spans="1:17" x14ac:dyDescent="0.3">
      <c r="A722" s="35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2" t="s">
        <v>86</v>
      </c>
      <c r="N722" s="23">
        <v>46083</v>
      </c>
      <c r="O722" s="26" t="str">
        <f t="shared" si="36"/>
        <v/>
      </c>
      <c r="P722" s="26" t="str">
        <f t="shared" si="37"/>
        <v/>
      </c>
      <c r="Q722" s="26" t="str">
        <f t="shared" si="38"/>
        <v/>
      </c>
    </row>
    <row r="723" spans="1:17" x14ac:dyDescent="0.3">
      <c r="A723" s="35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2" t="s">
        <v>86</v>
      </c>
      <c r="N723" s="23">
        <v>46083</v>
      </c>
      <c r="O723" s="26" t="str">
        <f t="shared" si="36"/>
        <v/>
      </c>
      <c r="P723" s="26" t="str">
        <f t="shared" si="37"/>
        <v/>
      </c>
      <c r="Q723" s="26" t="str">
        <f t="shared" si="38"/>
        <v/>
      </c>
    </row>
    <row r="724" spans="1:17" x14ac:dyDescent="0.3">
      <c r="A724" s="35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2" t="s">
        <v>86</v>
      </c>
      <c r="N724" s="23">
        <v>46083</v>
      </c>
      <c r="O724" s="26" t="str">
        <f t="shared" si="36"/>
        <v/>
      </c>
      <c r="P724" s="26" t="str">
        <f t="shared" si="37"/>
        <v/>
      </c>
      <c r="Q724" s="26" t="str">
        <f t="shared" si="38"/>
        <v/>
      </c>
    </row>
    <row r="725" spans="1:17" x14ac:dyDescent="0.3">
      <c r="A725" s="35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2" t="s">
        <v>86</v>
      </c>
      <c r="N725" s="23">
        <v>46083</v>
      </c>
      <c r="O725" s="26" t="str">
        <f t="shared" si="36"/>
        <v/>
      </c>
      <c r="P725" s="26" t="str">
        <f t="shared" si="37"/>
        <v/>
      </c>
      <c r="Q725" s="26" t="str">
        <f t="shared" si="38"/>
        <v/>
      </c>
    </row>
    <row r="726" spans="1:17" x14ac:dyDescent="0.3">
      <c r="A726" s="35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2" t="s">
        <v>86</v>
      </c>
      <c r="N726" s="23">
        <v>46083</v>
      </c>
      <c r="O726" s="26" t="str">
        <f t="shared" si="36"/>
        <v/>
      </c>
      <c r="P726" s="26" t="str">
        <f t="shared" si="37"/>
        <v/>
      </c>
      <c r="Q726" s="26" t="str">
        <f t="shared" si="38"/>
        <v/>
      </c>
    </row>
    <row r="727" spans="1:17" x14ac:dyDescent="0.3">
      <c r="A727" s="35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2" t="s">
        <v>86</v>
      </c>
      <c r="N727" s="23">
        <v>46083</v>
      </c>
      <c r="O727" s="26" t="str">
        <f t="shared" si="36"/>
        <v/>
      </c>
      <c r="P727" s="26" t="str">
        <f t="shared" si="37"/>
        <v/>
      </c>
      <c r="Q727" s="26" t="str">
        <f t="shared" si="38"/>
        <v/>
      </c>
    </row>
    <row r="728" spans="1:17" x14ac:dyDescent="0.3">
      <c r="A728" s="35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2" t="s">
        <v>86</v>
      </c>
      <c r="N728" s="23">
        <v>46083</v>
      </c>
      <c r="O728" s="26" t="str">
        <f t="shared" si="36"/>
        <v/>
      </c>
      <c r="P728" s="26" t="str">
        <f t="shared" si="37"/>
        <v/>
      </c>
      <c r="Q728" s="26" t="str">
        <f t="shared" si="38"/>
        <v/>
      </c>
    </row>
    <row r="729" spans="1:17" x14ac:dyDescent="0.3">
      <c r="A729" s="35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2" t="s">
        <v>86</v>
      </c>
      <c r="N729" s="23">
        <v>46083</v>
      </c>
      <c r="O729" s="26" t="str">
        <f t="shared" si="36"/>
        <v/>
      </c>
      <c r="P729" s="26" t="str">
        <f t="shared" si="37"/>
        <v/>
      </c>
      <c r="Q729" s="26" t="str">
        <f t="shared" si="38"/>
        <v/>
      </c>
    </row>
    <row r="730" spans="1:17" x14ac:dyDescent="0.3">
      <c r="A730" s="35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2" t="s">
        <v>86</v>
      </c>
      <c r="N730" s="23">
        <v>46083</v>
      </c>
      <c r="O730" s="26" t="str">
        <f t="shared" si="36"/>
        <v/>
      </c>
      <c r="P730" s="26" t="str">
        <f t="shared" si="37"/>
        <v/>
      </c>
      <c r="Q730" s="26" t="str">
        <f t="shared" si="38"/>
        <v/>
      </c>
    </row>
    <row r="731" spans="1:17" x14ac:dyDescent="0.3">
      <c r="A731" s="35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2" t="s">
        <v>86</v>
      </c>
      <c r="N731" s="23">
        <v>46083</v>
      </c>
      <c r="O731" s="26" t="str">
        <f t="shared" si="36"/>
        <v/>
      </c>
      <c r="P731" s="26" t="str">
        <f t="shared" si="37"/>
        <v/>
      </c>
      <c r="Q731" s="26" t="str">
        <f t="shared" si="38"/>
        <v/>
      </c>
    </row>
    <row r="732" spans="1:17" x14ac:dyDescent="0.3">
      <c r="A732" s="35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2" t="s">
        <v>86</v>
      </c>
      <c r="N732" s="23">
        <v>46083</v>
      </c>
      <c r="O732" s="26" t="str">
        <f t="shared" si="36"/>
        <v/>
      </c>
      <c r="P732" s="26" t="str">
        <f t="shared" si="37"/>
        <v/>
      </c>
      <c r="Q732" s="26" t="str">
        <f t="shared" si="38"/>
        <v/>
      </c>
    </row>
    <row r="733" spans="1:17" x14ac:dyDescent="0.3">
      <c r="A733" s="35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2" t="s">
        <v>86</v>
      </c>
      <c r="N733" s="23">
        <v>46083</v>
      </c>
      <c r="O733" s="26" t="str">
        <f t="shared" si="36"/>
        <v/>
      </c>
      <c r="P733" s="26" t="str">
        <f t="shared" si="37"/>
        <v/>
      </c>
      <c r="Q733" s="26" t="str">
        <f t="shared" si="38"/>
        <v/>
      </c>
    </row>
    <row r="734" spans="1:17" x14ac:dyDescent="0.3">
      <c r="A734" s="35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2" t="s">
        <v>86</v>
      </c>
      <c r="N734" s="23">
        <v>46083</v>
      </c>
      <c r="O734" s="26" t="str">
        <f t="shared" si="36"/>
        <v/>
      </c>
      <c r="P734" s="26" t="str">
        <f t="shared" si="37"/>
        <v/>
      </c>
      <c r="Q734" s="26" t="str">
        <f t="shared" si="38"/>
        <v/>
      </c>
    </row>
    <row r="735" spans="1:17" x14ac:dyDescent="0.3">
      <c r="A735" s="35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2" t="s">
        <v>86</v>
      </c>
      <c r="N735" s="23">
        <v>46083</v>
      </c>
      <c r="O735" s="26" t="str">
        <f t="shared" si="36"/>
        <v/>
      </c>
      <c r="P735" s="26" t="str">
        <f t="shared" si="37"/>
        <v/>
      </c>
      <c r="Q735" s="26" t="str">
        <f t="shared" si="38"/>
        <v/>
      </c>
    </row>
    <row r="736" spans="1:17" x14ac:dyDescent="0.3">
      <c r="A736" s="35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2" t="s">
        <v>86</v>
      </c>
      <c r="N736" s="23">
        <v>46083</v>
      </c>
      <c r="O736" s="26" t="str">
        <f t="shared" si="36"/>
        <v/>
      </c>
      <c r="P736" s="26" t="str">
        <f t="shared" si="37"/>
        <v/>
      </c>
      <c r="Q736" s="26" t="str">
        <f t="shared" si="38"/>
        <v/>
      </c>
    </row>
    <row r="737" spans="1:17" x14ac:dyDescent="0.3">
      <c r="A737" s="35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2" t="s">
        <v>86</v>
      </c>
      <c r="N737" s="23">
        <v>46083</v>
      </c>
      <c r="O737" s="26" t="str">
        <f t="shared" si="36"/>
        <v/>
      </c>
      <c r="P737" s="26" t="str">
        <f t="shared" si="37"/>
        <v/>
      </c>
      <c r="Q737" s="26" t="str">
        <f t="shared" si="38"/>
        <v/>
      </c>
    </row>
    <row r="738" spans="1:17" x14ac:dyDescent="0.3">
      <c r="A738" s="35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2" t="s">
        <v>86</v>
      </c>
      <c r="N738" s="23">
        <v>46083</v>
      </c>
      <c r="O738" s="26" t="str">
        <f t="shared" si="36"/>
        <v/>
      </c>
      <c r="P738" s="26" t="str">
        <f t="shared" si="37"/>
        <v/>
      </c>
      <c r="Q738" s="26" t="str">
        <f t="shared" si="38"/>
        <v/>
      </c>
    </row>
    <row r="739" spans="1:17" x14ac:dyDescent="0.3">
      <c r="A739" s="35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2" t="s">
        <v>86</v>
      </c>
      <c r="N739" s="23">
        <v>46083</v>
      </c>
      <c r="O739" s="26" t="str">
        <f t="shared" si="36"/>
        <v/>
      </c>
      <c r="P739" s="26" t="str">
        <f t="shared" si="37"/>
        <v/>
      </c>
      <c r="Q739" s="26" t="str">
        <f t="shared" si="38"/>
        <v/>
      </c>
    </row>
    <row r="740" spans="1:17" x14ac:dyDescent="0.3">
      <c r="A740" s="35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2" t="s">
        <v>86</v>
      </c>
      <c r="N740" s="23">
        <v>46083</v>
      </c>
      <c r="O740" s="26" t="str">
        <f t="shared" si="36"/>
        <v/>
      </c>
      <c r="P740" s="26" t="str">
        <f t="shared" si="37"/>
        <v/>
      </c>
      <c r="Q740" s="26" t="str">
        <f t="shared" si="38"/>
        <v/>
      </c>
    </row>
    <row r="741" spans="1:17" x14ac:dyDescent="0.3">
      <c r="A741" s="35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2" t="s">
        <v>86</v>
      </c>
      <c r="N741" s="23">
        <v>46083</v>
      </c>
      <c r="O741" s="26" t="str">
        <f t="shared" si="36"/>
        <v/>
      </c>
      <c r="P741" s="26" t="str">
        <f t="shared" si="37"/>
        <v/>
      </c>
      <c r="Q741" s="26" t="str">
        <f t="shared" si="38"/>
        <v/>
      </c>
    </row>
    <row r="742" spans="1:17" x14ac:dyDescent="0.3">
      <c r="A742" s="35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2" t="s">
        <v>86</v>
      </c>
      <c r="N742" s="23">
        <v>46083</v>
      </c>
      <c r="O742" s="26" t="str">
        <f t="shared" si="36"/>
        <v/>
      </c>
      <c r="P742" s="26" t="str">
        <f t="shared" si="37"/>
        <v/>
      </c>
      <c r="Q742" s="26" t="str">
        <f t="shared" si="38"/>
        <v/>
      </c>
    </row>
    <row r="743" spans="1:17" x14ac:dyDescent="0.3">
      <c r="A743" s="35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2" t="s">
        <v>86</v>
      </c>
      <c r="N743" s="23">
        <v>46083</v>
      </c>
      <c r="O743" s="26" t="str">
        <f t="shared" si="36"/>
        <v/>
      </c>
      <c r="P743" s="26" t="str">
        <f t="shared" si="37"/>
        <v/>
      </c>
      <c r="Q743" s="26" t="str">
        <f t="shared" si="38"/>
        <v/>
      </c>
    </row>
    <row r="744" spans="1:17" x14ac:dyDescent="0.3">
      <c r="A744" s="35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2" t="s">
        <v>86</v>
      </c>
      <c r="N744" s="23">
        <v>46083</v>
      </c>
      <c r="O744" s="26" t="str">
        <f t="shared" si="36"/>
        <v/>
      </c>
      <c r="P744" s="26" t="str">
        <f t="shared" si="37"/>
        <v/>
      </c>
      <c r="Q744" s="26" t="str">
        <f t="shared" si="38"/>
        <v/>
      </c>
    </row>
    <row r="745" spans="1:17" x14ac:dyDescent="0.3">
      <c r="A745" s="35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2" t="s">
        <v>86</v>
      </c>
      <c r="N745" s="23">
        <v>46083</v>
      </c>
      <c r="O745" s="26" t="str">
        <f t="shared" si="36"/>
        <v/>
      </c>
      <c r="P745" s="26" t="str">
        <f t="shared" si="37"/>
        <v/>
      </c>
      <c r="Q745" s="26" t="str">
        <f t="shared" si="38"/>
        <v/>
      </c>
    </row>
    <row r="746" spans="1:17" x14ac:dyDescent="0.3">
      <c r="A746" s="35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2" t="s">
        <v>86</v>
      </c>
      <c r="N746" s="23">
        <v>46083</v>
      </c>
      <c r="O746" s="26" t="str">
        <f t="shared" si="36"/>
        <v/>
      </c>
      <c r="P746" s="26" t="str">
        <f t="shared" si="37"/>
        <v/>
      </c>
      <c r="Q746" s="26" t="str">
        <f t="shared" si="38"/>
        <v/>
      </c>
    </row>
    <row r="747" spans="1:17" x14ac:dyDescent="0.3">
      <c r="A747" s="35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2" t="s">
        <v>86</v>
      </c>
      <c r="N747" s="23">
        <v>46083</v>
      </c>
      <c r="O747" s="26" t="str">
        <f t="shared" si="36"/>
        <v/>
      </c>
      <c r="P747" s="26" t="str">
        <f t="shared" si="37"/>
        <v/>
      </c>
      <c r="Q747" s="26" t="str">
        <f t="shared" si="38"/>
        <v/>
      </c>
    </row>
    <row r="748" spans="1:17" x14ac:dyDescent="0.3">
      <c r="A748" s="35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2" t="s">
        <v>86</v>
      </c>
      <c r="N748" s="23">
        <v>46083</v>
      </c>
      <c r="O748" s="26" t="str">
        <f t="shared" si="36"/>
        <v/>
      </c>
      <c r="P748" s="26" t="str">
        <f t="shared" si="37"/>
        <v/>
      </c>
      <c r="Q748" s="26" t="str">
        <f t="shared" si="38"/>
        <v/>
      </c>
    </row>
    <row r="749" spans="1:17" x14ac:dyDescent="0.3">
      <c r="A749" s="35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2" t="s">
        <v>86</v>
      </c>
      <c r="N749" s="23">
        <v>46083</v>
      </c>
      <c r="O749" s="26" t="str">
        <f t="shared" si="36"/>
        <v/>
      </c>
      <c r="P749" s="26" t="str">
        <f t="shared" si="37"/>
        <v/>
      </c>
      <c r="Q749" s="26" t="str">
        <f t="shared" si="38"/>
        <v/>
      </c>
    </row>
    <row r="750" spans="1:17" x14ac:dyDescent="0.3">
      <c r="A750" s="35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2" t="s">
        <v>86</v>
      </c>
      <c r="N750" s="23">
        <v>46083</v>
      </c>
      <c r="O750" s="26" t="str">
        <f t="shared" si="36"/>
        <v/>
      </c>
      <c r="P750" s="26" t="str">
        <f t="shared" si="37"/>
        <v/>
      </c>
      <c r="Q750" s="26" t="str">
        <f t="shared" si="38"/>
        <v/>
      </c>
    </row>
    <row r="751" spans="1:17" x14ac:dyDescent="0.3">
      <c r="A751" s="35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2" t="s">
        <v>86</v>
      </c>
      <c r="N751" s="23">
        <v>46083</v>
      </c>
      <c r="O751" s="26" t="str">
        <f t="shared" si="36"/>
        <v/>
      </c>
      <c r="P751" s="26" t="str">
        <f t="shared" si="37"/>
        <v/>
      </c>
      <c r="Q751" s="26" t="str">
        <f t="shared" si="38"/>
        <v/>
      </c>
    </row>
    <row r="752" spans="1:17" x14ac:dyDescent="0.3">
      <c r="A752" s="35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2" t="s">
        <v>86</v>
      </c>
      <c r="N752" s="23">
        <v>46083</v>
      </c>
      <c r="O752" s="26" t="str">
        <f t="shared" si="36"/>
        <v/>
      </c>
      <c r="P752" s="26" t="str">
        <f t="shared" si="37"/>
        <v/>
      </c>
      <c r="Q752" s="26" t="str">
        <f t="shared" si="38"/>
        <v/>
      </c>
    </row>
    <row r="753" spans="1:17" x14ac:dyDescent="0.3">
      <c r="A753" s="35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2" t="s">
        <v>86</v>
      </c>
      <c r="N753" s="23">
        <v>46083</v>
      </c>
      <c r="O753" s="26" t="str">
        <f t="shared" si="36"/>
        <v/>
      </c>
      <c r="P753" s="26" t="str">
        <f t="shared" si="37"/>
        <v/>
      </c>
      <c r="Q753" s="26" t="str">
        <f t="shared" si="38"/>
        <v/>
      </c>
    </row>
    <row r="754" spans="1:17" x14ac:dyDescent="0.3">
      <c r="A754" s="35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2" t="s">
        <v>86</v>
      </c>
      <c r="N754" s="23">
        <v>46083</v>
      </c>
      <c r="O754" s="26" t="str">
        <f t="shared" si="36"/>
        <v/>
      </c>
      <c r="P754" s="26" t="str">
        <f t="shared" si="37"/>
        <v/>
      </c>
      <c r="Q754" s="26" t="str">
        <f t="shared" si="38"/>
        <v/>
      </c>
    </row>
    <row r="755" spans="1:17" x14ac:dyDescent="0.3">
      <c r="A755" s="35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2" t="s">
        <v>86</v>
      </c>
      <c r="N755" s="23">
        <v>46083</v>
      </c>
      <c r="O755" s="26" t="str">
        <f t="shared" si="36"/>
        <v/>
      </c>
      <c r="P755" s="26" t="str">
        <f t="shared" si="37"/>
        <v/>
      </c>
      <c r="Q755" s="26" t="str">
        <f t="shared" si="38"/>
        <v/>
      </c>
    </row>
    <row r="756" spans="1:17" x14ac:dyDescent="0.3">
      <c r="A756" s="35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2" t="s">
        <v>86</v>
      </c>
      <c r="N756" s="23">
        <v>46083</v>
      </c>
      <c r="O756" s="26" t="str">
        <f t="shared" si="36"/>
        <v/>
      </c>
      <c r="P756" s="26" t="str">
        <f t="shared" si="37"/>
        <v/>
      </c>
      <c r="Q756" s="26" t="str">
        <f t="shared" si="38"/>
        <v/>
      </c>
    </row>
    <row r="757" spans="1:17" x14ac:dyDescent="0.3">
      <c r="A757" s="35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2" t="s">
        <v>86</v>
      </c>
      <c r="N757" s="23">
        <v>46083</v>
      </c>
      <c r="O757" s="26" t="str">
        <f t="shared" si="36"/>
        <v/>
      </c>
      <c r="P757" s="26" t="str">
        <f t="shared" si="37"/>
        <v/>
      </c>
      <c r="Q757" s="26" t="str">
        <f t="shared" si="38"/>
        <v/>
      </c>
    </row>
    <row r="758" spans="1:17" x14ac:dyDescent="0.3">
      <c r="A758" s="35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2" t="s">
        <v>86</v>
      </c>
      <c r="N758" s="23">
        <v>46083</v>
      </c>
      <c r="O758" s="26" t="str">
        <f t="shared" si="36"/>
        <v/>
      </c>
      <c r="P758" s="26" t="str">
        <f t="shared" si="37"/>
        <v/>
      </c>
      <c r="Q758" s="26" t="str">
        <f t="shared" si="38"/>
        <v/>
      </c>
    </row>
    <row r="759" spans="1:17" x14ac:dyDescent="0.3">
      <c r="A759" s="35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2" t="s">
        <v>86</v>
      </c>
      <c r="N759" s="23">
        <v>46083</v>
      </c>
      <c r="O759" s="26" t="str">
        <f t="shared" si="36"/>
        <v/>
      </c>
      <c r="P759" s="26" t="str">
        <f t="shared" si="37"/>
        <v/>
      </c>
      <c r="Q759" s="26" t="str">
        <f t="shared" si="38"/>
        <v/>
      </c>
    </row>
    <row r="760" spans="1:17" x14ac:dyDescent="0.3">
      <c r="A760" s="35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2" t="s">
        <v>86</v>
      </c>
      <c r="N760" s="23">
        <v>46083</v>
      </c>
      <c r="O760" s="26" t="str">
        <f t="shared" si="36"/>
        <v/>
      </c>
      <c r="P760" s="26" t="str">
        <f t="shared" si="37"/>
        <v/>
      </c>
      <c r="Q760" s="26" t="str">
        <f t="shared" si="38"/>
        <v/>
      </c>
    </row>
    <row r="761" spans="1:17" x14ac:dyDescent="0.3">
      <c r="A761" s="35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2" t="s">
        <v>86</v>
      </c>
      <c r="N761" s="23">
        <v>46083</v>
      </c>
      <c r="O761" s="26" t="str">
        <f t="shared" si="36"/>
        <v/>
      </c>
      <c r="P761" s="26" t="str">
        <f t="shared" si="37"/>
        <v/>
      </c>
      <c r="Q761" s="26" t="str">
        <f t="shared" si="38"/>
        <v/>
      </c>
    </row>
    <row r="762" spans="1:17" x14ac:dyDescent="0.3">
      <c r="A762" s="35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2" t="s">
        <v>86</v>
      </c>
      <c r="N762" s="23">
        <v>46083</v>
      </c>
      <c r="O762" s="26" t="str">
        <f t="shared" si="36"/>
        <v/>
      </c>
      <c r="P762" s="26" t="str">
        <f t="shared" si="37"/>
        <v/>
      </c>
      <c r="Q762" s="26" t="str">
        <f t="shared" si="38"/>
        <v/>
      </c>
    </row>
    <row r="763" spans="1:17" x14ac:dyDescent="0.3">
      <c r="A763" s="35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2" t="s">
        <v>86</v>
      </c>
      <c r="N763" s="23">
        <v>46083</v>
      </c>
      <c r="O763" s="26" t="str">
        <f t="shared" si="36"/>
        <v/>
      </c>
      <c r="P763" s="26" t="str">
        <f t="shared" si="37"/>
        <v/>
      </c>
      <c r="Q763" s="26" t="str">
        <f t="shared" si="38"/>
        <v/>
      </c>
    </row>
    <row r="764" spans="1:17" x14ac:dyDescent="0.3">
      <c r="A764" s="35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2" t="s">
        <v>86</v>
      </c>
      <c r="N764" s="23">
        <v>46083</v>
      </c>
      <c r="O764" s="26" t="str">
        <f t="shared" si="36"/>
        <v/>
      </c>
      <c r="P764" s="26" t="str">
        <f t="shared" si="37"/>
        <v/>
      </c>
      <c r="Q764" s="26" t="str">
        <f t="shared" si="38"/>
        <v/>
      </c>
    </row>
    <row r="765" spans="1:17" x14ac:dyDescent="0.3">
      <c r="A765" s="35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2" t="s">
        <v>86</v>
      </c>
      <c r="N765" s="23">
        <v>46083</v>
      </c>
      <c r="O765" s="26" t="str">
        <f t="shared" si="36"/>
        <v/>
      </c>
      <c r="P765" s="26" t="str">
        <f t="shared" si="37"/>
        <v/>
      </c>
      <c r="Q765" s="26" t="str">
        <f t="shared" si="38"/>
        <v/>
      </c>
    </row>
    <row r="766" spans="1:17" x14ac:dyDescent="0.3">
      <c r="A766" s="35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2" t="s">
        <v>86</v>
      </c>
      <c r="N766" s="23">
        <v>46083</v>
      </c>
      <c r="O766" s="26" t="str">
        <f t="shared" si="36"/>
        <v/>
      </c>
      <c r="P766" s="26" t="str">
        <f t="shared" si="37"/>
        <v/>
      </c>
      <c r="Q766" s="26" t="str">
        <f t="shared" si="38"/>
        <v/>
      </c>
    </row>
    <row r="767" spans="1:17" x14ac:dyDescent="0.3">
      <c r="A767" s="35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2" t="s">
        <v>86</v>
      </c>
      <c r="N767" s="23">
        <v>46083</v>
      </c>
      <c r="O767" s="26" t="str">
        <f t="shared" si="36"/>
        <v/>
      </c>
      <c r="P767" s="26" t="str">
        <f t="shared" si="37"/>
        <v/>
      </c>
      <c r="Q767" s="26" t="str">
        <f t="shared" si="38"/>
        <v/>
      </c>
    </row>
    <row r="768" spans="1:17" x14ac:dyDescent="0.3">
      <c r="A768" s="35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2" t="s">
        <v>86</v>
      </c>
      <c r="N768" s="23">
        <v>46083</v>
      </c>
      <c r="O768" s="26" t="str">
        <f t="shared" si="36"/>
        <v/>
      </c>
      <c r="P768" s="26" t="str">
        <f t="shared" si="37"/>
        <v/>
      </c>
      <c r="Q768" s="26" t="str">
        <f t="shared" si="38"/>
        <v/>
      </c>
    </row>
    <row r="769" spans="1:17" x14ac:dyDescent="0.3">
      <c r="A769" s="35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2" t="s">
        <v>86</v>
      </c>
      <c r="N769" s="23">
        <v>46083</v>
      </c>
      <c r="O769" s="26" t="str">
        <f t="shared" si="36"/>
        <v/>
      </c>
      <c r="P769" s="26" t="str">
        <f t="shared" si="37"/>
        <v/>
      </c>
      <c r="Q769" s="26" t="str">
        <f t="shared" si="38"/>
        <v/>
      </c>
    </row>
    <row r="770" spans="1:17" x14ac:dyDescent="0.3">
      <c r="A770" s="35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2" t="s">
        <v>86</v>
      </c>
      <c r="N770" s="23">
        <v>46083</v>
      </c>
      <c r="O770" s="26" t="str">
        <f t="shared" ref="O770:O833" si="39">IF(A770="","",IFERROR(IF(AND(LEN(A770)=10,NOT(ISERROR(VALUE(A770)))),"OK","확인"),"확인"))</f>
        <v/>
      </c>
      <c r="P770" s="26" t="str">
        <f t="shared" ref="P770:P833" si="40">IF(A770="","",IF(COUNTIF($A$2:$A$1946,A770)&gt;1,"중복",""))</f>
        <v/>
      </c>
      <c r="Q770" s="26" t="str">
        <f t="shared" ref="Q770:Q833" si="41">IF(G770="","",IF(ISNUMBER(SEARCH("@",G770)),"","확인"))</f>
        <v/>
      </c>
    </row>
    <row r="771" spans="1:17" x14ac:dyDescent="0.3">
      <c r="A771" s="35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2" t="s">
        <v>86</v>
      </c>
      <c r="N771" s="23">
        <v>46083</v>
      </c>
      <c r="O771" s="26" t="str">
        <f t="shared" si="39"/>
        <v/>
      </c>
      <c r="P771" s="26" t="str">
        <f t="shared" si="40"/>
        <v/>
      </c>
      <c r="Q771" s="26" t="str">
        <f t="shared" si="41"/>
        <v/>
      </c>
    </row>
    <row r="772" spans="1:17" x14ac:dyDescent="0.3">
      <c r="A772" s="35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2" t="s">
        <v>86</v>
      </c>
      <c r="N772" s="23">
        <v>46083</v>
      </c>
      <c r="O772" s="26" t="str">
        <f t="shared" si="39"/>
        <v/>
      </c>
      <c r="P772" s="26" t="str">
        <f t="shared" si="40"/>
        <v/>
      </c>
      <c r="Q772" s="26" t="str">
        <f t="shared" si="41"/>
        <v/>
      </c>
    </row>
    <row r="773" spans="1:17" x14ac:dyDescent="0.3">
      <c r="A773" s="35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2" t="s">
        <v>86</v>
      </c>
      <c r="N773" s="23">
        <v>46083</v>
      </c>
      <c r="O773" s="26" t="str">
        <f t="shared" si="39"/>
        <v/>
      </c>
      <c r="P773" s="26" t="str">
        <f t="shared" si="40"/>
        <v/>
      </c>
      <c r="Q773" s="26" t="str">
        <f t="shared" si="41"/>
        <v/>
      </c>
    </row>
    <row r="774" spans="1:17" x14ac:dyDescent="0.3">
      <c r="A774" s="35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2" t="s">
        <v>86</v>
      </c>
      <c r="N774" s="23">
        <v>46083</v>
      </c>
      <c r="O774" s="26" t="str">
        <f t="shared" si="39"/>
        <v/>
      </c>
      <c r="P774" s="26" t="str">
        <f t="shared" si="40"/>
        <v/>
      </c>
      <c r="Q774" s="26" t="str">
        <f t="shared" si="41"/>
        <v/>
      </c>
    </row>
    <row r="775" spans="1:17" x14ac:dyDescent="0.3">
      <c r="A775" s="35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2" t="s">
        <v>86</v>
      </c>
      <c r="N775" s="23">
        <v>46083</v>
      </c>
      <c r="O775" s="26" t="str">
        <f t="shared" si="39"/>
        <v/>
      </c>
      <c r="P775" s="26" t="str">
        <f t="shared" si="40"/>
        <v/>
      </c>
      <c r="Q775" s="26" t="str">
        <f t="shared" si="41"/>
        <v/>
      </c>
    </row>
    <row r="776" spans="1:17" x14ac:dyDescent="0.3">
      <c r="A776" s="35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2" t="s">
        <v>86</v>
      </c>
      <c r="N776" s="23">
        <v>46083</v>
      </c>
      <c r="O776" s="26" t="str">
        <f t="shared" si="39"/>
        <v/>
      </c>
      <c r="P776" s="26" t="str">
        <f t="shared" si="40"/>
        <v/>
      </c>
      <c r="Q776" s="26" t="str">
        <f t="shared" si="41"/>
        <v/>
      </c>
    </row>
    <row r="777" spans="1:17" x14ac:dyDescent="0.3">
      <c r="A777" s="35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2" t="s">
        <v>86</v>
      </c>
      <c r="N777" s="23">
        <v>46083</v>
      </c>
      <c r="O777" s="26" t="str">
        <f t="shared" si="39"/>
        <v/>
      </c>
      <c r="P777" s="26" t="str">
        <f t="shared" si="40"/>
        <v/>
      </c>
      <c r="Q777" s="26" t="str">
        <f t="shared" si="41"/>
        <v/>
      </c>
    </row>
    <row r="778" spans="1:17" x14ac:dyDescent="0.3">
      <c r="A778" s="35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2" t="s">
        <v>86</v>
      </c>
      <c r="N778" s="23">
        <v>46083</v>
      </c>
      <c r="O778" s="26" t="str">
        <f t="shared" si="39"/>
        <v/>
      </c>
      <c r="P778" s="26" t="str">
        <f t="shared" si="40"/>
        <v/>
      </c>
      <c r="Q778" s="26" t="str">
        <f t="shared" si="41"/>
        <v/>
      </c>
    </row>
    <row r="779" spans="1:17" x14ac:dyDescent="0.3">
      <c r="A779" s="35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2" t="s">
        <v>86</v>
      </c>
      <c r="N779" s="23">
        <v>46083</v>
      </c>
      <c r="O779" s="26" t="str">
        <f t="shared" si="39"/>
        <v/>
      </c>
      <c r="P779" s="26" t="str">
        <f t="shared" si="40"/>
        <v/>
      </c>
      <c r="Q779" s="26" t="str">
        <f t="shared" si="41"/>
        <v/>
      </c>
    </row>
    <row r="780" spans="1:17" x14ac:dyDescent="0.3">
      <c r="A780" s="35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2" t="s">
        <v>86</v>
      </c>
      <c r="N780" s="23">
        <v>46083</v>
      </c>
      <c r="O780" s="26" t="str">
        <f t="shared" si="39"/>
        <v/>
      </c>
      <c r="P780" s="26" t="str">
        <f t="shared" si="40"/>
        <v/>
      </c>
      <c r="Q780" s="26" t="str">
        <f t="shared" si="41"/>
        <v/>
      </c>
    </row>
    <row r="781" spans="1:17" x14ac:dyDescent="0.3">
      <c r="A781" s="35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2" t="s">
        <v>86</v>
      </c>
      <c r="N781" s="23">
        <v>46083</v>
      </c>
      <c r="O781" s="26" t="str">
        <f t="shared" si="39"/>
        <v/>
      </c>
      <c r="P781" s="26" t="str">
        <f t="shared" si="40"/>
        <v/>
      </c>
      <c r="Q781" s="26" t="str">
        <f t="shared" si="41"/>
        <v/>
      </c>
    </row>
    <row r="782" spans="1:17" x14ac:dyDescent="0.3">
      <c r="A782" s="35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2" t="s">
        <v>86</v>
      </c>
      <c r="N782" s="23">
        <v>46083</v>
      </c>
      <c r="O782" s="26" t="str">
        <f t="shared" si="39"/>
        <v/>
      </c>
      <c r="P782" s="26" t="str">
        <f t="shared" si="40"/>
        <v/>
      </c>
      <c r="Q782" s="26" t="str">
        <f t="shared" si="41"/>
        <v/>
      </c>
    </row>
    <row r="783" spans="1:17" x14ac:dyDescent="0.3">
      <c r="A783" s="35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2" t="s">
        <v>86</v>
      </c>
      <c r="N783" s="23">
        <v>46083</v>
      </c>
      <c r="O783" s="26" t="str">
        <f t="shared" si="39"/>
        <v/>
      </c>
      <c r="P783" s="26" t="str">
        <f t="shared" si="40"/>
        <v/>
      </c>
      <c r="Q783" s="26" t="str">
        <f t="shared" si="41"/>
        <v/>
      </c>
    </row>
    <row r="784" spans="1:17" x14ac:dyDescent="0.3">
      <c r="A784" s="35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2" t="s">
        <v>86</v>
      </c>
      <c r="N784" s="23">
        <v>46083</v>
      </c>
      <c r="O784" s="26" t="str">
        <f t="shared" si="39"/>
        <v/>
      </c>
      <c r="P784" s="26" t="str">
        <f t="shared" si="40"/>
        <v/>
      </c>
      <c r="Q784" s="26" t="str">
        <f t="shared" si="41"/>
        <v/>
      </c>
    </row>
    <row r="785" spans="1:17" x14ac:dyDescent="0.3">
      <c r="A785" s="35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2" t="s">
        <v>86</v>
      </c>
      <c r="N785" s="23">
        <v>46083</v>
      </c>
      <c r="O785" s="26" t="str">
        <f t="shared" si="39"/>
        <v/>
      </c>
      <c r="P785" s="26" t="str">
        <f t="shared" si="40"/>
        <v/>
      </c>
      <c r="Q785" s="26" t="str">
        <f t="shared" si="41"/>
        <v/>
      </c>
    </row>
    <row r="786" spans="1:17" x14ac:dyDescent="0.3">
      <c r="A786" s="35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2" t="s">
        <v>86</v>
      </c>
      <c r="N786" s="23">
        <v>46083</v>
      </c>
      <c r="O786" s="26" t="str">
        <f t="shared" si="39"/>
        <v/>
      </c>
      <c r="P786" s="26" t="str">
        <f t="shared" si="40"/>
        <v/>
      </c>
      <c r="Q786" s="26" t="str">
        <f t="shared" si="41"/>
        <v/>
      </c>
    </row>
    <row r="787" spans="1:17" x14ac:dyDescent="0.3">
      <c r="A787" s="35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2" t="s">
        <v>86</v>
      </c>
      <c r="N787" s="23">
        <v>46083</v>
      </c>
      <c r="O787" s="26" t="str">
        <f t="shared" si="39"/>
        <v/>
      </c>
      <c r="P787" s="26" t="str">
        <f t="shared" si="40"/>
        <v/>
      </c>
      <c r="Q787" s="26" t="str">
        <f t="shared" si="41"/>
        <v/>
      </c>
    </row>
    <row r="788" spans="1:17" x14ac:dyDescent="0.3">
      <c r="A788" s="35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2" t="s">
        <v>86</v>
      </c>
      <c r="N788" s="23">
        <v>46083</v>
      </c>
      <c r="O788" s="26" t="str">
        <f t="shared" si="39"/>
        <v/>
      </c>
      <c r="P788" s="26" t="str">
        <f t="shared" si="40"/>
        <v/>
      </c>
      <c r="Q788" s="26" t="str">
        <f t="shared" si="41"/>
        <v/>
      </c>
    </row>
    <row r="789" spans="1:17" x14ac:dyDescent="0.3">
      <c r="A789" s="35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2" t="s">
        <v>86</v>
      </c>
      <c r="N789" s="23">
        <v>46083</v>
      </c>
      <c r="O789" s="26" t="str">
        <f t="shared" si="39"/>
        <v/>
      </c>
      <c r="P789" s="26" t="str">
        <f t="shared" si="40"/>
        <v/>
      </c>
      <c r="Q789" s="26" t="str">
        <f t="shared" si="41"/>
        <v/>
      </c>
    </row>
    <row r="790" spans="1:17" x14ac:dyDescent="0.3">
      <c r="A790" s="35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2" t="s">
        <v>86</v>
      </c>
      <c r="N790" s="23">
        <v>46083</v>
      </c>
      <c r="O790" s="26" t="str">
        <f t="shared" si="39"/>
        <v/>
      </c>
      <c r="P790" s="26" t="str">
        <f t="shared" si="40"/>
        <v/>
      </c>
      <c r="Q790" s="26" t="str">
        <f t="shared" si="41"/>
        <v/>
      </c>
    </row>
    <row r="791" spans="1:17" x14ac:dyDescent="0.3">
      <c r="A791" s="35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2" t="s">
        <v>86</v>
      </c>
      <c r="N791" s="23">
        <v>46083</v>
      </c>
      <c r="O791" s="26" t="str">
        <f t="shared" si="39"/>
        <v/>
      </c>
      <c r="P791" s="26" t="str">
        <f t="shared" si="40"/>
        <v/>
      </c>
      <c r="Q791" s="26" t="str">
        <f t="shared" si="41"/>
        <v/>
      </c>
    </row>
    <row r="792" spans="1:17" x14ac:dyDescent="0.3">
      <c r="A792" s="35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2" t="s">
        <v>86</v>
      </c>
      <c r="N792" s="23">
        <v>46083</v>
      </c>
      <c r="O792" s="26" t="str">
        <f t="shared" si="39"/>
        <v/>
      </c>
      <c r="P792" s="26" t="str">
        <f t="shared" si="40"/>
        <v/>
      </c>
      <c r="Q792" s="26" t="str">
        <f t="shared" si="41"/>
        <v/>
      </c>
    </row>
    <row r="793" spans="1:17" x14ac:dyDescent="0.3">
      <c r="A793" s="35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2" t="s">
        <v>86</v>
      </c>
      <c r="N793" s="23">
        <v>46083</v>
      </c>
      <c r="O793" s="26" t="str">
        <f t="shared" si="39"/>
        <v/>
      </c>
      <c r="P793" s="26" t="str">
        <f t="shared" si="40"/>
        <v/>
      </c>
      <c r="Q793" s="26" t="str">
        <f t="shared" si="41"/>
        <v/>
      </c>
    </row>
    <row r="794" spans="1:17" x14ac:dyDescent="0.3">
      <c r="A794" s="35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2" t="s">
        <v>86</v>
      </c>
      <c r="N794" s="23">
        <v>46083</v>
      </c>
      <c r="O794" s="26" t="str">
        <f t="shared" si="39"/>
        <v/>
      </c>
      <c r="P794" s="26" t="str">
        <f t="shared" si="40"/>
        <v/>
      </c>
      <c r="Q794" s="26" t="str">
        <f t="shared" si="41"/>
        <v/>
      </c>
    </row>
    <row r="795" spans="1:17" x14ac:dyDescent="0.3">
      <c r="A795" s="35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2" t="s">
        <v>86</v>
      </c>
      <c r="N795" s="23">
        <v>46083</v>
      </c>
      <c r="O795" s="26" t="str">
        <f t="shared" si="39"/>
        <v/>
      </c>
      <c r="P795" s="26" t="str">
        <f t="shared" si="40"/>
        <v/>
      </c>
      <c r="Q795" s="26" t="str">
        <f t="shared" si="41"/>
        <v/>
      </c>
    </row>
    <row r="796" spans="1:17" x14ac:dyDescent="0.3">
      <c r="A796" s="35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2" t="s">
        <v>86</v>
      </c>
      <c r="N796" s="23">
        <v>46083</v>
      </c>
      <c r="O796" s="26" t="str">
        <f t="shared" si="39"/>
        <v/>
      </c>
      <c r="P796" s="26" t="str">
        <f t="shared" si="40"/>
        <v/>
      </c>
      <c r="Q796" s="26" t="str">
        <f t="shared" si="41"/>
        <v/>
      </c>
    </row>
    <row r="797" spans="1:17" x14ac:dyDescent="0.3">
      <c r="A797" s="35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2" t="s">
        <v>86</v>
      </c>
      <c r="N797" s="23">
        <v>46083</v>
      </c>
      <c r="O797" s="26" t="str">
        <f t="shared" si="39"/>
        <v/>
      </c>
      <c r="P797" s="26" t="str">
        <f t="shared" si="40"/>
        <v/>
      </c>
      <c r="Q797" s="26" t="str">
        <f t="shared" si="41"/>
        <v/>
      </c>
    </row>
    <row r="798" spans="1:17" x14ac:dyDescent="0.3">
      <c r="A798" s="35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2" t="s">
        <v>86</v>
      </c>
      <c r="N798" s="23">
        <v>46083</v>
      </c>
      <c r="O798" s="26" t="str">
        <f t="shared" si="39"/>
        <v/>
      </c>
      <c r="P798" s="26" t="str">
        <f t="shared" si="40"/>
        <v/>
      </c>
      <c r="Q798" s="26" t="str">
        <f t="shared" si="41"/>
        <v/>
      </c>
    </row>
    <row r="799" spans="1:17" x14ac:dyDescent="0.3">
      <c r="A799" s="35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2" t="s">
        <v>86</v>
      </c>
      <c r="N799" s="23">
        <v>46083</v>
      </c>
      <c r="O799" s="26" t="str">
        <f t="shared" si="39"/>
        <v/>
      </c>
      <c r="P799" s="26" t="str">
        <f t="shared" si="40"/>
        <v/>
      </c>
      <c r="Q799" s="26" t="str">
        <f t="shared" si="41"/>
        <v/>
      </c>
    </row>
    <row r="800" spans="1:17" x14ac:dyDescent="0.3">
      <c r="A800" s="35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2" t="s">
        <v>86</v>
      </c>
      <c r="N800" s="23">
        <v>46083</v>
      </c>
      <c r="O800" s="26" t="str">
        <f t="shared" si="39"/>
        <v/>
      </c>
      <c r="P800" s="26" t="str">
        <f t="shared" si="40"/>
        <v/>
      </c>
      <c r="Q800" s="26" t="str">
        <f t="shared" si="41"/>
        <v/>
      </c>
    </row>
    <row r="801" spans="1:17" x14ac:dyDescent="0.3">
      <c r="A801" s="35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2" t="s">
        <v>86</v>
      </c>
      <c r="N801" s="23">
        <v>46083</v>
      </c>
      <c r="O801" s="26" t="str">
        <f t="shared" si="39"/>
        <v/>
      </c>
      <c r="P801" s="26" t="str">
        <f t="shared" si="40"/>
        <v/>
      </c>
      <c r="Q801" s="26" t="str">
        <f t="shared" si="41"/>
        <v/>
      </c>
    </row>
    <row r="802" spans="1:17" x14ac:dyDescent="0.3">
      <c r="A802" s="35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2" t="s">
        <v>86</v>
      </c>
      <c r="N802" s="23">
        <v>46083</v>
      </c>
      <c r="O802" s="26" t="str">
        <f t="shared" si="39"/>
        <v/>
      </c>
      <c r="P802" s="26" t="str">
        <f t="shared" si="40"/>
        <v/>
      </c>
      <c r="Q802" s="26" t="str">
        <f t="shared" si="41"/>
        <v/>
      </c>
    </row>
    <row r="803" spans="1:17" x14ac:dyDescent="0.3">
      <c r="A803" s="35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2" t="s">
        <v>86</v>
      </c>
      <c r="N803" s="23">
        <v>46083</v>
      </c>
      <c r="O803" s="26" t="str">
        <f t="shared" si="39"/>
        <v/>
      </c>
      <c r="P803" s="26" t="str">
        <f t="shared" si="40"/>
        <v/>
      </c>
      <c r="Q803" s="26" t="str">
        <f t="shared" si="41"/>
        <v/>
      </c>
    </row>
    <row r="804" spans="1:17" x14ac:dyDescent="0.3">
      <c r="A804" s="35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2" t="s">
        <v>86</v>
      </c>
      <c r="N804" s="23">
        <v>46083</v>
      </c>
      <c r="O804" s="26" t="str">
        <f t="shared" si="39"/>
        <v/>
      </c>
      <c r="P804" s="26" t="str">
        <f t="shared" si="40"/>
        <v/>
      </c>
      <c r="Q804" s="26" t="str">
        <f t="shared" si="41"/>
        <v/>
      </c>
    </row>
    <row r="805" spans="1:17" x14ac:dyDescent="0.3">
      <c r="A805" s="35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2" t="s">
        <v>86</v>
      </c>
      <c r="N805" s="23">
        <v>46083</v>
      </c>
      <c r="O805" s="26" t="str">
        <f t="shared" si="39"/>
        <v/>
      </c>
      <c r="P805" s="26" t="str">
        <f t="shared" si="40"/>
        <v/>
      </c>
      <c r="Q805" s="26" t="str">
        <f t="shared" si="41"/>
        <v/>
      </c>
    </row>
    <row r="806" spans="1:17" x14ac:dyDescent="0.3">
      <c r="A806" s="35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2" t="s">
        <v>86</v>
      </c>
      <c r="N806" s="23">
        <v>46083</v>
      </c>
      <c r="O806" s="26" t="str">
        <f t="shared" si="39"/>
        <v/>
      </c>
      <c r="P806" s="26" t="str">
        <f t="shared" si="40"/>
        <v/>
      </c>
      <c r="Q806" s="26" t="str">
        <f t="shared" si="41"/>
        <v/>
      </c>
    </row>
    <row r="807" spans="1:17" x14ac:dyDescent="0.3">
      <c r="A807" s="35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2" t="s">
        <v>86</v>
      </c>
      <c r="N807" s="23">
        <v>46083</v>
      </c>
      <c r="O807" s="26" t="str">
        <f t="shared" si="39"/>
        <v/>
      </c>
      <c r="P807" s="26" t="str">
        <f t="shared" si="40"/>
        <v/>
      </c>
      <c r="Q807" s="26" t="str">
        <f t="shared" si="41"/>
        <v/>
      </c>
    </row>
    <row r="808" spans="1:17" x14ac:dyDescent="0.3">
      <c r="A808" s="35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2" t="s">
        <v>86</v>
      </c>
      <c r="N808" s="23">
        <v>46083</v>
      </c>
      <c r="O808" s="26" t="str">
        <f t="shared" si="39"/>
        <v/>
      </c>
      <c r="P808" s="26" t="str">
        <f t="shared" si="40"/>
        <v/>
      </c>
      <c r="Q808" s="26" t="str">
        <f t="shared" si="41"/>
        <v/>
      </c>
    </row>
    <row r="809" spans="1:17" x14ac:dyDescent="0.3">
      <c r="A809" s="35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2" t="s">
        <v>86</v>
      </c>
      <c r="N809" s="23">
        <v>46083</v>
      </c>
      <c r="O809" s="26" t="str">
        <f t="shared" si="39"/>
        <v/>
      </c>
      <c r="P809" s="26" t="str">
        <f t="shared" si="40"/>
        <v/>
      </c>
      <c r="Q809" s="26" t="str">
        <f t="shared" si="41"/>
        <v/>
      </c>
    </row>
    <row r="810" spans="1:17" x14ac:dyDescent="0.3">
      <c r="A810" s="35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2" t="s">
        <v>86</v>
      </c>
      <c r="N810" s="23">
        <v>46083</v>
      </c>
      <c r="O810" s="26" t="str">
        <f t="shared" si="39"/>
        <v/>
      </c>
      <c r="P810" s="26" t="str">
        <f t="shared" si="40"/>
        <v/>
      </c>
      <c r="Q810" s="26" t="str">
        <f t="shared" si="41"/>
        <v/>
      </c>
    </row>
    <row r="811" spans="1:17" x14ac:dyDescent="0.3">
      <c r="A811" s="35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2" t="s">
        <v>86</v>
      </c>
      <c r="N811" s="23">
        <v>46083</v>
      </c>
      <c r="O811" s="26" t="str">
        <f t="shared" si="39"/>
        <v/>
      </c>
      <c r="P811" s="26" t="str">
        <f t="shared" si="40"/>
        <v/>
      </c>
      <c r="Q811" s="26" t="str">
        <f t="shared" si="41"/>
        <v/>
      </c>
    </row>
    <row r="812" spans="1:17" x14ac:dyDescent="0.3">
      <c r="A812" s="35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2" t="s">
        <v>86</v>
      </c>
      <c r="N812" s="23">
        <v>46083</v>
      </c>
      <c r="O812" s="26" t="str">
        <f t="shared" si="39"/>
        <v/>
      </c>
      <c r="P812" s="26" t="str">
        <f t="shared" si="40"/>
        <v/>
      </c>
      <c r="Q812" s="26" t="str">
        <f t="shared" si="41"/>
        <v/>
      </c>
    </row>
    <row r="813" spans="1:17" x14ac:dyDescent="0.3">
      <c r="A813" s="35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2" t="s">
        <v>86</v>
      </c>
      <c r="N813" s="23">
        <v>46083</v>
      </c>
      <c r="O813" s="26" t="str">
        <f t="shared" si="39"/>
        <v/>
      </c>
      <c r="P813" s="26" t="str">
        <f t="shared" si="40"/>
        <v/>
      </c>
      <c r="Q813" s="26" t="str">
        <f t="shared" si="41"/>
        <v/>
      </c>
    </row>
    <row r="814" spans="1:17" x14ac:dyDescent="0.3">
      <c r="A814" s="35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2" t="s">
        <v>86</v>
      </c>
      <c r="N814" s="23">
        <v>46083</v>
      </c>
      <c r="O814" s="26" t="str">
        <f t="shared" si="39"/>
        <v/>
      </c>
      <c r="P814" s="26" t="str">
        <f t="shared" si="40"/>
        <v/>
      </c>
      <c r="Q814" s="26" t="str">
        <f t="shared" si="41"/>
        <v/>
      </c>
    </row>
    <row r="815" spans="1:17" x14ac:dyDescent="0.3">
      <c r="A815" s="35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2" t="s">
        <v>86</v>
      </c>
      <c r="N815" s="23">
        <v>46083</v>
      </c>
      <c r="O815" s="26" t="str">
        <f t="shared" si="39"/>
        <v/>
      </c>
      <c r="P815" s="26" t="str">
        <f t="shared" si="40"/>
        <v/>
      </c>
      <c r="Q815" s="26" t="str">
        <f t="shared" si="41"/>
        <v/>
      </c>
    </row>
    <row r="816" spans="1:17" x14ac:dyDescent="0.3">
      <c r="A816" s="35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2" t="s">
        <v>86</v>
      </c>
      <c r="N816" s="23">
        <v>46083</v>
      </c>
      <c r="O816" s="26" t="str">
        <f t="shared" si="39"/>
        <v/>
      </c>
      <c r="P816" s="26" t="str">
        <f t="shared" si="40"/>
        <v/>
      </c>
      <c r="Q816" s="26" t="str">
        <f t="shared" si="41"/>
        <v/>
      </c>
    </row>
    <row r="817" spans="1:17" x14ac:dyDescent="0.3">
      <c r="A817" s="35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2" t="s">
        <v>86</v>
      </c>
      <c r="N817" s="23">
        <v>46083</v>
      </c>
      <c r="O817" s="26" t="str">
        <f t="shared" si="39"/>
        <v/>
      </c>
      <c r="P817" s="26" t="str">
        <f t="shared" si="40"/>
        <v/>
      </c>
      <c r="Q817" s="26" t="str">
        <f t="shared" si="41"/>
        <v/>
      </c>
    </row>
    <row r="818" spans="1:17" x14ac:dyDescent="0.3">
      <c r="A818" s="35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2" t="s">
        <v>86</v>
      </c>
      <c r="N818" s="23">
        <v>46083</v>
      </c>
      <c r="O818" s="26" t="str">
        <f t="shared" si="39"/>
        <v/>
      </c>
      <c r="P818" s="26" t="str">
        <f t="shared" si="40"/>
        <v/>
      </c>
      <c r="Q818" s="26" t="str">
        <f t="shared" si="41"/>
        <v/>
      </c>
    </row>
    <row r="819" spans="1:17" x14ac:dyDescent="0.3">
      <c r="A819" s="35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2" t="s">
        <v>86</v>
      </c>
      <c r="N819" s="23">
        <v>46083</v>
      </c>
      <c r="O819" s="26" t="str">
        <f t="shared" si="39"/>
        <v/>
      </c>
      <c r="P819" s="26" t="str">
        <f t="shared" si="40"/>
        <v/>
      </c>
      <c r="Q819" s="26" t="str">
        <f t="shared" si="41"/>
        <v/>
      </c>
    </row>
    <row r="820" spans="1:17" x14ac:dyDescent="0.3">
      <c r="A820" s="35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2" t="s">
        <v>86</v>
      </c>
      <c r="N820" s="23">
        <v>46083</v>
      </c>
      <c r="O820" s="26" t="str">
        <f t="shared" si="39"/>
        <v/>
      </c>
      <c r="P820" s="26" t="str">
        <f t="shared" si="40"/>
        <v/>
      </c>
      <c r="Q820" s="26" t="str">
        <f t="shared" si="41"/>
        <v/>
      </c>
    </row>
    <row r="821" spans="1:17" x14ac:dyDescent="0.3">
      <c r="A821" s="35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2" t="s">
        <v>86</v>
      </c>
      <c r="N821" s="23">
        <v>46083</v>
      </c>
      <c r="O821" s="26" t="str">
        <f t="shared" si="39"/>
        <v/>
      </c>
      <c r="P821" s="26" t="str">
        <f t="shared" si="40"/>
        <v/>
      </c>
      <c r="Q821" s="26" t="str">
        <f t="shared" si="41"/>
        <v/>
      </c>
    </row>
    <row r="822" spans="1:17" x14ac:dyDescent="0.3">
      <c r="A822" s="35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2" t="s">
        <v>86</v>
      </c>
      <c r="N822" s="23">
        <v>46083</v>
      </c>
      <c r="O822" s="26" t="str">
        <f t="shared" si="39"/>
        <v/>
      </c>
      <c r="P822" s="26" t="str">
        <f t="shared" si="40"/>
        <v/>
      </c>
      <c r="Q822" s="26" t="str">
        <f t="shared" si="41"/>
        <v/>
      </c>
    </row>
    <row r="823" spans="1:17" x14ac:dyDescent="0.3">
      <c r="A823" s="35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2" t="s">
        <v>86</v>
      </c>
      <c r="N823" s="23">
        <v>46083</v>
      </c>
      <c r="O823" s="26" t="str">
        <f t="shared" si="39"/>
        <v/>
      </c>
      <c r="P823" s="26" t="str">
        <f t="shared" si="40"/>
        <v/>
      </c>
      <c r="Q823" s="26" t="str">
        <f t="shared" si="41"/>
        <v/>
      </c>
    </row>
    <row r="824" spans="1:17" x14ac:dyDescent="0.3">
      <c r="A824" s="35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2" t="s">
        <v>86</v>
      </c>
      <c r="N824" s="23">
        <v>46083</v>
      </c>
      <c r="O824" s="26" t="str">
        <f t="shared" si="39"/>
        <v/>
      </c>
      <c r="P824" s="26" t="str">
        <f t="shared" si="40"/>
        <v/>
      </c>
      <c r="Q824" s="26" t="str">
        <f t="shared" si="41"/>
        <v/>
      </c>
    </row>
    <row r="825" spans="1:17" x14ac:dyDescent="0.3">
      <c r="A825" s="35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2" t="s">
        <v>86</v>
      </c>
      <c r="N825" s="23">
        <v>46083</v>
      </c>
      <c r="O825" s="26" t="str">
        <f t="shared" si="39"/>
        <v/>
      </c>
      <c r="P825" s="26" t="str">
        <f t="shared" si="40"/>
        <v/>
      </c>
      <c r="Q825" s="26" t="str">
        <f t="shared" si="41"/>
        <v/>
      </c>
    </row>
    <row r="826" spans="1:17" x14ac:dyDescent="0.3">
      <c r="A826" s="35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2" t="s">
        <v>86</v>
      </c>
      <c r="N826" s="23">
        <v>46083</v>
      </c>
      <c r="O826" s="26" t="str">
        <f t="shared" si="39"/>
        <v/>
      </c>
      <c r="P826" s="26" t="str">
        <f t="shared" si="40"/>
        <v/>
      </c>
      <c r="Q826" s="26" t="str">
        <f t="shared" si="41"/>
        <v/>
      </c>
    </row>
    <row r="827" spans="1:17" x14ac:dyDescent="0.3">
      <c r="A827" s="35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2" t="s">
        <v>86</v>
      </c>
      <c r="N827" s="23">
        <v>46083</v>
      </c>
      <c r="O827" s="26" t="str">
        <f t="shared" si="39"/>
        <v/>
      </c>
      <c r="P827" s="26" t="str">
        <f t="shared" si="40"/>
        <v/>
      </c>
      <c r="Q827" s="26" t="str">
        <f t="shared" si="41"/>
        <v/>
      </c>
    </row>
    <row r="828" spans="1:17" x14ac:dyDescent="0.3">
      <c r="A828" s="35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2" t="s">
        <v>86</v>
      </c>
      <c r="N828" s="23">
        <v>46083</v>
      </c>
      <c r="O828" s="26" t="str">
        <f t="shared" si="39"/>
        <v/>
      </c>
      <c r="P828" s="26" t="str">
        <f t="shared" si="40"/>
        <v/>
      </c>
      <c r="Q828" s="26" t="str">
        <f t="shared" si="41"/>
        <v/>
      </c>
    </row>
    <row r="829" spans="1:17" x14ac:dyDescent="0.3">
      <c r="A829" s="35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2" t="s">
        <v>86</v>
      </c>
      <c r="N829" s="23">
        <v>46083</v>
      </c>
      <c r="O829" s="26" t="str">
        <f t="shared" si="39"/>
        <v/>
      </c>
      <c r="P829" s="26" t="str">
        <f t="shared" si="40"/>
        <v/>
      </c>
      <c r="Q829" s="26" t="str">
        <f t="shared" si="41"/>
        <v/>
      </c>
    </row>
    <row r="830" spans="1:17" x14ac:dyDescent="0.3">
      <c r="A830" s="35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2" t="s">
        <v>86</v>
      </c>
      <c r="N830" s="23">
        <v>46083</v>
      </c>
      <c r="O830" s="26" t="str">
        <f t="shared" si="39"/>
        <v/>
      </c>
      <c r="P830" s="26" t="str">
        <f t="shared" si="40"/>
        <v/>
      </c>
      <c r="Q830" s="26" t="str">
        <f t="shared" si="41"/>
        <v/>
      </c>
    </row>
    <row r="831" spans="1:17" x14ac:dyDescent="0.3">
      <c r="A831" s="35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2" t="s">
        <v>86</v>
      </c>
      <c r="N831" s="23">
        <v>46083</v>
      </c>
      <c r="O831" s="26" t="str">
        <f t="shared" si="39"/>
        <v/>
      </c>
      <c r="P831" s="26" t="str">
        <f t="shared" si="40"/>
        <v/>
      </c>
      <c r="Q831" s="26" t="str">
        <f t="shared" si="41"/>
        <v/>
      </c>
    </row>
    <row r="832" spans="1:17" x14ac:dyDescent="0.3">
      <c r="A832" s="35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2" t="s">
        <v>86</v>
      </c>
      <c r="N832" s="23">
        <v>46083</v>
      </c>
      <c r="O832" s="26" t="str">
        <f t="shared" si="39"/>
        <v/>
      </c>
      <c r="P832" s="26" t="str">
        <f t="shared" si="40"/>
        <v/>
      </c>
      <c r="Q832" s="26" t="str">
        <f t="shared" si="41"/>
        <v/>
      </c>
    </row>
    <row r="833" spans="1:17" x14ac:dyDescent="0.3">
      <c r="A833" s="35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2" t="s">
        <v>86</v>
      </c>
      <c r="N833" s="23">
        <v>46083</v>
      </c>
      <c r="O833" s="26" t="str">
        <f t="shared" si="39"/>
        <v/>
      </c>
      <c r="P833" s="26" t="str">
        <f t="shared" si="40"/>
        <v/>
      </c>
      <c r="Q833" s="26" t="str">
        <f t="shared" si="41"/>
        <v/>
      </c>
    </row>
    <row r="834" spans="1:17" x14ac:dyDescent="0.3">
      <c r="A834" s="35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2" t="s">
        <v>86</v>
      </c>
      <c r="N834" s="23">
        <v>46083</v>
      </c>
      <c r="O834" s="26" t="str">
        <f t="shared" ref="O834:O897" si="42">IF(A834="","",IFERROR(IF(AND(LEN(A834)=10,NOT(ISERROR(VALUE(A834)))),"OK","확인"),"확인"))</f>
        <v/>
      </c>
      <c r="P834" s="26" t="str">
        <f t="shared" ref="P834:P897" si="43">IF(A834="","",IF(COUNTIF($A$2:$A$1946,A834)&gt;1,"중복",""))</f>
        <v/>
      </c>
      <c r="Q834" s="26" t="str">
        <f t="shared" ref="Q834:Q897" si="44">IF(G834="","",IF(ISNUMBER(SEARCH("@",G834)),"","확인"))</f>
        <v/>
      </c>
    </row>
    <row r="835" spans="1:17" x14ac:dyDescent="0.3">
      <c r="A835" s="35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2" t="s">
        <v>86</v>
      </c>
      <c r="N835" s="23">
        <v>46083</v>
      </c>
      <c r="O835" s="26" t="str">
        <f t="shared" si="42"/>
        <v/>
      </c>
      <c r="P835" s="26" t="str">
        <f t="shared" si="43"/>
        <v/>
      </c>
      <c r="Q835" s="26" t="str">
        <f t="shared" si="44"/>
        <v/>
      </c>
    </row>
    <row r="836" spans="1:17" x14ac:dyDescent="0.3">
      <c r="A836" s="35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2" t="s">
        <v>86</v>
      </c>
      <c r="N836" s="23">
        <v>46083</v>
      </c>
      <c r="O836" s="26" t="str">
        <f t="shared" si="42"/>
        <v/>
      </c>
      <c r="P836" s="26" t="str">
        <f t="shared" si="43"/>
        <v/>
      </c>
      <c r="Q836" s="26" t="str">
        <f t="shared" si="44"/>
        <v/>
      </c>
    </row>
    <row r="837" spans="1:17" x14ac:dyDescent="0.3">
      <c r="A837" s="35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2" t="s">
        <v>86</v>
      </c>
      <c r="N837" s="23">
        <v>46083</v>
      </c>
      <c r="O837" s="26" t="str">
        <f t="shared" si="42"/>
        <v/>
      </c>
      <c r="P837" s="26" t="str">
        <f t="shared" si="43"/>
        <v/>
      </c>
      <c r="Q837" s="26" t="str">
        <f t="shared" si="44"/>
        <v/>
      </c>
    </row>
    <row r="838" spans="1:17" x14ac:dyDescent="0.3">
      <c r="A838" s="35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2" t="s">
        <v>86</v>
      </c>
      <c r="N838" s="23">
        <v>46083</v>
      </c>
      <c r="O838" s="26" t="str">
        <f t="shared" si="42"/>
        <v/>
      </c>
      <c r="P838" s="26" t="str">
        <f t="shared" si="43"/>
        <v/>
      </c>
      <c r="Q838" s="26" t="str">
        <f t="shared" si="44"/>
        <v/>
      </c>
    </row>
    <row r="839" spans="1:17" x14ac:dyDescent="0.3">
      <c r="A839" s="35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2" t="s">
        <v>86</v>
      </c>
      <c r="N839" s="23">
        <v>46083</v>
      </c>
      <c r="O839" s="26" t="str">
        <f t="shared" si="42"/>
        <v/>
      </c>
      <c r="P839" s="26" t="str">
        <f t="shared" si="43"/>
        <v/>
      </c>
      <c r="Q839" s="26" t="str">
        <f t="shared" si="44"/>
        <v/>
      </c>
    </row>
    <row r="840" spans="1:17" x14ac:dyDescent="0.3">
      <c r="A840" s="35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2" t="s">
        <v>86</v>
      </c>
      <c r="N840" s="23">
        <v>46083</v>
      </c>
      <c r="O840" s="26" t="str">
        <f t="shared" si="42"/>
        <v/>
      </c>
      <c r="P840" s="26" t="str">
        <f t="shared" si="43"/>
        <v/>
      </c>
      <c r="Q840" s="26" t="str">
        <f t="shared" si="44"/>
        <v/>
      </c>
    </row>
    <row r="841" spans="1:17" x14ac:dyDescent="0.3">
      <c r="A841" s="35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2" t="s">
        <v>86</v>
      </c>
      <c r="N841" s="23">
        <v>46083</v>
      </c>
      <c r="O841" s="26" t="str">
        <f t="shared" si="42"/>
        <v/>
      </c>
      <c r="P841" s="26" t="str">
        <f t="shared" si="43"/>
        <v/>
      </c>
      <c r="Q841" s="26" t="str">
        <f t="shared" si="44"/>
        <v/>
      </c>
    </row>
    <row r="842" spans="1:17" x14ac:dyDescent="0.3">
      <c r="A842" s="35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2" t="s">
        <v>86</v>
      </c>
      <c r="N842" s="23">
        <v>46083</v>
      </c>
      <c r="O842" s="26" t="str">
        <f t="shared" si="42"/>
        <v/>
      </c>
      <c r="P842" s="26" t="str">
        <f t="shared" si="43"/>
        <v/>
      </c>
      <c r="Q842" s="26" t="str">
        <f t="shared" si="44"/>
        <v/>
      </c>
    </row>
    <row r="843" spans="1:17" x14ac:dyDescent="0.3">
      <c r="A843" s="35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2" t="s">
        <v>86</v>
      </c>
      <c r="N843" s="23">
        <v>46083</v>
      </c>
      <c r="O843" s="26" t="str">
        <f t="shared" si="42"/>
        <v/>
      </c>
      <c r="P843" s="26" t="str">
        <f t="shared" si="43"/>
        <v/>
      </c>
      <c r="Q843" s="26" t="str">
        <f t="shared" si="44"/>
        <v/>
      </c>
    </row>
    <row r="844" spans="1:17" x14ac:dyDescent="0.3">
      <c r="A844" s="35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2" t="s">
        <v>86</v>
      </c>
      <c r="N844" s="23">
        <v>46083</v>
      </c>
      <c r="O844" s="26" t="str">
        <f t="shared" si="42"/>
        <v/>
      </c>
      <c r="P844" s="26" t="str">
        <f t="shared" si="43"/>
        <v/>
      </c>
      <c r="Q844" s="26" t="str">
        <f t="shared" si="44"/>
        <v/>
      </c>
    </row>
    <row r="845" spans="1:17" x14ac:dyDescent="0.3">
      <c r="A845" s="35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2" t="s">
        <v>86</v>
      </c>
      <c r="N845" s="23">
        <v>46083</v>
      </c>
      <c r="O845" s="26" t="str">
        <f t="shared" si="42"/>
        <v/>
      </c>
      <c r="P845" s="26" t="str">
        <f t="shared" si="43"/>
        <v/>
      </c>
      <c r="Q845" s="26" t="str">
        <f t="shared" si="44"/>
        <v/>
      </c>
    </row>
    <row r="846" spans="1:17" x14ac:dyDescent="0.3">
      <c r="A846" s="35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2" t="s">
        <v>86</v>
      </c>
      <c r="N846" s="23">
        <v>46083</v>
      </c>
      <c r="O846" s="26" t="str">
        <f t="shared" si="42"/>
        <v/>
      </c>
      <c r="P846" s="26" t="str">
        <f t="shared" si="43"/>
        <v/>
      </c>
      <c r="Q846" s="26" t="str">
        <f t="shared" si="44"/>
        <v/>
      </c>
    </row>
    <row r="847" spans="1:17" x14ac:dyDescent="0.3">
      <c r="A847" s="35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2" t="s">
        <v>86</v>
      </c>
      <c r="N847" s="23">
        <v>46083</v>
      </c>
      <c r="O847" s="26" t="str">
        <f t="shared" si="42"/>
        <v/>
      </c>
      <c r="P847" s="26" t="str">
        <f t="shared" si="43"/>
        <v/>
      </c>
      <c r="Q847" s="26" t="str">
        <f t="shared" si="44"/>
        <v/>
      </c>
    </row>
    <row r="848" spans="1:17" x14ac:dyDescent="0.3">
      <c r="A848" s="35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2" t="s">
        <v>86</v>
      </c>
      <c r="N848" s="23">
        <v>46083</v>
      </c>
      <c r="O848" s="26" t="str">
        <f t="shared" si="42"/>
        <v/>
      </c>
      <c r="P848" s="26" t="str">
        <f t="shared" si="43"/>
        <v/>
      </c>
      <c r="Q848" s="26" t="str">
        <f t="shared" si="44"/>
        <v/>
      </c>
    </row>
    <row r="849" spans="1:17" x14ac:dyDescent="0.3">
      <c r="A849" s="35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2" t="s">
        <v>86</v>
      </c>
      <c r="N849" s="23">
        <v>46083</v>
      </c>
      <c r="O849" s="26" t="str">
        <f t="shared" si="42"/>
        <v/>
      </c>
      <c r="P849" s="26" t="str">
        <f t="shared" si="43"/>
        <v/>
      </c>
      <c r="Q849" s="26" t="str">
        <f t="shared" si="44"/>
        <v/>
      </c>
    </row>
    <row r="850" spans="1:17" x14ac:dyDescent="0.3">
      <c r="A850" s="35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2" t="s">
        <v>86</v>
      </c>
      <c r="N850" s="23">
        <v>46083</v>
      </c>
      <c r="O850" s="26" t="str">
        <f t="shared" si="42"/>
        <v/>
      </c>
      <c r="P850" s="26" t="str">
        <f t="shared" si="43"/>
        <v/>
      </c>
      <c r="Q850" s="26" t="str">
        <f t="shared" si="44"/>
        <v/>
      </c>
    </row>
    <row r="851" spans="1:17" x14ac:dyDescent="0.3">
      <c r="A851" s="35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2" t="s">
        <v>86</v>
      </c>
      <c r="N851" s="23">
        <v>46083</v>
      </c>
      <c r="O851" s="26" t="str">
        <f t="shared" si="42"/>
        <v/>
      </c>
      <c r="P851" s="26" t="str">
        <f t="shared" si="43"/>
        <v/>
      </c>
      <c r="Q851" s="26" t="str">
        <f t="shared" si="44"/>
        <v/>
      </c>
    </row>
    <row r="852" spans="1:17" x14ac:dyDescent="0.3">
      <c r="A852" s="35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2" t="s">
        <v>86</v>
      </c>
      <c r="N852" s="23">
        <v>46083</v>
      </c>
      <c r="O852" s="26" t="str">
        <f t="shared" si="42"/>
        <v/>
      </c>
      <c r="P852" s="26" t="str">
        <f t="shared" si="43"/>
        <v/>
      </c>
      <c r="Q852" s="26" t="str">
        <f t="shared" si="44"/>
        <v/>
      </c>
    </row>
    <row r="853" spans="1:17" x14ac:dyDescent="0.3">
      <c r="A853" s="35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2" t="s">
        <v>86</v>
      </c>
      <c r="N853" s="23">
        <v>46083</v>
      </c>
      <c r="O853" s="26" t="str">
        <f t="shared" si="42"/>
        <v/>
      </c>
      <c r="P853" s="26" t="str">
        <f t="shared" si="43"/>
        <v/>
      </c>
      <c r="Q853" s="26" t="str">
        <f t="shared" si="44"/>
        <v/>
      </c>
    </row>
    <row r="854" spans="1:17" x14ac:dyDescent="0.3">
      <c r="A854" s="35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2" t="s">
        <v>86</v>
      </c>
      <c r="N854" s="23">
        <v>46083</v>
      </c>
      <c r="O854" s="26" t="str">
        <f t="shared" si="42"/>
        <v/>
      </c>
      <c r="P854" s="26" t="str">
        <f t="shared" si="43"/>
        <v/>
      </c>
      <c r="Q854" s="26" t="str">
        <f t="shared" si="44"/>
        <v/>
      </c>
    </row>
    <row r="855" spans="1:17" x14ac:dyDescent="0.3">
      <c r="A855" s="35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2" t="s">
        <v>86</v>
      </c>
      <c r="N855" s="23">
        <v>46083</v>
      </c>
      <c r="O855" s="26" t="str">
        <f t="shared" si="42"/>
        <v/>
      </c>
      <c r="P855" s="26" t="str">
        <f t="shared" si="43"/>
        <v/>
      </c>
      <c r="Q855" s="26" t="str">
        <f t="shared" si="44"/>
        <v/>
      </c>
    </row>
    <row r="856" spans="1:17" x14ac:dyDescent="0.3">
      <c r="A856" s="35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2" t="s">
        <v>86</v>
      </c>
      <c r="N856" s="23">
        <v>46083</v>
      </c>
      <c r="O856" s="26" t="str">
        <f t="shared" si="42"/>
        <v/>
      </c>
      <c r="P856" s="26" t="str">
        <f t="shared" si="43"/>
        <v/>
      </c>
      <c r="Q856" s="26" t="str">
        <f t="shared" si="44"/>
        <v/>
      </c>
    </row>
    <row r="857" spans="1:17" x14ac:dyDescent="0.3">
      <c r="A857" s="35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2" t="s">
        <v>86</v>
      </c>
      <c r="N857" s="23">
        <v>46083</v>
      </c>
      <c r="O857" s="26" t="str">
        <f t="shared" si="42"/>
        <v/>
      </c>
      <c r="P857" s="26" t="str">
        <f t="shared" si="43"/>
        <v/>
      </c>
      <c r="Q857" s="26" t="str">
        <f t="shared" si="44"/>
        <v/>
      </c>
    </row>
    <row r="858" spans="1:17" x14ac:dyDescent="0.3">
      <c r="A858" s="35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2" t="s">
        <v>86</v>
      </c>
      <c r="N858" s="23">
        <v>46083</v>
      </c>
      <c r="O858" s="26" t="str">
        <f t="shared" si="42"/>
        <v/>
      </c>
      <c r="P858" s="26" t="str">
        <f t="shared" si="43"/>
        <v/>
      </c>
      <c r="Q858" s="26" t="str">
        <f t="shared" si="44"/>
        <v/>
      </c>
    </row>
    <row r="859" spans="1:17" x14ac:dyDescent="0.3">
      <c r="A859" s="35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2" t="s">
        <v>86</v>
      </c>
      <c r="N859" s="23">
        <v>46083</v>
      </c>
      <c r="O859" s="26" t="str">
        <f t="shared" si="42"/>
        <v/>
      </c>
      <c r="P859" s="26" t="str">
        <f t="shared" si="43"/>
        <v/>
      </c>
      <c r="Q859" s="26" t="str">
        <f t="shared" si="44"/>
        <v/>
      </c>
    </row>
    <row r="860" spans="1:17" x14ac:dyDescent="0.3">
      <c r="A860" s="35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2" t="s">
        <v>86</v>
      </c>
      <c r="N860" s="23">
        <v>46083</v>
      </c>
      <c r="O860" s="26" t="str">
        <f t="shared" si="42"/>
        <v/>
      </c>
      <c r="P860" s="26" t="str">
        <f t="shared" si="43"/>
        <v/>
      </c>
      <c r="Q860" s="26" t="str">
        <f t="shared" si="44"/>
        <v/>
      </c>
    </row>
    <row r="861" spans="1:17" x14ac:dyDescent="0.3">
      <c r="A861" s="35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2" t="s">
        <v>86</v>
      </c>
      <c r="N861" s="23">
        <v>46083</v>
      </c>
      <c r="O861" s="26" t="str">
        <f t="shared" si="42"/>
        <v/>
      </c>
      <c r="P861" s="26" t="str">
        <f t="shared" si="43"/>
        <v/>
      </c>
      <c r="Q861" s="26" t="str">
        <f t="shared" si="44"/>
        <v/>
      </c>
    </row>
    <row r="862" spans="1:17" x14ac:dyDescent="0.3">
      <c r="A862" s="35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2" t="s">
        <v>86</v>
      </c>
      <c r="N862" s="23">
        <v>46083</v>
      </c>
      <c r="O862" s="26" t="str">
        <f t="shared" si="42"/>
        <v/>
      </c>
      <c r="P862" s="26" t="str">
        <f t="shared" si="43"/>
        <v/>
      </c>
      <c r="Q862" s="26" t="str">
        <f t="shared" si="44"/>
        <v/>
      </c>
    </row>
    <row r="863" spans="1:17" x14ac:dyDescent="0.3">
      <c r="A863" s="35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2" t="s">
        <v>86</v>
      </c>
      <c r="N863" s="23">
        <v>46083</v>
      </c>
      <c r="O863" s="26" t="str">
        <f t="shared" si="42"/>
        <v/>
      </c>
      <c r="P863" s="26" t="str">
        <f t="shared" si="43"/>
        <v/>
      </c>
      <c r="Q863" s="26" t="str">
        <f t="shared" si="44"/>
        <v/>
      </c>
    </row>
    <row r="864" spans="1:17" x14ac:dyDescent="0.3">
      <c r="A864" s="35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2" t="s">
        <v>86</v>
      </c>
      <c r="N864" s="23">
        <v>46083</v>
      </c>
      <c r="O864" s="26" t="str">
        <f t="shared" si="42"/>
        <v/>
      </c>
      <c r="P864" s="26" t="str">
        <f t="shared" si="43"/>
        <v/>
      </c>
      <c r="Q864" s="26" t="str">
        <f t="shared" si="44"/>
        <v/>
      </c>
    </row>
    <row r="865" spans="1:17" x14ac:dyDescent="0.3">
      <c r="A865" s="35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2" t="s">
        <v>86</v>
      </c>
      <c r="N865" s="23">
        <v>46083</v>
      </c>
      <c r="O865" s="26" t="str">
        <f t="shared" si="42"/>
        <v/>
      </c>
      <c r="P865" s="26" t="str">
        <f t="shared" si="43"/>
        <v/>
      </c>
      <c r="Q865" s="26" t="str">
        <f t="shared" si="44"/>
        <v/>
      </c>
    </row>
    <row r="866" spans="1:17" x14ac:dyDescent="0.3">
      <c r="A866" s="35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2" t="s">
        <v>86</v>
      </c>
      <c r="N866" s="23">
        <v>46083</v>
      </c>
      <c r="O866" s="26" t="str">
        <f t="shared" si="42"/>
        <v/>
      </c>
      <c r="P866" s="26" t="str">
        <f t="shared" si="43"/>
        <v/>
      </c>
      <c r="Q866" s="26" t="str">
        <f t="shared" si="44"/>
        <v/>
      </c>
    </row>
    <row r="867" spans="1:17" x14ac:dyDescent="0.3">
      <c r="A867" s="35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2" t="s">
        <v>86</v>
      </c>
      <c r="N867" s="23">
        <v>46083</v>
      </c>
      <c r="O867" s="26" t="str">
        <f t="shared" si="42"/>
        <v/>
      </c>
      <c r="P867" s="26" t="str">
        <f t="shared" si="43"/>
        <v/>
      </c>
      <c r="Q867" s="26" t="str">
        <f t="shared" si="44"/>
        <v/>
      </c>
    </row>
    <row r="868" spans="1:17" x14ac:dyDescent="0.3">
      <c r="A868" s="35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2" t="s">
        <v>86</v>
      </c>
      <c r="N868" s="23">
        <v>46083</v>
      </c>
      <c r="O868" s="26" t="str">
        <f t="shared" si="42"/>
        <v/>
      </c>
      <c r="P868" s="26" t="str">
        <f t="shared" si="43"/>
        <v/>
      </c>
      <c r="Q868" s="26" t="str">
        <f t="shared" si="44"/>
        <v/>
      </c>
    </row>
    <row r="869" spans="1:17" x14ac:dyDescent="0.3">
      <c r="A869" s="35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2" t="s">
        <v>86</v>
      </c>
      <c r="N869" s="23">
        <v>46083</v>
      </c>
      <c r="O869" s="26" t="str">
        <f t="shared" si="42"/>
        <v/>
      </c>
      <c r="P869" s="26" t="str">
        <f t="shared" si="43"/>
        <v/>
      </c>
      <c r="Q869" s="26" t="str">
        <f t="shared" si="44"/>
        <v/>
      </c>
    </row>
    <row r="870" spans="1:17" x14ac:dyDescent="0.3">
      <c r="A870" s="35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2" t="s">
        <v>86</v>
      </c>
      <c r="N870" s="23">
        <v>46083</v>
      </c>
      <c r="O870" s="26" t="str">
        <f t="shared" si="42"/>
        <v/>
      </c>
      <c r="P870" s="26" t="str">
        <f t="shared" si="43"/>
        <v/>
      </c>
      <c r="Q870" s="26" t="str">
        <f t="shared" si="44"/>
        <v/>
      </c>
    </row>
    <row r="871" spans="1:17" x14ac:dyDescent="0.3">
      <c r="A871" s="35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2" t="s">
        <v>86</v>
      </c>
      <c r="N871" s="23">
        <v>46083</v>
      </c>
      <c r="O871" s="26" t="str">
        <f t="shared" si="42"/>
        <v/>
      </c>
      <c r="P871" s="26" t="str">
        <f t="shared" si="43"/>
        <v/>
      </c>
      <c r="Q871" s="26" t="str">
        <f t="shared" si="44"/>
        <v/>
      </c>
    </row>
    <row r="872" spans="1:17" x14ac:dyDescent="0.3">
      <c r="A872" s="35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2" t="s">
        <v>86</v>
      </c>
      <c r="N872" s="23">
        <v>46083</v>
      </c>
      <c r="O872" s="26" t="str">
        <f t="shared" si="42"/>
        <v/>
      </c>
      <c r="P872" s="26" t="str">
        <f t="shared" si="43"/>
        <v/>
      </c>
      <c r="Q872" s="26" t="str">
        <f t="shared" si="44"/>
        <v/>
      </c>
    </row>
    <row r="873" spans="1:17" x14ac:dyDescent="0.3">
      <c r="A873" s="35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2" t="s">
        <v>86</v>
      </c>
      <c r="N873" s="23">
        <v>46083</v>
      </c>
      <c r="O873" s="26" t="str">
        <f t="shared" si="42"/>
        <v/>
      </c>
      <c r="P873" s="26" t="str">
        <f t="shared" si="43"/>
        <v/>
      </c>
      <c r="Q873" s="26" t="str">
        <f t="shared" si="44"/>
        <v/>
      </c>
    </row>
    <row r="874" spans="1:17" x14ac:dyDescent="0.3">
      <c r="A874" s="35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2" t="s">
        <v>86</v>
      </c>
      <c r="N874" s="23">
        <v>46083</v>
      </c>
      <c r="O874" s="26" t="str">
        <f t="shared" si="42"/>
        <v/>
      </c>
      <c r="P874" s="26" t="str">
        <f t="shared" si="43"/>
        <v/>
      </c>
      <c r="Q874" s="26" t="str">
        <f t="shared" si="44"/>
        <v/>
      </c>
    </row>
    <row r="875" spans="1:17" x14ac:dyDescent="0.3">
      <c r="A875" s="35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2" t="s">
        <v>86</v>
      </c>
      <c r="N875" s="23">
        <v>46083</v>
      </c>
      <c r="O875" s="26" t="str">
        <f t="shared" si="42"/>
        <v/>
      </c>
      <c r="P875" s="26" t="str">
        <f t="shared" si="43"/>
        <v/>
      </c>
      <c r="Q875" s="26" t="str">
        <f t="shared" si="44"/>
        <v/>
      </c>
    </row>
    <row r="876" spans="1:17" x14ac:dyDescent="0.3">
      <c r="A876" s="35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2" t="s">
        <v>86</v>
      </c>
      <c r="N876" s="23">
        <v>46083</v>
      </c>
      <c r="O876" s="26" t="str">
        <f t="shared" si="42"/>
        <v/>
      </c>
      <c r="P876" s="26" t="str">
        <f t="shared" si="43"/>
        <v/>
      </c>
      <c r="Q876" s="26" t="str">
        <f t="shared" si="44"/>
        <v/>
      </c>
    </row>
    <row r="877" spans="1:17" x14ac:dyDescent="0.3">
      <c r="A877" s="35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2" t="s">
        <v>86</v>
      </c>
      <c r="N877" s="23">
        <v>46083</v>
      </c>
      <c r="O877" s="26" t="str">
        <f t="shared" si="42"/>
        <v/>
      </c>
      <c r="P877" s="26" t="str">
        <f t="shared" si="43"/>
        <v/>
      </c>
      <c r="Q877" s="26" t="str">
        <f t="shared" si="44"/>
        <v/>
      </c>
    </row>
    <row r="878" spans="1:17" x14ac:dyDescent="0.3">
      <c r="A878" s="35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2" t="s">
        <v>86</v>
      </c>
      <c r="N878" s="23">
        <v>46083</v>
      </c>
      <c r="O878" s="26" t="str">
        <f t="shared" si="42"/>
        <v/>
      </c>
      <c r="P878" s="26" t="str">
        <f t="shared" si="43"/>
        <v/>
      </c>
      <c r="Q878" s="26" t="str">
        <f t="shared" si="44"/>
        <v/>
      </c>
    </row>
    <row r="879" spans="1:17" x14ac:dyDescent="0.3">
      <c r="A879" s="35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2" t="s">
        <v>86</v>
      </c>
      <c r="N879" s="23">
        <v>46083</v>
      </c>
      <c r="O879" s="26" t="str">
        <f t="shared" si="42"/>
        <v/>
      </c>
      <c r="P879" s="26" t="str">
        <f t="shared" si="43"/>
        <v/>
      </c>
      <c r="Q879" s="26" t="str">
        <f t="shared" si="44"/>
        <v/>
      </c>
    </row>
    <row r="880" spans="1:17" x14ac:dyDescent="0.3">
      <c r="A880" s="35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2" t="s">
        <v>86</v>
      </c>
      <c r="N880" s="23">
        <v>46083</v>
      </c>
      <c r="O880" s="26" t="str">
        <f t="shared" si="42"/>
        <v/>
      </c>
      <c r="P880" s="26" t="str">
        <f t="shared" si="43"/>
        <v/>
      </c>
      <c r="Q880" s="26" t="str">
        <f t="shared" si="44"/>
        <v/>
      </c>
    </row>
    <row r="881" spans="1:17" x14ac:dyDescent="0.3">
      <c r="A881" s="35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2" t="s">
        <v>86</v>
      </c>
      <c r="N881" s="23">
        <v>46083</v>
      </c>
      <c r="O881" s="26" t="str">
        <f t="shared" si="42"/>
        <v/>
      </c>
      <c r="P881" s="26" t="str">
        <f t="shared" si="43"/>
        <v/>
      </c>
      <c r="Q881" s="26" t="str">
        <f t="shared" si="44"/>
        <v/>
      </c>
    </row>
    <row r="882" spans="1:17" x14ac:dyDescent="0.3">
      <c r="A882" s="35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2" t="s">
        <v>86</v>
      </c>
      <c r="N882" s="23">
        <v>46083</v>
      </c>
      <c r="O882" s="26" t="str">
        <f t="shared" si="42"/>
        <v/>
      </c>
      <c r="P882" s="26" t="str">
        <f t="shared" si="43"/>
        <v/>
      </c>
      <c r="Q882" s="26" t="str">
        <f t="shared" si="44"/>
        <v/>
      </c>
    </row>
    <row r="883" spans="1:17" x14ac:dyDescent="0.3">
      <c r="A883" s="35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2" t="s">
        <v>86</v>
      </c>
      <c r="N883" s="23">
        <v>46083</v>
      </c>
      <c r="O883" s="26" t="str">
        <f t="shared" si="42"/>
        <v/>
      </c>
      <c r="P883" s="26" t="str">
        <f t="shared" si="43"/>
        <v/>
      </c>
      <c r="Q883" s="26" t="str">
        <f t="shared" si="44"/>
        <v/>
      </c>
    </row>
    <row r="884" spans="1:17" x14ac:dyDescent="0.3">
      <c r="A884" s="35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2" t="s">
        <v>86</v>
      </c>
      <c r="N884" s="23">
        <v>46083</v>
      </c>
      <c r="O884" s="26" t="str">
        <f t="shared" si="42"/>
        <v/>
      </c>
      <c r="P884" s="26" t="str">
        <f t="shared" si="43"/>
        <v/>
      </c>
      <c r="Q884" s="26" t="str">
        <f t="shared" si="44"/>
        <v/>
      </c>
    </row>
    <row r="885" spans="1:17" x14ac:dyDescent="0.3">
      <c r="A885" s="35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2" t="s">
        <v>86</v>
      </c>
      <c r="N885" s="23">
        <v>46083</v>
      </c>
      <c r="O885" s="26" t="str">
        <f t="shared" si="42"/>
        <v/>
      </c>
      <c r="P885" s="26" t="str">
        <f t="shared" si="43"/>
        <v/>
      </c>
      <c r="Q885" s="26" t="str">
        <f t="shared" si="44"/>
        <v/>
      </c>
    </row>
    <row r="886" spans="1:17" x14ac:dyDescent="0.3">
      <c r="A886" s="35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2" t="s">
        <v>86</v>
      </c>
      <c r="N886" s="23">
        <v>46083</v>
      </c>
      <c r="O886" s="26" t="str">
        <f t="shared" si="42"/>
        <v/>
      </c>
      <c r="P886" s="26" t="str">
        <f t="shared" si="43"/>
        <v/>
      </c>
      <c r="Q886" s="26" t="str">
        <f t="shared" si="44"/>
        <v/>
      </c>
    </row>
    <row r="887" spans="1:17" x14ac:dyDescent="0.3">
      <c r="A887" s="35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2" t="s">
        <v>86</v>
      </c>
      <c r="N887" s="23">
        <v>46083</v>
      </c>
      <c r="O887" s="26" t="str">
        <f t="shared" si="42"/>
        <v/>
      </c>
      <c r="P887" s="26" t="str">
        <f t="shared" si="43"/>
        <v/>
      </c>
      <c r="Q887" s="26" t="str">
        <f t="shared" si="44"/>
        <v/>
      </c>
    </row>
    <row r="888" spans="1:17" x14ac:dyDescent="0.3">
      <c r="A888" s="35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2" t="s">
        <v>86</v>
      </c>
      <c r="N888" s="23">
        <v>46083</v>
      </c>
      <c r="O888" s="26" t="str">
        <f t="shared" si="42"/>
        <v/>
      </c>
      <c r="P888" s="26" t="str">
        <f t="shared" si="43"/>
        <v/>
      </c>
      <c r="Q888" s="26" t="str">
        <f t="shared" si="44"/>
        <v/>
      </c>
    </row>
    <row r="889" spans="1:17" x14ac:dyDescent="0.3">
      <c r="A889" s="35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2" t="s">
        <v>86</v>
      </c>
      <c r="N889" s="23">
        <v>46083</v>
      </c>
      <c r="O889" s="26" t="str">
        <f t="shared" si="42"/>
        <v/>
      </c>
      <c r="P889" s="26" t="str">
        <f t="shared" si="43"/>
        <v/>
      </c>
      <c r="Q889" s="26" t="str">
        <f t="shared" si="44"/>
        <v/>
      </c>
    </row>
    <row r="890" spans="1:17" x14ac:dyDescent="0.3">
      <c r="A890" s="35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2" t="s">
        <v>86</v>
      </c>
      <c r="N890" s="23">
        <v>46083</v>
      </c>
      <c r="O890" s="26" t="str">
        <f t="shared" si="42"/>
        <v/>
      </c>
      <c r="P890" s="26" t="str">
        <f t="shared" si="43"/>
        <v/>
      </c>
      <c r="Q890" s="26" t="str">
        <f t="shared" si="44"/>
        <v/>
      </c>
    </row>
    <row r="891" spans="1:17" x14ac:dyDescent="0.3">
      <c r="A891" s="35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2" t="s">
        <v>86</v>
      </c>
      <c r="N891" s="23">
        <v>46083</v>
      </c>
      <c r="O891" s="26" t="str">
        <f t="shared" si="42"/>
        <v/>
      </c>
      <c r="P891" s="26" t="str">
        <f t="shared" si="43"/>
        <v/>
      </c>
      <c r="Q891" s="26" t="str">
        <f t="shared" si="44"/>
        <v/>
      </c>
    </row>
    <row r="892" spans="1:17" x14ac:dyDescent="0.3">
      <c r="A892" s="35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2" t="s">
        <v>86</v>
      </c>
      <c r="N892" s="23">
        <v>46083</v>
      </c>
      <c r="O892" s="26" t="str">
        <f t="shared" si="42"/>
        <v/>
      </c>
      <c r="P892" s="26" t="str">
        <f t="shared" si="43"/>
        <v/>
      </c>
      <c r="Q892" s="26" t="str">
        <f t="shared" si="44"/>
        <v/>
      </c>
    </row>
    <row r="893" spans="1:17" x14ac:dyDescent="0.3">
      <c r="A893" s="35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2" t="s">
        <v>86</v>
      </c>
      <c r="N893" s="23">
        <v>46083</v>
      </c>
      <c r="O893" s="26" t="str">
        <f t="shared" si="42"/>
        <v/>
      </c>
      <c r="P893" s="26" t="str">
        <f t="shared" si="43"/>
        <v/>
      </c>
      <c r="Q893" s="26" t="str">
        <f t="shared" si="44"/>
        <v/>
      </c>
    </row>
    <row r="894" spans="1:17" x14ac:dyDescent="0.3">
      <c r="A894" s="35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2" t="s">
        <v>86</v>
      </c>
      <c r="N894" s="23">
        <v>46083</v>
      </c>
      <c r="O894" s="26" t="str">
        <f t="shared" si="42"/>
        <v/>
      </c>
      <c r="P894" s="26" t="str">
        <f t="shared" si="43"/>
        <v/>
      </c>
      <c r="Q894" s="26" t="str">
        <f t="shared" si="44"/>
        <v/>
      </c>
    </row>
    <row r="895" spans="1:17" x14ac:dyDescent="0.3">
      <c r="A895" s="35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2" t="s">
        <v>86</v>
      </c>
      <c r="N895" s="23">
        <v>46083</v>
      </c>
      <c r="O895" s="26" t="str">
        <f t="shared" si="42"/>
        <v/>
      </c>
      <c r="P895" s="26" t="str">
        <f t="shared" si="43"/>
        <v/>
      </c>
      <c r="Q895" s="26" t="str">
        <f t="shared" si="44"/>
        <v/>
      </c>
    </row>
    <row r="896" spans="1:17" x14ac:dyDescent="0.3">
      <c r="A896" s="35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2" t="s">
        <v>86</v>
      </c>
      <c r="N896" s="23">
        <v>46083</v>
      </c>
      <c r="O896" s="26" t="str">
        <f t="shared" si="42"/>
        <v/>
      </c>
      <c r="P896" s="26" t="str">
        <f t="shared" si="43"/>
        <v/>
      </c>
      <c r="Q896" s="26" t="str">
        <f t="shared" si="44"/>
        <v/>
      </c>
    </row>
    <row r="897" spans="1:17" x14ac:dyDescent="0.3">
      <c r="A897" s="35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2" t="s">
        <v>86</v>
      </c>
      <c r="N897" s="23">
        <v>46083</v>
      </c>
      <c r="O897" s="26" t="str">
        <f t="shared" si="42"/>
        <v/>
      </c>
      <c r="P897" s="26" t="str">
        <f t="shared" si="43"/>
        <v/>
      </c>
      <c r="Q897" s="26" t="str">
        <f t="shared" si="44"/>
        <v/>
      </c>
    </row>
    <row r="898" spans="1:17" x14ac:dyDescent="0.3">
      <c r="A898" s="35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2" t="s">
        <v>86</v>
      </c>
      <c r="N898" s="23">
        <v>46083</v>
      </c>
      <c r="O898" s="26" t="str">
        <f t="shared" ref="O898:O961" si="45">IF(A898="","",IFERROR(IF(AND(LEN(A898)=10,NOT(ISERROR(VALUE(A898)))),"OK","확인"),"확인"))</f>
        <v/>
      </c>
      <c r="P898" s="26" t="str">
        <f t="shared" ref="P898:P961" si="46">IF(A898="","",IF(COUNTIF($A$2:$A$1946,A898)&gt;1,"중복",""))</f>
        <v/>
      </c>
      <c r="Q898" s="26" t="str">
        <f t="shared" ref="Q898:Q961" si="47">IF(G898="","",IF(ISNUMBER(SEARCH("@",G898)),"","확인"))</f>
        <v/>
      </c>
    </row>
    <row r="899" spans="1:17" x14ac:dyDescent="0.3">
      <c r="A899" s="35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2" t="s">
        <v>86</v>
      </c>
      <c r="N899" s="23">
        <v>46083</v>
      </c>
      <c r="O899" s="26" t="str">
        <f t="shared" si="45"/>
        <v/>
      </c>
      <c r="P899" s="26" t="str">
        <f t="shared" si="46"/>
        <v/>
      </c>
      <c r="Q899" s="26" t="str">
        <f t="shared" si="47"/>
        <v/>
      </c>
    </row>
    <row r="900" spans="1:17" x14ac:dyDescent="0.3">
      <c r="A900" s="35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2" t="s">
        <v>86</v>
      </c>
      <c r="N900" s="23">
        <v>46083</v>
      </c>
      <c r="O900" s="26" t="str">
        <f t="shared" si="45"/>
        <v/>
      </c>
      <c r="P900" s="26" t="str">
        <f t="shared" si="46"/>
        <v/>
      </c>
      <c r="Q900" s="26" t="str">
        <f t="shared" si="47"/>
        <v/>
      </c>
    </row>
    <row r="901" spans="1:17" x14ac:dyDescent="0.3">
      <c r="A901" s="35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2" t="s">
        <v>86</v>
      </c>
      <c r="N901" s="23">
        <v>46083</v>
      </c>
      <c r="O901" s="26" t="str">
        <f t="shared" si="45"/>
        <v/>
      </c>
      <c r="P901" s="26" t="str">
        <f t="shared" si="46"/>
        <v/>
      </c>
      <c r="Q901" s="26" t="str">
        <f t="shared" si="47"/>
        <v/>
      </c>
    </row>
    <row r="902" spans="1:17" x14ac:dyDescent="0.3">
      <c r="A902" s="35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2" t="s">
        <v>86</v>
      </c>
      <c r="N902" s="23">
        <v>46083</v>
      </c>
      <c r="O902" s="26" t="str">
        <f t="shared" si="45"/>
        <v/>
      </c>
      <c r="P902" s="26" t="str">
        <f t="shared" si="46"/>
        <v/>
      </c>
      <c r="Q902" s="26" t="str">
        <f t="shared" si="47"/>
        <v/>
      </c>
    </row>
    <row r="903" spans="1:17" x14ac:dyDescent="0.3">
      <c r="A903" s="35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2" t="s">
        <v>86</v>
      </c>
      <c r="N903" s="23">
        <v>46083</v>
      </c>
      <c r="O903" s="26" t="str">
        <f t="shared" si="45"/>
        <v/>
      </c>
      <c r="P903" s="26" t="str">
        <f t="shared" si="46"/>
        <v/>
      </c>
      <c r="Q903" s="26" t="str">
        <f t="shared" si="47"/>
        <v/>
      </c>
    </row>
    <row r="904" spans="1:17" x14ac:dyDescent="0.3">
      <c r="A904" s="35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2" t="s">
        <v>86</v>
      </c>
      <c r="N904" s="23">
        <v>46083</v>
      </c>
      <c r="O904" s="26" t="str">
        <f t="shared" si="45"/>
        <v/>
      </c>
      <c r="P904" s="26" t="str">
        <f t="shared" si="46"/>
        <v/>
      </c>
      <c r="Q904" s="26" t="str">
        <f t="shared" si="47"/>
        <v/>
      </c>
    </row>
    <row r="905" spans="1:17" x14ac:dyDescent="0.3">
      <c r="A905" s="35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2" t="s">
        <v>86</v>
      </c>
      <c r="N905" s="23">
        <v>46083</v>
      </c>
      <c r="O905" s="26" t="str">
        <f t="shared" si="45"/>
        <v/>
      </c>
      <c r="P905" s="26" t="str">
        <f t="shared" si="46"/>
        <v/>
      </c>
      <c r="Q905" s="26" t="str">
        <f t="shared" si="47"/>
        <v/>
      </c>
    </row>
    <row r="906" spans="1:17" x14ac:dyDescent="0.3">
      <c r="A906" s="35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2" t="s">
        <v>86</v>
      </c>
      <c r="N906" s="23">
        <v>46083</v>
      </c>
      <c r="O906" s="26" t="str">
        <f t="shared" si="45"/>
        <v/>
      </c>
      <c r="P906" s="26" t="str">
        <f t="shared" si="46"/>
        <v/>
      </c>
      <c r="Q906" s="26" t="str">
        <f t="shared" si="47"/>
        <v/>
      </c>
    </row>
    <row r="907" spans="1:17" x14ac:dyDescent="0.3">
      <c r="A907" s="35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2" t="s">
        <v>86</v>
      </c>
      <c r="N907" s="23">
        <v>46083</v>
      </c>
      <c r="O907" s="26" t="str">
        <f t="shared" si="45"/>
        <v/>
      </c>
      <c r="P907" s="26" t="str">
        <f t="shared" si="46"/>
        <v/>
      </c>
      <c r="Q907" s="26" t="str">
        <f t="shared" si="47"/>
        <v/>
      </c>
    </row>
    <row r="908" spans="1:17" x14ac:dyDescent="0.3">
      <c r="A908" s="35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2" t="s">
        <v>86</v>
      </c>
      <c r="N908" s="23">
        <v>46083</v>
      </c>
      <c r="O908" s="26" t="str">
        <f t="shared" si="45"/>
        <v/>
      </c>
      <c r="P908" s="26" t="str">
        <f t="shared" si="46"/>
        <v/>
      </c>
      <c r="Q908" s="26" t="str">
        <f t="shared" si="47"/>
        <v/>
      </c>
    </row>
    <row r="909" spans="1:17" x14ac:dyDescent="0.3">
      <c r="A909" s="35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2" t="s">
        <v>86</v>
      </c>
      <c r="N909" s="23">
        <v>46083</v>
      </c>
      <c r="O909" s="26" t="str">
        <f t="shared" si="45"/>
        <v/>
      </c>
      <c r="P909" s="26" t="str">
        <f t="shared" si="46"/>
        <v/>
      </c>
      <c r="Q909" s="26" t="str">
        <f t="shared" si="47"/>
        <v/>
      </c>
    </row>
    <row r="910" spans="1:17" x14ac:dyDescent="0.3">
      <c r="A910" s="35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2" t="s">
        <v>86</v>
      </c>
      <c r="N910" s="23">
        <v>46083</v>
      </c>
      <c r="O910" s="26" t="str">
        <f t="shared" si="45"/>
        <v/>
      </c>
      <c r="P910" s="26" t="str">
        <f t="shared" si="46"/>
        <v/>
      </c>
      <c r="Q910" s="26" t="str">
        <f t="shared" si="47"/>
        <v/>
      </c>
    </row>
    <row r="911" spans="1:17" x14ac:dyDescent="0.3">
      <c r="A911" s="35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2" t="s">
        <v>86</v>
      </c>
      <c r="N911" s="23">
        <v>46083</v>
      </c>
      <c r="O911" s="26" t="str">
        <f t="shared" si="45"/>
        <v/>
      </c>
      <c r="P911" s="26" t="str">
        <f t="shared" si="46"/>
        <v/>
      </c>
      <c r="Q911" s="26" t="str">
        <f t="shared" si="47"/>
        <v/>
      </c>
    </row>
    <row r="912" spans="1:17" x14ac:dyDescent="0.3">
      <c r="A912" s="35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2" t="s">
        <v>86</v>
      </c>
      <c r="N912" s="23">
        <v>46083</v>
      </c>
      <c r="O912" s="26" t="str">
        <f t="shared" si="45"/>
        <v/>
      </c>
      <c r="P912" s="26" t="str">
        <f t="shared" si="46"/>
        <v/>
      </c>
      <c r="Q912" s="26" t="str">
        <f t="shared" si="47"/>
        <v/>
      </c>
    </row>
    <row r="913" spans="1:17" x14ac:dyDescent="0.3">
      <c r="A913" s="35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2" t="s">
        <v>86</v>
      </c>
      <c r="N913" s="23">
        <v>46083</v>
      </c>
      <c r="O913" s="26" t="str">
        <f t="shared" si="45"/>
        <v/>
      </c>
      <c r="P913" s="26" t="str">
        <f t="shared" si="46"/>
        <v/>
      </c>
      <c r="Q913" s="26" t="str">
        <f t="shared" si="47"/>
        <v/>
      </c>
    </row>
    <row r="914" spans="1:17" x14ac:dyDescent="0.3">
      <c r="A914" s="35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2" t="s">
        <v>86</v>
      </c>
      <c r="N914" s="23">
        <v>46083</v>
      </c>
      <c r="O914" s="26" t="str">
        <f t="shared" si="45"/>
        <v/>
      </c>
      <c r="P914" s="26" t="str">
        <f t="shared" si="46"/>
        <v/>
      </c>
      <c r="Q914" s="26" t="str">
        <f t="shared" si="47"/>
        <v/>
      </c>
    </row>
    <row r="915" spans="1:17" x14ac:dyDescent="0.3">
      <c r="A915" s="35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2" t="s">
        <v>86</v>
      </c>
      <c r="N915" s="23">
        <v>46083</v>
      </c>
      <c r="O915" s="26" t="str">
        <f t="shared" si="45"/>
        <v/>
      </c>
      <c r="P915" s="26" t="str">
        <f t="shared" si="46"/>
        <v/>
      </c>
      <c r="Q915" s="26" t="str">
        <f t="shared" si="47"/>
        <v/>
      </c>
    </row>
    <row r="916" spans="1:17" x14ac:dyDescent="0.3">
      <c r="A916" s="35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2" t="s">
        <v>86</v>
      </c>
      <c r="N916" s="23">
        <v>46083</v>
      </c>
      <c r="O916" s="26" t="str">
        <f t="shared" si="45"/>
        <v/>
      </c>
      <c r="P916" s="26" t="str">
        <f t="shared" si="46"/>
        <v/>
      </c>
      <c r="Q916" s="26" t="str">
        <f t="shared" si="47"/>
        <v/>
      </c>
    </row>
    <row r="917" spans="1:17" x14ac:dyDescent="0.3">
      <c r="A917" s="35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2" t="s">
        <v>86</v>
      </c>
      <c r="N917" s="23">
        <v>46083</v>
      </c>
      <c r="O917" s="26" t="str">
        <f t="shared" si="45"/>
        <v/>
      </c>
      <c r="P917" s="26" t="str">
        <f t="shared" si="46"/>
        <v/>
      </c>
      <c r="Q917" s="26" t="str">
        <f t="shared" si="47"/>
        <v/>
      </c>
    </row>
    <row r="918" spans="1:17" x14ac:dyDescent="0.3">
      <c r="A918" s="35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2" t="s">
        <v>86</v>
      </c>
      <c r="N918" s="23">
        <v>46083</v>
      </c>
      <c r="O918" s="26" t="str">
        <f t="shared" si="45"/>
        <v/>
      </c>
      <c r="P918" s="26" t="str">
        <f t="shared" si="46"/>
        <v/>
      </c>
      <c r="Q918" s="26" t="str">
        <f t="shared" si="47"/>
        <v/>
      </c>
    </row>
    <row r="919" spans="1:17" x14ac:dyDescent="0.3">
      <c r="A919" s="35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2" t="s">
        <v>86</v>
      </c>
      <c r="N919" s="23">
        <v>46083</v>
      </c>
      <c r="O919" s="26" t="str">
        <f t="shared" si="45"/>
        <v/>
      </c>
      <c r="P919" s="26" t="str">
        <f t="shared" si="46"/>
        <v/>
      </c>
      <c r="Q919" s="26" t="str">
        <f t="shared" si="47"/>
        <v/>
      </c>
    </row>
    <row r="920" spans="1:17" x14ac:dyDescent="0.3">
      <c r="A920" s="35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2" t="s">
        <v>86</v>
      </c>
      <c r="N920" s="23">
        <v>46083</v>
      </c>
      <c r="O920" s="26" t="str">
        <f t="shared" si="45"/>
        <v/>
      </c>
      <c r="P920" s="26" t="str">
        <f t="shared" si="46"/>
        <v/>
      </c>
      <c r="Q920" s="26" t="str">
        <f t="shared" si="47"/>
        <v/>
      </c>
    </row>
    <row r="921" spans="1:17" x14ac:dyDescent="0.3">
      <c r="A921" s="35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2" t="s">
        <v>86</v>
      </c>
      <c r="N921" s="23">
        <v>46083</v>
      </c>
      <c r="O921" s="26" t="str">
        <f t="shared" si="45"/>
        <v/>
      </c>
      <c r="P921" s="26" t="str">
        <f t="shared" si="46"/>
        <v/>
      </c>
      <c r="Q921" s="26" t="str">
        <f t="shared" si="47"/>
        <v/>
      </c>
    </row>
    <row r="922" spans="1:17" x14ac:dyDescent="0.3">
      <c r="A922" s="35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2" t="s">
        <v>86</v>
      </c>
      <c r="N922" s="23">
        <v>46083</v>
      </c>
      <c r="O922" s="26" t="str">
        <f t="shared" si="45"/>
        <v/>
      </c>
      <c r="P922" s="26" t="str">
        <f t="shared" si="46"/>
        <v/>
      </c>
      <c r="Q922" s="26" t="str">
        <f t="shared" si="47"/>
        <v/>
      </c>
    </row>
    <row r="923" spans="1:17" x14ac:dyDescent="0.3">
      <c r="A923" s="35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2" t="s">
        <v>86</v>
      </c>
      <c r="N923" s="23">
        <v>46083</v>
      </c>
      <c r="O923" s="26" t="str">
        <f t="shared" si="45"/>
        <v/>
      </c>
      <c r="P923" s="26" t="str">
        <f t="shared" si="46"/>
        <v/>
      </c>
      <c r="Q923" s="26" t="str">
        <f t="shared" si="47"/>
        <v/>
      </c>
    </row>
    <row r="924" spans="1:17" x14ac:dyDescent="0.3">
      <c r="A924" s="35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2" t="s">
        <v>86</v>
      </c>
      <c r="N924" s="23">
        <v>46083</v>
      </c>
      <c r="O924" s="26" t="str">
        <f t="shared" si="45"/>
        <v/>
      </c>
      <c r="P924" s="26" t="str">
        <f t="shared" si="46"/>
        <v/>
      </c>
      <c r="Q924" s="26" t="str">
        <f t="shared" si="47"/>
        <v/>
      </c>
    </row>
    <row r="925" spans="1:17" x14ac:dyDescent="0.3">
      <c r="A925" s="35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2" t="s">
        <v>86</v>
      </c>
      <c r="N925" s="23">
        <v>46083</v>
      </c>
      <c r="O925" s="26" t="str">
        <f t="shared" si="45"/>
        <v/>
      </c>
      <c r="P925" s="26" t="str">
        <f t="shared" si="46"/>
        <v/>
      </c>
      <c r="Q925" s="26" t="str">
        <f t="shared" si="47"/>
        <v/>
      </c>
    </row>
    <row r="926" spans="1:17" x14ac:dyDescent="0.3">
      <c r="A926" s="35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2" t="s">
        <v>86</v>
      </c>
      <c r="N926" s="23">
        <v>46083</v>
      </c>
      <c r="O926" s="26" t="str">
        <f t="shared" si="45"/>
        <v/>
      </c>
      <c r="P926" s="26" t="str">
        <f t="shared" si="46"/>
        <v/>
      </c>
      <c r="Q926" s="26" t="str">
        <f t="shared" si="47"/>
        <v/>
      </c>
    </row>
    <row r="927" spans="1:17" x14ac:dyDescent="0.3">
      <c r="A927" s="35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2" t="s">
        <v>86</v>
      </c>
      <c r="N927" s="23">
        <v>46083</v>
      </c>
      <c r="O927" s="26" t="str">
        <f t="shared" si="45"/>
        <v/>
      </c>
      <c r="P927" s="26" t="str">
        <f t="shared" si="46"/>
        <v/>
      </c>
      <c r="Q927" s="26" t="str">
        <f t="shared" si="47"/>
        <v/>
      </c>
    </row>
    <row r="928" spans="1:17" x14ac:dyDescent="0.3">
      <c r="A928" s="35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2" t="s">
        <v>86</v>
      </c>
      <c r="N928" s="23">
        <v>46083</v>
      </c>
      <c r="O928" s="26" t="str">
        <f t="shared" si="45"/>
        <v/>
      </c>
      <c r="P928" s="26" t="str">
        <f t="shared" si="46"/>
        <v/>
      </c>
      <c r="Q928" s="26" t="str">
        <f t="shared" si="47"/>
        <v/>
      </c>
    </row>
    <row r="929" spans="1:17" x14ac:dyDescent="0.3">
      <c r="A929" s="35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2" t="s">
        <v>86</v>
      </c>
      <c r="N929" s="23">
        <v>46083</v>
      </c>
      <c r="O929" s="26" t="str">
        <f t="shared" si="45"/>
        <v/>
      </c>
      <c r="P929" s="26" t="str">
        <f t="shared" si="46"/>
        <v/>
      </c>
      <c r="Q929" s="26" t="str">
        <f t="shared" si="47"/>
        <v/>
      </c>
    </row>
    <row r="930" spans="1:17" x14ac:dyDescent="0.3">
      <c r="A930" s="35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2" t="s">
        <v>86</v>
      </c>
      <c r="N930" s="23">
        <v>46083</v>
      </c>
      <c r="O930" s="26" t="str">
        <f t="shared" si="45"/>
        <v/>
      </c>
      <c r="P930" s="26" t="str">
        <f t="shared" si="46"/>
        <v/>
      </c>
      <c r="Q930" s="26" t="str">
        <f t="shared" si="47"/>
        <v/>
      </c>
    </row>
    <row r="931" spans="1:17" x14ac:dyDescent="0.3">
      <c r="A931" s="35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2" t="s">
        <v>86</v>
      </c>
      <c r="N931" s="23">
        <v>46083</v>
      </c>
      <c r="O931" s="26" t="str">
        <f t="shared" si="45"/>
        <v/>
      </c>
      <c r="P931" s="26" t="str">
        <f t="shared" si="46"/>
        <v/>
      </c>
      <c r="Q931" s="26" t="str">
        <f t="shared" si="47"/>
        <v/>
      </c>
    </row>
    <row r="932" spans="1:17" x14ac:dyDescent="0.3">
      <c r="A932" s="35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2" t="s">
        <v>86</v>
      </c>
      <c r="N932" s="23">
        <v>46083</v>
      </c>
      <c r="O932" s="26" t="str">
        <f t="shared" si="45"/>
        <v/>
      </c>
      <c r="P932" s="26" t="str">
        <f t="shared" si="46"/>
        <v/>
      </c>
      <c r="Q932" s="26" t="str">
        <f t="shared" si="47"/>
        <v/>
      </c>
    </row>
    <row r="933" spans="1:17" x14ac:dyDescent="0.3">
      <c r="A933" s="35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2" t="s">
        <v>86</v>
      </c>
      <c r="N933" s="23">
        <v>46083</v>
      </c>
      <c r="O933" s="26" t="str">
        <f t="shared" si="45"/>
        <v/>
      </c>
      <c r="P933" s="26" t="str">
        <f t="shared" si="46"/>
        <v/>
      </c>
      <c r="Q933" s="26" t="str">
        <f t="shared" si="47"/>
        <v/>
      </c>
    </row>
    <row r="934" spans="1:17" x14ac:dyDescent="0.3">
      <c r="A934" s="35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2" t="s">
        <v>86</v>
      </c>
      <c r="N934" s="23">
        <v>46083</v>
      </c>
      <c r="O934" s="26" t="str">
        <f t="shared" si="45"/>
        <v/>
      </c>
      <c r="P934" s="26" t="str">
        <f t="shared" si="46"/>
        <v/>
      </c>
      <c r="Q934" s="26" t="str">
        <f t="shared" si="47"/>
        <v/>
      </c>
    </row>
    <row r="935" spans="1:17" x14ac:dyDescent="0.3">
      <c r="A935" s="35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2" t="s">
        <v>86</v>
      </c>
      <c r="N935" s="23">
        <v>46083</v>
      </c>
      <c r="O935" s="26" t="str">
        <f t="shared" si="45"/>
        <v/>
      </c>
      <c r="P935" s="26" t="str">
        <f t="shared" si="46"/>
        <v/>
      </c>
      <c r="Q935" s="26" t="str">
        <f t="shared" si="47"/>
        <v/>
      </c>
    </row>
    <row r="936" spans="1:17" x14ac:dyDescent="0.3">
      <c r="A936" s="35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2" t="s">
        <v>86</v>
      </c>
      <c r="N936" s="23">
        <v>46083</v>
      </c>
      <c r="O936" s="26" t="str">
        <f t="shared" si="45"/>
        <v/>
      </c>
      <c r="P936" s="26" t="str">
        <f t="shared" si="46"/>
        <v/>
      </c>
      <c r="Q936" s="26" t="str">
        <f t="shared" si="47"/>
        <v/>
      </c>
    </row>
    <row r="937" spans="1:17" x14ac:dyDescent="0.3">
      <c r="A937" s="35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2" t="s">
        <v>86</v>
      </c>
      <c r="N937" s="23">
        <v>46083</v>
      </c>
      <c r="O937" s="26" t="str">
        <f t="shared" si="45"/>
        <v/>
      </c>
      <c r="P937" s="26" t="str">
        <f t="shared" si="46"/>
        <v/>
      </c>
      <c r="Q937" s="26" t="str">
        <f t="shared" si="47"/>
        <v/>
      </c>
    </row>
    <row r="938" spans="1:17" x14ac:dyDescent="0.3">
      <c r="A938" s="35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2" t="s">
        <v>86</v>
      </c>
      <c r="N938" s="23">
        <v>46083</v>
      </c>
      <c r="O938" s="26" t="str">
        <f t="shared" si="45"/>
        <v/>
      </c>
      <c r="P938" s="26" t="str">
        <f t="shared" si="46"/>
        <v/>
      </c>
      <c r="Q938" s="26" t="str">
        <f t="shared" si="47"/>
        <v/>
      </c>
    </row>
    <row r="939" spans="1:17" x14ac:dyDescent="0.3">
      <c r="A939" s="35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2" t="s">
        <v>86</v>
      </c>
      <c r="N939" s="23">
        <v>46083</v>
      </c>
      <c r="O939" s="26" t="str">
        <f t="shared" si="45"/>
        <v/>
      </c>
      <c r="P939" s="26" t="str">
        <f t="shared" si="46"/>
        <v/>
      </c>
      <c r="Q939" s="26" t="str">
        <f t="shared" si="47"/>
        <v/>
      </c>
    </row>
    <row r="940" spans="1:17" x14ac:dyDescent="0.3">
      <c r="A940" s="35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2" t="s">
        <v>86</v>
      </c>
      <c r="N940" s="23">
        <v>46083</v>
      </c>
      <c r="O940" s="26" t="str">
        <f t="shared" si="45"/>
        <v/>
      </c>
      <c r="P940" s="26" t="str">
        <f t="shared" si="46"/>
        <v/>
      </c>
      <c r="Q940" s="26" t="str">
        <f t="shared" si="47"/>
        <v/>
      </c>
    </row>
    <row r="941" spans="1:17" x14ac:dyDescent="0.3">
      <c r="A941" s="35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2" t="s">
        <v>86</v>
      </c>
      <c r="N941" s="23">
        <v>46083</v>
      </c>
      <c r="O941" s="26" t="str">
        <f t="shared" si="45"/>
        <v/>
      </c>
      <c r="P941" s="26" t="str">
        <f t="shared" si="46"/>
        <v/>
      </c>
      <c r="Q941" s="26" t="str">
        <f t="shared" si="47"/>
        <v/>
      </c>
    </row>
    <row r="942" spans="1:17" x14ac:dyDescent="0.3">
      <c r="A942" s="35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2" t="s">
        <v>86</v>
      </c>
      <c r="N942" s="23">
        <v>46083</v>
      </c>
      <c r="O942" s="26" t="str">
        <f t="shared" si="45"/>
        <v/>
      </c>
      <c r="P942" s="26" t="str">
        <f t="shared" si="46"/>
        <v/>
      </c>
      <c r="Q942" s="26" t="str">
        <f t="shared" si="47"/>
        <v/>
      </c>
    </row>
    <row r="943" spans="1:17" x14ac:dyDescent="0.3">
      <c r="A943" s="35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2" t="s">
        <v>86</v>
      </c>
      <c r="N943" s="23">
        <v>46083</v>
      </c>
      <c r="O943" s="26" t="str">
        <f t="shared" si="45"/>
        <v/>
      </c>
      <c r="P943" s="26" t="str">
        <f t="shared" si="46"/>
        <v/>
      </c>
      <c r="Q943" s="26" t="str">
        <f t="shared" si="47"/>
        <v/>
      </c>
    </row>
    <row r="944" spans="1:17" x14ac:dyDescent="0.3">
      <c r="A944" s="35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2" t="s">
        <v>86</v>
      </c>
      <c r="N944" s="23">
        <v>46083</v>
      </c>
      <c r="O944" s="26" t="str">
        <f t="shared" si="45"/>
        <v/>
      </c>
      <c r="P944" s="26" t="str">
        <f t="shared" si="46"/>
        <v/>
      </c>
      <c r="Q944" s="26" t="str">
        <f t="shared" si="47"/>
        <v/>
      </c>
    </row>
    <row r="945" spans="1:17" x14ac:dyDescent="0.3">
      <c r="A945" s="35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2" t="s">
        <v>86</v>
      </c>
      <c r="N945" s="23">
        <v>46083</v>
      </c>
      <c r="O945" s="26" t="str">
        <f t="shared" si="45"/>
        <v/>
      </c>
      <c r="P945" s="26" t="str">
        <f t="shared" si="46"/>
        <v/>
      </c>
      <c r="Q945" s="26" t="str">
        <f t="shared" si="47"/>
        <v/>
      </c>
    </row>
    <row r="946" spans="1:17" x14ac:dyDescent="0.3">
      <c r="A946" s="35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2" t="s">
        <v>86</v>
      </c>
      <c r="N946" s="23">
        <v>46083</v>
      </c>
      <c r="O946" s="26" t="str">
        <f t="shared" si="45"/>
        <v/>
      </c>
      <c r="P946" s="26" t="str">
        <f t="shared" si="46"/>
        <v/>
      </c>
      <c r="Q946" s="26" t="str">
        <f t="shared" si="47"/>
        <v/>
      </c>
    </row>
    <row r="947" spans="1:17" x14ac:dyDescent="0.3">
      <c r="A947" s="35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2" t="s">
        <v>86</v>
      </c>
      <c r="N947" s="23">
        <v>46083</v>
      </c>
      <c r="O947" s="26" t="str">
        <f t="shared" si="45"/>
        <v/>
      </c>
      <c r="P947" s="26" t="str">
        <f t="shared" si="46"/>
        <v/>
      </c>
      <c r="Q947" s="26" t="str">
        <f t="shared" si="47"/>
        <v/>
      </c>
    </row>
    <row r="948" spans="1:17" x14ac:dyDescent="0.3">
      <c r="A948" s="35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2" t="s">
        <v>86</v>
      </c>
      <c r="N948" s="23">
        <v>46083</v>
      </c>
      <c r="O948" s="26" t="str">
        <f t="shared" si="45"/>
        <v/>
      </c>
      <c r="P948" s="26" t="str">
        <f t="shared" si="46"/>
        <v/>
      </c>
      <c r="Q948" s="26" t="str">
        <f t="shared" si="47"/>
        <v/>
      </c>
    </row>
    <row r="949" spans="1:17" x14ac:dyDescent="0.3">
      <c r="A949" s="35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2" t="s">
        <v>86</v>
      </c>
      <c r="N949" s="23">
        <v>46083</v>
      </c>
      <c r="O949" s="26" t="str">
        <f t="shared" si="45"/>
        <v/>
      </c>
      <c r="P949" s="26" t="str">
        <f t="shared" si="46"/>
        <v/>
      </c>
      <c r="Q949" s="26" t="str">
        <f t="shared" si="47"/>
        <v/>
      </c>
    </row>
    <row r="950" spans="1:17" x14ac:dyDescent="0.3">
      <c r="A950" s="35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2" t="s">
        <v>86</v>
      </c>
      <c r="N950" s="23">
        <v>46083</v>
      </c>
      <c r="O950" s="26" t="str">
        <f t="shared" si="45"/>
        <v/>
      </c>
      <c r="P950" s="26" t="str">
        <f t="shared" si="46"/>
        <v/>
      </c>
      <c r="Q950" s="26" t="str">
        <f t="shared" si="47"/>
        <v/>
      </c>
    </row>
    <row r="951" spans="1:17" x14ac:dyDescent="0.3">
      <c r="A951" s="35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2" t="s">
        <v>86</v>
      </c>
      <c r="N951" s="23">
        <v>46083</v>
      </c>
      <c r="O951" s="26" t="str">
        <f t="shared" si="45"/>
        <v/>
      </c>
      <c r="P951" s="26" t="str">
        <f t="shared" si="46"/>
        <v/>
      </c>
      <c r="Q951" s="26" t="str">
        <f t="shared" si="47"/>
        <v/>
      </c>
    </row>
    <row r="952" spans="1:17" x14ac:dyDescent="0.3">
      <c r="A952" s="35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2" t="s">
        <v>86</v>
      </c>
      <c r="N952" s="23">
        <v>46083</v>
      </c>
      <c r="O952" s="26" t="str">
        <f t="shared" si="45"/>
        <v/>
      </c>
      <c r="P952" s="26" t="str">
        <f t="shared" si="46"/>
        <v/>
      </c>
      <c r="Q952" s="26" t="str">
        <f t="shared" si="47"/>
        <v/>
      </c>
    </row>
    <row r="953" spans="1:17" x14ac:dyDescent="0.3">
      <c r="A953" s="35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2" t="s">
        <v>86</v>
      </c>
      <c r="N953" s="23">
        <v>46083</v>
      </c>
      <c r="O953" s="26" t="str">
        <f t="shared" si="45"/>
        <v/>
      </c>
      <c r="P953" s="26" t="str">
        <f t="shared" si="46"/>
        <v/>
      </c>
      <c r="Q953" s="26" t="str">
        <f t="shared" si="47"/>
        <v/>
      </c>
    </row>
    <row r="954" spans="1:17" x14ac:dyDescent="0.3">
      <c r="A954" s="35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2" t="s">
        <v>86</v>
      </c>
      <c r="N954" s="23">
        <v>46083</v>
      </c>
      <c r="O954" s="26" t="str">
        <f t="shared" si="45"/>
        <v/>
      </c>
      <c r="P954" s="26" t="str">
        <f t="shared" si="46"/>
        <v/>
      </c>
      <c r="Q954" s="26" t="str">
        <f t="shared" si="47"/>
        <v/>
      </c>
    </row>
    <row r="955" spans="1:17" x14ac:dyDescent="0.3">
      <c r="A955" s="35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2" t="s">
        <v>86</v>
      </c>
      <c r="N955" s="23">
        <v>46083</v>
      </c>
      <c r="O955" s="26" t="str">
        <f t="shared" si="45"/>
        <v/>
      </c>
      <c r="P955" s="26" t="str">
        <f t="shared" si="46"/>
        <v/>
      </c>
      <c r="Q955" s="26" t="str">
        <f t="shared" si="47"/>
        <v/>
      </c>
    </row>
    <row r="956" spans="1:17" x14ac:dyDescent="0.3">
      <c r="A956" s="35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2" t="s">
        <v>86</v>
      </c>
      <c r="N956" s="23">
        <v>46083</v>
      </c>
      <c r="O956" s="26" t="str">
        <f t="shared" si="45"/>
        <v/>
      </c>
      <c r="P956" s="26" t="str">
        <f t="shared" si="46"/>
        <v/>
      </c>
      <c r="Q956" s="26" t="str">
        <f t="shared" si="47"/>
        <v/>
      </c>
    </row>
    <row r="957" spans="1:17" x14ac:dyDescent="0.3">
      <c r="A957" s="35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2" t="s">
        <v>86</v>
      </c>
      <c r="N957" s="23">
        <v>46083</v>
      </c>
      <c r="O957" s="26" t="str">
        <f t="shared" si="45"/>
        <v/>
      </c>
      <c r="P957" s="26" t="str">
        <f t="shared" si="46"/>
        <v/>
      </c>
      <c r="Q957" s="26" t="str">
        <f t="shared" si="47"/>
        <v/>
      </c>
    </row>
    <row r="958" spans="1:17" x14ac:dyDescent="0.3">
      <c r="A958" s="35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2" t="s">
        <v>86</v>
      </c>
      <c r="N958" s="23">
        <v>46083</v>
      </c>
      <c r="O958" s="26" t="str">
        <f t="shared" si="45"/>
        <v/>
      </c>
      <c r="P958" s="26" t="str">
        <f t="shared" si="46"/>
        <v/>
      </c>
      <c r="Q958" s="26" t="str">
        <f t="shared" si="47"/>
        <v/>
      </c>
    </row>
    <row r="959" spans="1:17" x14ac:dyDescent="0.3">
      <c r="A959" s="35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2" t="s">
        <v>86</v>
      </c>
      <c r="N959" s="23">
        <v>46083</v>
      </c>
      <c r="O959" s="26" t="str">
        <f t="shared" si="45"/>
        <v/>
      </c>
      <c r="P959" s="26" t="str">
        <f t="shared" si="46"/>
        <v/>
      </c>
      <c r="Q959" s="26" t="str">
        <f t="shared" si="47"/>
        <v/>
      </c>
    </row>
    <row r="960" spans="1:17" x14ac:dyDescent="0.3">
      <c r="A960" s="35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2" t="s">
        <v>86</v>
      </c>
      <c r="N960" s="23">
        <v>46083</v>
      </c>
      <c r="O960" s="26" t="str">
        <f t="shared" si="45"/>
        <v/>
      </c>
      <c r="P960" s="26" t="str">
        <f t="shared" si="46"/>
        <v/>
      </c>
      <c r="Q960" s="26" t="str">
        <f t="shared" si="47"/>
        <v/>
      </c>
    </row>
    <row r="961" spans="1:17" x14ac:dyDescent="0.3">
      <c r="A961" s="35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2" t="s">
        <v>86</v>
      </c>
      <c r="N961" s="23">
        <v>46083</v>
      </c>
      <c r="O961" s="26" t="str">
        <f t="shared" si="45"/>
        <v/>
      </c>
      <c r="P961" s="26" t="str">
        <f t="shared" si="46"/>
        <v/>
      </c>
      <c r="Q961" s="26" t="str">
        <f t="shared" si="47"/>
        <v/>
      </c>
    </row>
    <row r="962" spans="1:17" x14ac:dyDescent="0.3">
      <c r="A962" s="35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2" t="s">
        <v>86</v>
      </c>
      <c r="N962" s="23">
        <v>46083</v>
      </c>
      <c r="O962" s="26" t="str">
        <f t="shared" ref="O962:O1025" si="48">IF(A962="","",IFERROR(IF(AND(LEN(A962)=10,NOT(ISERROR(VALUE(A962)))),"OK","확인"),"확인"))</f>
        <v/>
      </c>
      <c r="P962" s="26" t="str">
        <f t="shared" ref="P962:P1025" si="49">IF(A962="","",IF(COUNTIF($A$2:$A$1946,A962)&gt;1,"중복",""))</f>
        <v/>
      </c>
      <c r="Q962" s="26" t="str">
        <f t="shared" ref="Q962:Q1025" si="50">IF(G962="","",IF(ISNUMBER(SEARCH("@",G962)),"","확인"))</f>
        <v/>
      </c>
    </row>
    <row r="963" spans="1:17" x14ac:dyDescent="0.3">
      <c r="A963" s="35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2" t="s">
        <v>86</v>
      </c>
      <c r="N963" s="23">
        <v>46083</v>
      </c>
      <c r="O963" s="26" t="str">
        <f t="shared" si="48"/>
        <v/>
      </c>
      <c r="P963" s="26" t="str">
        <f t="shared" si="49"/>
        <v/>
      </c>
      <c r="Q963" s="26" t="str">
        <f t="shared" si="50"/>
        <v/>
      </c>
    </row>
    <row r="964" spans="1:17" x14ac:dyDescent="0.3">
      <c r="A964" s="35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2" t="s">
        <v>86</v>
      </c>
      <c r="N964" s="23">
        <v>46083</v>
      </c>
      <c r="O964" s="26" t="str">
        <f t="shared" si="48"/>
        <v/>
      </c>
      <c r="P964" s="26" t="str">
        <f t="shared" si="49"/>
        <v/>
      </c>
      <c r="Q964" s="26" t="str">
        <f t="shared" si="50"/>
        <v/>
      </c>
    </row>
    <row r="965" spans="1:17" x14ac:dyDescent="0.3">
      <c r="A965" s="35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2" t="s">
        <v>86</v>
      </c>
      <c r="N965" s="23">
        <v>46083</v>
      </c>
      <c r="O965" s="26" t="str">
        <f t="shared" si="48"/>
        <v/>
      </c>
      <c r="P965" s="26" t="str">
        <f t="shared" si="49"/>
        <v/>
      </c>
      <c r="Q965" s="26" t="str">
        <f t="shared" si="50"/>
        <v/>
      </c>
    </row>
    <row r="966" spans="1:17" x14ac:dyDescent="0.3">
      <c r="A966" s="35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2" t="s">
        <v>86</v>
      </c>
      <c r="N966" s="23">
        <v>46083</v>
      </c>
      <c r="O966" s="26" t="str">
        <f t="shared" si="48"/>
        <v/>
      </c>
      <c r="P966" s="26" t="str">
        <f t="shared" si="49"/>
        <v/>
      </c>
      <c r="Q966" s="26" t="str">
        <f t="shared" si="50"/>
        <v/>
      </c>
    </row>
    <row r="967" spans="1:17" x14ac:dyDescent="0.3">
      <c r="A967" s="35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2" t="s">
        <v>86</v>
      </c>
      <c r="N967" s="23">
        <v>46083</v>
      </c>
      <c r="O967" s="26" t="str">
        <f t="shared" si="48"/>
        <v/>
      </c>
      <c r="P967" s="26" t="str">
        <f t="shared" si="49"/>
        <v/>
      </c>
      <c r="Q967" s="26" t="str">
        <f t="shared" si="50"/>
        <v/>
      </c>
    </row>
    <row r="968" spans="1:17" x14ac:dyDescent="0.3">
      <c r="A968" s="35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2" t="s">
        <v>86</v>
      </c>
      <c r="N968" s="23">
        <v>46083</v>
      </c>
      <c r="O968" s="26" t="str">
        <f t="shared" si="48"/>
        <v/>
      </c>
      <c r="P968" s="26" t="str">
        <f t="shared" si="49"/>
        <v/>
      </c>
      <c r="Q968" s="26" t="str">
        <f t="shared" si="50"/>
        <v/>
      </c>
    </row>
    <row r="969" spans="1:17" x14ac:dyDescent="0.3">
      <c r="A969" s="35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2" t="s">
        <v>86</v>
      </c>
      <c r="N969" s="23">
        <v>46083</v>
      </c>
      <c r="O969" s="26" t="str">
        <f t="shared" si="48"/>
        <v/>
      </c>
      <c r="P969" s="26" t="str">
        <f t="shared" si="49"/>
        <v/>
      </c>
      <c r="Q969" s="26" t="str">
        <f t="shared" si="50"/>
        <v/>
      </c>
    </row>
    <row r="970" spans="1:17" x14ac:dyDescent="0.3">
      <c r="A970" s="35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2" t="s">
        <v>86</v>
      </c>
      <c r="N970" s="23">
        <v>46083</v>
      </c>
      <c r="O970" s="26" t="str">
        <f t="shared" si="48"/>
        <v/>
      </c>
      <c r="P970" s="26" t="str">
        <f t="shared" si="49"/>
        <v/>
      </c>
      <c r="Q970" s="26" t="str">
        <f t="shared" si="50"/>
        <v/>
      </c>
    </row>
    <row r="971" spans="1:17" x14ac:dyDescent="0.3">
      <c r="A971" s="35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2" t="s">
        <v>86</v>
      </c>
      <c r="N971" s="23">
        <v>46083</v>
      </c>
      <c r="O971" s="26" t="str">
        <f t="shared" si="48"/>
        <v/>
      </c>
      <c r="P971" s="26" t="str">
        <f t="shared" si="49"/>
        <v/>
      </c>
      <c r="Q971" s="26" t="str">
        <f t="shared" si="50"/>
        <v/>
      </c>
    </row>
    <row r="972" spans="1:17" x14ac:dyDescent="0.3">
      <c r="A972" s="35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2" t="s">
        <v>86</v>
      </c>
      <c r="N972" s="23">
        <v>46083</v>
      </c>
      <c r="O972" s="26" t="str">
        <f t="shared" si="48"/>
        <v/>
      </c>
      <c r="P972" s="26" t="str">
        <f t="shared" si="49"/>
        <v/>
      </c>
      <c r="Q972" s="26" t="str">
        <f t="shared" si="50"/>
        <v/>
      </c>
    </row>
    <row r="973" spans="1:17" x14ac:dyDescent="0.3">
      <c r="A973" s="35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2" t="s">
        <v>86</v>
      </c>
      <c r="N973" s="23">
        <v>46083</v>
      </c>
      <c r="O973" s="26" t="str">
        <f t="shared" si="48"/>
        <v/>
      </c>
      <c r="P973" s="26" t="str">
        <f t="shared" si="49"/>
        <v/>
      </c>
      <c r="Q973" s="26" t="str">
        <f t="shared" si="50"/>
        <v/>
      </c>
    </row>
    <row r="974" spans="1:17" x14ac:dyDescent="0.3">
      <c r="A974" s="35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2" t="s">
        <v>86</v>
      </c>
      <c r="N974" s="23">
        <v>46083</v>
      </c>
      <c r="O974" s="26" t="str">
        <f t="shared" si="48"/>
        <v/>
      </c>
      <c r="P974" s="26" t="str">
        <f t="shared" si="49"/>
        <v/>
      </c>
      <c r="Q974" s="26" t="str">
        <f t="shared" si="50"/>
        <v/>
      </c>
    </row>
    <row r="975" spans="1:17" x14ac:dyDescent="0.3">
      <c r="A975" s="35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2" t="s">
        <v>86</v>
      </c>
      <c r="N975" s="23">
        <v>46083</v>
      </c>
      <c r="O975" s="26" t="str">
        <f t="shared" si="48"/>
        <v/>
      </c>
      <c r="P975" s="26" t="str">
        <f t="shared" si="49"/>
        <v/>
      </c>
      <c r="Q975" s="26" t="str">
        <f t="shared" si="50"/>
        <v/>
      </c>
    </row>
    <row r="976" spans="1:17" x14ac:dyDescent="0.3">
      <c r="A976" s="35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2" t="s">
        <v>86</v>
      </c>
      <c r="N976" s="23">
        <v>46083</v>
      </c>
      <c r="O976" s="26" t="str">
        <f t="shared" si="48"/>
        <v/>
      </c>
      <c r="P976" s="26" t="str">
        <f t="shared" si="49"/>
        <v/>
      </c>
      <c r="Q976" s="26" t="str">
        <f t="shared" si="50"/>
        <v/>
      </c>
    </row>
    <row r="977" spans="1:17" x14ac:dyDescent="0.3">
      <c r="A977" s="35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2" t="s">
        <v>86</v>
      </c>
      <c r="N977" s="23">
        <v>46083</v>
      </c>
      <c r="O977" s="26" t="str">
        <f t="shared" si="48"/>
        <v/>
      </c>
      <c r="P977" s="26" t="str">
        <f t="shared" si="49"/>
        <v/>
      </c>
      <c r="Q977" s="26" t="str">
        <f t="shared" si="50"/>
        <v/>
      </c>
    </row>
    <row r="978" spans="1:17" x14ac:dyDescent="0.3">
      <c r="A978" s="35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2" t="s">
        <v>86</v>
      </c>
      <c r="N978" s="23">
        <v>46083</v>
      </c>
      <c r="O978" s="26" t="str">
        <f t="shared" si="48"/>
        <v/>
      </c>
      <c r="P978" s="26" t="str">
        <f t="shared" si="49"/>
        <v/>
      </c>
      <c r="Q978" s="26" t="str">
        <f t="shared" si="50"/>
        <v/>
      </c>
    </row>
    <row r="979" spans="1:17" x14ac:dyDescent="0.3">
      <c r="A979" s="35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2" t="s">
        <v>86</v>
      </c>
      <c r="N979" s="23">
        <v>46083</v>
      </c>
      <c r="O979" s="26" t="str">
        <f t="shared" si="48"/>
        <v/>
      </c>
      <c r="P979" s="26" t="str">
        <f t="shared" si="49"/>
        <v/>
      </c>
      <c r="Q979" s="26" t="str">
        <f t="shared" si="50"/>
        <v/>
      </c>
    </row>
    <row r="980" spans="1:17" x14ac:dyDescent="0.3">
      <c r="A980" s="35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2" t="s">
        <v>86</v>
      </c>
      <c r="N980" s="23">
        <v>46083</v>
      </c>
      <c r="O980" s="26" t="str">
        <f t="shared" si="48"/>
        <v/>
      </c>
      <c r="P980" s="26" t="str">
        <f t="shared" si="49"/>
        <v/>
      </c>
      <c r="Q980" s="26" t="str">
        <f t="shared" si="50"/>
        <v/>
      </c>
    </row>
    <row r="981" spans="1:17" x14ac:dyDescent="0.3">
      <c r="A981" s="35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2" t="s">
        <v>86</v>
      </c>
      <c r="N981" s="23">
        <v>46083</v>
      </c>
      <c r="O981" s="26" t="str">
        <f t="shared" si="48"/>
        <v/>
      </c>
      <c r="P981" s="26" t="str">
        <f t="shared" si="49"/>
        <v/>
      </c>
      <c r="Q981" s="26" t="str">
        <f t="shared" si="50"/>
        <v/>
      </c>
    </row>
    <row r="982" spans="1:17" x14ac:dyDescent="0.3">
      <c r="A982" s="35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2" t="s">
        <v>86</v>
      </c>
      <c r="N982" s="23">
        <v>46083</v>
      </c>
      <c r="O982" s="26" t="str">
        <f t="shared" si="48"/>
        <v/>
      </c>
      <c r="P982" s="26" t="str">
        <f t="shared" si="49"/>
        <v/>
      </c>
      <c r="Q982" s="26" t="str">
        <f t="shared" si="50"/>
        <v/>
      </c>
    </row>
    <row r="983" spans="1:17" x14ac:dyDescent="0.3">
      <c r="A983" s="35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2" t="s">
        <v>86</v>
      </c>
      <c r="N983" s="23">
        <v>46083</v>
      </c>
      <c r="O983" s="26" t="str">
        <f t="shared" si="48"/>
        <v/>
      </c>
      <c r="P983" s="26" t="str">
        <f t="shared" si="49"/>
        <v/>
      </c>
      <c r="Q983" s="26" t="str">
        <f t="shared" si="50"/>
        <v/>
      </c>
    </row>
    <row r="984" spans="1:17" x14ac:dyDescent="0.3">
      <c r="A984" s="35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2" t="s">
        <v>86</v>
      </c>
      <c r="N984" s="23">
        <v>46083</v>
      </c>
      <c r="O984" s="26" t="str">
        <f t="shared" si="48"/>
        <v/>
      </c>
      <c r="P984" s="26" t="str">
        <f t="shared" si="49"/>
        <v/>
      </c>
      <c r="Q984" s="26" t="str">
        <f t="shared" si="50"/>
        <v/>
      </c>
    </row>
    <row r="985" spans="1:17" x14ac:dyDescent="0.3">
      <c r="A985" s="35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2" t="s">
        <v>86</v>
      </c>
      <c r="N985" s="23">
        <v>46083</v>
      </c>
      <c r="O985" s="26" t="str">
        <f t="shared" si="48"/>
        <v/>
      </c>
      <c r="P985" s="26" t="str">
        <f t="shared" si="49"/>
        <v/>
      </c>
      <c r="Q985" s="26" t="str">
        <f t="shared" si="50"/>
        <v/>
      </c>
    </row>
    <row r="986" spans="1:17" x14ac:dyDescent="0.3">
      <c r="A986" s="35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2" t="s">
        <v>86</v>
      </c>
      <c r="N986" s="23">
        <v>46083</v>
      </c>
      <c r="O986" s="26" t="str">
        <f t="shared" si="48"/>
        <v/>
      </c>
      <c r="P986" s="26" t="str">
        <f t="shared" si="49"/>
        <v/>
      </c>
      <c r="Q986" s="26" t="str">
        <f t="shared" si="50"/>
        <v/>
      </c>
    </row>
    <row r="987" spans="1:17" x14ac:dyDescent="0.3">
      <c r="A987" s="35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2" t="s">
        <v>86</v>
      </c>
      <c r="N987" s="23">
        <v>46083</v>
      </c>
      <c r="O987" s="26" t="str">
        <f t="shared" si="48"/>
        <v/>
      </c>
      <c r="P987" s="26" t="str">
        <f t="shared" si="49"/>
        <v/>
      </c>
      <c r="Q987" s="26" t="str">
        <f t="shared" si="50"/>
        <v/>
      </c>
    </row>
    <row r="988" spans="1:17" x14ac:dyDescent="0.3">
      <c r="A988" s="35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2" t="s">
        <v>86</v>
      </c>
      <c r="N988" s="23">
        <v>46083</v>
      </c>
      <c r="O988" s="26" t="str">
        <f t="shared" si="48"/>
        <v/>
      </c>
      <c r="P988" s="26" t="str">
        <f t="shared" si="49"/>
        <v/>
      </c>
      <c r="Q988" s="26" t="str">
        <f t="shared" si="50"/>
        <v/>
      </c>
    </row>
    <row r="989" spans="1:17" x14ac:dyDescent="0.3">
      <c r="A989" s="35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2" t="s">
        <v>86</v>
      </c>
      <c r="N989" s="23">
        <v>46083</v>
      </c>
      <c r="O989" s="26" t="str">
        <f t="shared" si="48"/>
        <v/>
      </c>
      <c r="P989" s="26" t="str">
        <f t="shared" si="49"/>
        <v/>
      </c>
      <c r="Q989" s="26" t="str">
        <f t="shared" si="50"/>
        <v/>
      </c>
    </row>
    <row r="990" spans="1:17" x14ac:dyDescent="0.3">
      <c r="A990" s="35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2" t="s">
        <v>86</v>
      </c>
      <c r="N990" s="23">
        <v>46083</v>
      </c>
      <c r="O990" s="26" t="str">
        <f t="shared" si="48"/>
        <v/>
      </c>
      <c r="P990" s="26" t="str">
        <f t="shared" si="49"/>
        <v/>
      </c>
      <c r="Q990" s="26" t="str">
        <f t="shared" si="50"/>
        <v/>
      </c>
    </row>
    <row r="991" spans="1:17" x14ac:dyDescent="0.3">
      <c r="A991" s="35"/>
      <c r="B991" s="25"/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22" t="s">
        <v>86</v>
      </c>
      <c r="N991" s="23">
        <v>46083</v>
      </c>
      <c r="O991" s="26" t="str">
        <f t="shared" si="48"/>
        <v/>
      </c>
      <c r="P991" s="26" t="str">
        <f t="shared" si="49"/>
        <v/>
      </c>
      <c r="Q991" s="26" t="str">
        <f t="shared" si="50"/>
        <v/>
      </c>
    </row>
    <row r="992" spans="1:17" x14ac:dyDescent="0.3">
      <c r="A992" s="35"/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2" t="s">
        <v>86</v>
      </c>
      <c r="N992" s="23">
        <v>46083</v>
      </c>
      <c r="O992" s="26" t="str">
        <f t="shared" si="48"/>
        <v/>
      </c>
      <c r="P992" s="26" t="str">
        <f t="shared" si="49"/>
        <v/>
      </c>
      <c r="Q992" s="26" t="str">
        <f t="shared" si="50"/>
        <v/>
      </c>
    </row>
    <row r="993" spans="1:17" x14ac:dyDescent="0.3">
      <c r="A993" s="35"/>
      <c r="B993" s="25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2" t="s">
        <v>86</v>
      </c>
      <c r="N993" s="23">
        <v>46083</v>
      </c>
      <c r="O993" s="26" t="str">
        <f t="shared" si="48"/>
        <v/>
      </c>
      <c r="P993" s="26" t="str">
        <f t="shared" si="49"/>
        <v/>
      </c>
      <c r="Q993" s="26" t="str">
        <f t="shared" si="50"/>
        <v/>
      </c>
    </row>
    <row r="994" spans="1:17" x14ac:dyDescent="0.3">
      <c r="A994" s="35"/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2" t="s">
        <v>86</v>
      </c>
      <c r="N994" s="23">
        <v>46083</v>
      </c>
      <c r="O994" s="26" t="str">
        <f t="shared" si="48"/>
        <v/>
      </c>
      <c r="P994" s="26" t="str">
        <f t="shared" si="49"/>
        <v/>
      </c>
      <c r="Q994" s="26" t="str">
        <f t="shared" si="50"/>
        <v/>
      </c>
    </row>
    <row r="995" spans="1:17" x14ac:dyDescent="0.3">
      <c r="A995" s="35"/>
      <c r="B995" s="25"/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22" t="s">
        <v>86</v>
      </c>
      <c r="N995" s="23">
        <v>46083</v>
      </c>
      <c r="O995" s="26" t="str">
        <f t="shared" si="48"/>
        <v/>
      </c>
      <c r="P995" s="26" t="str">
        <f t="shared" si="49"/>
        <v/>
      </c>
      <c r="Q995" s="26" t="str">
        <f t="shared" si="50"/>
        <v/>
      </c>
    </row>
    <row r="996" spans="1:17" x14ac:dyDescent="0.3">
      <c r="A996" s="35"/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2" t="s">
        <v>86</v>
      </c>
      <c r="N996" s="23">
        <v>46083</v>
      </c>
      <c r="O996" s="26" t="str">
        <f t="shared" si="48"/>
        <v/>
      </c>
      <c r="P996" s="26" t="str">
        <f t="shared" si="49"/>
        <v/>
      </c>
      <c r="Q996" s="26" t="str">
        <f t="shared" si="50"/>
        <v/>
      </c>
    </row>
    <row r="997" spans="1:17" x14ac:dyDescent="0.3">
      <c r="A997" s="35"/>
      <c r="B997" s="25"/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22" t="s">
        <v>86</v>
      </c>
      <c r="N997" s="23">
        <v>46083</v>
      </c>
      <c r="O997" s="26" t="str">
        <f t="shared" si="48"/>
        <v/>
      </c>
      <c r="P997" s="26" t="str">
        <f t="shared" si="49"/>
        <v/>
      </c>
      <c r="Q997" s="26" t="str">
        <f t="shared" si="50"/>
        <v/>
      </c>
    </row>
    <row r="998" spans="1:17" x14ac:dyDescent="0.3">
      <c r="A998" s="35"/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2" t="s">
        <v>86</v>
      </c>
      <c r="N998" s="23">
        <v>46083</v>
      </c>
      <c r="O998" s="26" t="str">
        <f t="shared" si="48"/>
        <v/>
      </c>
      <c r="P998" s="26" t="str">
        <f t="shared" si="49"/>
        <v/>
      </c>
      <c r="Q998" s="26" t="str">
        <f t="shared" si="50"/>
        <v/>
      </c>
    </row>
    <row r="999" spans="1:17" x14ac:dyDescent="0.3">
      <c r="A999" s="35"/>
      <c r="B999" s="25"/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22" t="s">
        <v>86</v>
      </c>
      <c r="N999" s="23">
        <v>46083</v>
      </c>
      <c r="O999" s="26" t="str">
        <f t="shared" si="48"/>
        <v/>
      </c>
      <c r="P999" s="26" t="str">
        <f t="shared" si="49"/>
        <v/>
      </c>
      <c r="Q999" s="26" t="str">
        <f t="shared" si="50"/>
        <v/>
      </c>
    </row>
    <row r="1000" spans="1:17" x14ac:dyDescent="0.3">
      <c r="A1000" s="35"/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2" t="s">
        <v>86</v>
      </c>
      <c r="N1000" s="23">
        <v>46083</v>
      </c>
      <c r="O1000" s="26" t="str">
        <f t="shared" si="48"/>
        <v/>
      </c>
      <c r="P1000" s="26" t="str">
        <f t="shared" si="49"/>
        <v/>
      </c>
      <c r="Q1000" s="26" t="str">
        <f t="shared" si="50"/>
        <v/>
      </c>
    </row>
    <row r="1001" spans="1:17" x14ac:dyDescent="0.3">
      <c r="A1001" s="35"/>
      <c r="B1001" s="25"/>
      <c r="C1001" s="25"/>
      <c r="D1001" s="25"/>
      <c r="E1001" s="25"/>
      <c r="F1001" s="25"/>
      <c r="G1001" s="25"/>
      <c r="H1001" s="25"/>
      <c r="I1001" s="25"/>
      <c r="J1001" s="25"/>
      <c r="K1001" s="25"/>
      <c r="L1001" s="25"/>
      <c r="M1001" s="22" t="s">
        <v>86</v>
      </c>
      <c r="N1001" s="23">
        <v>46083</v>
      </c>
      <c r="O1001" s="26" t="str">
        <f t="shared" si="48"/>
        <v/>
      </c>
      <c r="P1001" s="26" t="str">
        <f t="shared" si="49"/>
        <v/>
      </c>
      <c r="Q1001" s="26" t="str">
        <f t="shared" si="50"/>
        <v/>
      </c>
    </row>
    <row r="1002" spans="1:17" x14ac:dyDescent="0.3">
      <c r="A1002" s="35"/>
      <c r="B1002" s="25"/>
      <c r="C1002" s="25"/>
      <c r="D1002" s="25"/>
      <c r="E1002" s="25"/>
      <c r="F1002" s="25"/>
      <c r="G1002" s="25"/>
      <c r="H1002" s="25"/>
      <c r="I1002" s="25"/>
      <c r="J1002" s="25"/>
      <c r="K1002" s="25"/>
      <c r="L1002" s="25"/>
      <c r="M1002" s="22" t="s">
        <v>86</v>
      </c>
      <c r="N1002" s="23">
        <v>46083</v>
      </c>
      <c r="O1002" s="26" t="str">
        <f t="shared" si="48"/>
        <v/>
      </c>
      <c r="P1002" s="26" t="str">
        <f t="shared" si="49"/>
        <v/>
      </c>
      <c r="Q1002" s="26" t="str">
        <f t="shared" si="50"/>
        <v/>
      </c>
    </row>
    <row r="1003" spans="1:17" x14ac:dyDescent="0.3">
      <c r="A1003" s="35"/>
      <c r="B1003" s="25"/>
      <c r="C1003" s="25"/>
      <c r="D1003" s="25"/>
      <c r="E1003" s="25"/>
      <c r="F1003" s="25"/>
      <c r="G1003" s="25"/>
      <c r="H1003" s="25"/>
      <c r="I1003" s="25"/>
      <c r="J1003" s="25"/>
      <c r="K1003" s="25"/>
      <c r="L1003" s="25"/>
      <c r="M1003" s="22" t="s">
        <v>86</v>
      </c>
      <c r="N1003" s="23">
        <v>46083</v>
      </c>
      <c r="O1003" s="26" t="str">
        <f t="shared" si="48"/>
        <v/>
      </c>
      <c r="P1003" s="26" t="str">
        <f t="shared" si="49"/>
        <v/>
      </c>
      <c r="Q1003" s="26" t="str">
        <f t="shared" si="50"/>
        <v/>
      </c>
    </row>
    <row r="1004" spans="1:17" x14ac:dyDescent="0.3">
      <c r="A1004" s="35"/>
      <c r="B1004" s="25"/>
      <c r="C1004" s="25"/>
      <c r="D1004" s="25"/>
      <c r="E1004" s="25"/>
      <c r="F1004" s="25"/>
      <c r="G1004" s="25"/>
      <c r="H1004" s="25"/>
      <c r="I1004" s="25"/>
      <c r="J1004" s="25"/>
      <c r="K1004" s="25"/>
      <c r="L1004" s="25"/>
      <c r="M1004" s="22" t="s">
        <v>86</v>
      </c>
      <c r="N1004" s="23">
        <v>46083</v>
      </c>
      <c r="O1004" s="26" t="str">
        <f t="shared" si="48"/>
        <v/>
      </c>
      <c r="P1004" s="26" t="str">
        <f t="shared" si="49"/>
        <v/>
      </c>
      <c r="Q1004" s="26" t="str">
        <f t="shared" si="50"/>
        <v/>
      </c>
    </row>
    <row r="1005" spans="1:17" x14ac:dyDescent="0.3">
      <c r="A1005" s="35"/>
      <c r="B1005" s="25"/>
      <c r="C1005" s="25"/>
      <c r="D1005" s="25"/>
      <c r="E1005" s="25"/>
      <c r="F1005" s="25"/>
      <c r="G1005" s="25"/>
      <c r="H1005" s="25"/>
      <c r="I1005" s="25"/>
      <c r="J1005" s="25"/>
      <c r="K1005" s="25"/>
      <c r="L1005" s="25"/>
      <c r="M1005" s="22" t="s">
        <v>86</v>
      </c>
      <c r="N1005" s="23">
        <v>46083</v>
      </c>
      <c r="O1005" s="26" t="str">
        <f t="shared" si="48"/>
        <v/>
      </c>
      <c r="P1005" s="26" t="str">
        <f t="shared" si="49"/>
        <v/>
      </c>
      <c r="Q1005" s="26" t="str">
        <f t="shared" si="50"/>
        <v/>
      </c>
    </row>
    <row r="1006" spans="1:17" x14ac:dyDescent="0.3">
      <c r="A1006" s="35"/>
      <c r="B1006" s="25"/>
      <c r="C1006" s="25"/>
      <c r="D1006" s="25"/>
      <c r="E1006" s="25"/>
      <c r="F1006" s="25"/>
      <c r="G1006" s="25"/>
      <c r="H1006" s="25"/>
      <c r="I1006" s="25"/>
      <c r="J1006" s="25"/>
      <c r="K1006" s="25"/>
      <c r="L1006" s="25"/>
      <c r="M1006" s="22" t="s">
        <v>86</v>
      </c>
      <c r="N1006" s="23">
        <v>46083</v>
      </c>
      <c r="O1006" s="26" t="str">
        <f t="shared" si="48"/>
        <v/>
      </c>
      <c r="P1006" s="26" t="str">
        <f t="shared" si="49"/>
        <v/>
      </c>
      <c r="Q1006" s="26" t="str">
        <f t="shared" si="50"/>
        <v/>
      </c>
    </row>
    <row r="1007" spans="1:17" x14ac:dyDescent="0.3">
      <c r="A1007" s="35"/>
      <c r="B1007" s="25"/>
      <c r="C1007" s="25"/>
      <c r="D1007" s="25"/>
      <c r="E1007" s="25"/>
      <c r="F1007" s="25"/>
      <c r="G1007" s="25"/>
      <c r="H1007" s="25"/>
      <c r="I1007" s="25"/>
      <c r="J1007" s="25"/>
      <c r="K1007" s="25"/>
      <c r="L1007" s="25"/>
      <c r="M1007" s="22" t="s">
        <v>86</v>
      </c>
      <c r="N1007" s="23">
        <v>46083</v>
      </c>
      <c r="O1007" s="26" t="str">
        <f t="shared" si="48"/>
        <v/>
      </c>
      <c r="P1007" s="26" t="str">
        <f t="shared" si="49"/>
        <v/>
      </c>
      <c r="Q1007" s="26" t="str">
        <f t="shared" si="50"/>
        <v/>
      </c>
    </row>
    <row r="1008" spans="1:17" x14ac:dyDescent="0.3">
      <c r="A1008" s="35"/>
      <c r="B1008" s="25"/>
      <c r="C1008" s="25"/>
      <c r="D1008" s="25"/>
      <c r="E1008" s="25"/>
      <c r="F1008" s="25"/>
      <c r="G1008" s="25"/>
      <c r="H1008" s="25"/>
      <c r="I1008" s="25"/>
      <c r="J1008" s="25"/>
      <c r="K1008" s="25"/>
      <c r="L1008" s="25"/>
      <c r="M1008" s="22" t="s">
        <v>86</v>
      </c>
      <c r="N1008" s="23">
        <v>46083</v>
      </c>
      <c r="O1008" s="26" t="str">
        <f t="shared" si="48"/>
        <v/>
      </c>
      <c r="P1008" s="26" t="str">
        <f t="shared" si="49"/>
        <v/>
      </c>
      <c r="Q1008" s="26" t="str">
        <f t="shared" si="50"/>
        <v/>
      </c>
    </row>
    <row r="1009" spans="1:17" x14ac:dyDescent="0.3">
      <c r="A1009" s="35"/>
      <c r="B1009" s="25"/>
      <c r="C1009" s="25"/>
      <c r="D1009" s="25"/>
      <c r="E1009" s="25"/>
      <c r="F1009" s="25"/>
      <c r="G1009" s="25"/>
      <c r="H1009" s="25"/>
      <c r="I1009" s="25"/>
      <c r="J1009" s="25"/>
      <c r="K1009" s="25"/>
      <c r="L1009" s="25"/>
      <c r="M1009" s="22" t="s">
        <v>86</v>
      </c>
      <c r="N1009" s="23">
        <v>46083</v>
      </c>
      <c r="O1009" s="26" t="str">
        <f t="shared" si="48"/>
        <v/>
      </c>
      <c r="P1009" s="26" t="str">
        <f t="shared" si="49"/>
        <v/>
      </c>
      <c r="Q1009" s="26" t="str">
        <f t="shared" si="50"/>
        <v/>
      </c>
    </row>
    <row r="1010" spans="1:17" x14ac:dyDescent="0.3">
      <c r="A1010" s="35"/>
      <c r="B1010" s="25"/>
      <c r="C1010" s="25"/>
      <c r="D1010" s="25"/>
      <c r="E1010" s="25"/>
      <c r="F1010" s="25"/>
      <c r="G1010" s="25"/>
      <c r="H1010" s="25"/>
      <c r="I1010" s="25"/>
      <c r="J1010" s="25"/>
      <c r="K1010" s="25"/>
      <c r="L1010" s="25"/>
      <c r="M1010" s="22" t="s">
        <v>86</v>
      </c>
      <c r="N1010" s="23">
        <v>46083</v>
      </c>
      <c r="O1010" s="26" t="str">
        <f t="shared" si="48"/>
        <v/>
      </c>
      <c r="P1010" s="26" t="str">
        <f t="shared" si="49"/>
        <v/>
      </c>
      <c r="Q1010" s="26" t="str">
        <f t="shared" si="50"/>
        <v/>
      </c>
    </row>
    <row r="1011" spans="1:17" x14ac:dyDescent="0.3">
      <c r="A1011" s="35"/>
      <c r="B1011" s="25"/>
      <c r="C1011" s="25"/>
      <c r="D1011" s="25"/>
      <c r="E1011" s="25"/>
      <c r="F1011" s="25"/>
      <c r="G1011" s="25"/>
      <c r="H1011" s="25"/>
      <c r="I1011" s="25"/>
      <c r="J1011" s="25"/>
      <c r="K1011" s="25"/>
      <c r="L1011" s="25"/>
      <c r="M1011" s="22" t="s">
        <v>86</v>
      </c>
      <c r="N1011" s="23">
        <v>46083</v>
      </c>
      <c r="O1011" s="26" t="str">
        <f t="shared" si="48"/>
        <v/>
      </c>
      <c r="P1011" s="26" t="str">
        <f t="shared" si="49"/>
        <v/>
      </c>
      <c r="Q1011" s="26" t="str">
        <f t="shared" si="50"/>
        <v/>
      </c>
    </row>
    <row r="1012" spans="1:17" x14ac:dyDescent="0.3">
      <c r="A1012" s="35"/>
      <c r="B1012" s="25"/>
      <c r="C1012" s="25"/>
      <c r="D1012" s="25"/>
      <c r="E1012" s="25"/>
      <c r="F1012" s="25"/>
      <c r="G1012" s="25"/>
      <c r="H1012" s="25"/>
      <c r="I1012" s="25"/>
      <c r="J1012" s="25"/>
      <c r="K1012" s="25"/>
      <c r="L1012" s="25"/>
      <c r="M1012" s="22" t="s">
        <v>86</v>
      </c>
      <c r="N1012" s="23">
        <v>46083</v>
      </c>
      <c r="O1012" s="26" t="str">
        <f t="shared" si="48"/>
        <v/>
      </c>
      <c r="P1012" s="26" t="str">
        <f t="shared" si="49"/>
        <v/>
      </c>
      <c r="Q1012" s="26" t="str">
        <f t="shared" si="50"/>
        <v/>
      </c>
    </row>
    <row r="1013" spans="1:17" x14ac:dyDescent="0.3">
      <c r="A1013" s="35"/>
      <c r="B1013" s="25"/>
      <c r="C1013" s="25"/>
      <c r="D1013" s="25"/>
      <c r="E1013" s="25"/>
      <c r="F1013" s="25"/>
      <c r="G1013" s="25"/>
      <c r="H1013" s="25"/>
      <c r="I1013" s="25"/>
      <c r="J1013" s="25"/>
      <c r="K1013" s="25"/>
      <c r="L1013" s="25"/>
      <c r="M1013" s="22" t="s">
        <v>86</v>
      </c>
      <c r="N1013" s="23">
        <v>46083</v>
      </c>
      <c r="O1013" s="26" t="str">
        <f t="shared" si="48"/>
        <v/>
      </c>
      <c r="P1013" s="26" t="str">
        <f t="shared" si="49"/>
        <v/>
      </c>
      <c r="Q1013" s="26" t="str">
        <f t="shared" si="50"/>
        <v/>
      </c>
    </row>
    <row r="1014" spans="1:17" x14ac:dyDescent="0.3">
      <c r="A1014" s="35"/>
      <c r="B1014" s="25"/>
      <c r="C1014" s="25"/>
      <c r="D1014" s="25"/>
      <c r="E1014" s="25"/>
      <c r="F1014" s="25"/>
      <c r="G1014" s="25"/>
      <c r="H1014" s="25"/>
      <c r="I1014" s="25"/>
      <c r="J1014" s="25"/>
      <c r="K1014" s="25"/>
      <c r="L1014" s="25"/>
      <c r="M1014" s="22" t="s">
        <v>86</v>
      </c>
      <c r="N1014" s="23">
        <v>46083</v>
      </c>
      <c r="O1014" s="26" t="str">
        <f t="shared" si="48"/>
        <v/>
      </c>
      <c r="P1014" s="26" t="str">
        <f t="shared" si="49"/>
        <v/>
      </c>
      <c r="Q1014" s="26" t="str">
        <f t="shared" si="50"/>
        <v/>
      </c>
    </row>
    <row r="1015" spans="1:17" x14ac:dyDescent="0.3">
      <c r="A1015" s="35"/>
      <c r="B1015" s="25"/>
      <c r="C1015" s="25"/>
      <c r="D1015" s="25"/>
      <c r="E1015" s="25"/>
      <c r="F1015" s="25"/>
      <c r="G1015" s="25"/>
      <c r="H1015" s="25"/>
      <c r="I1015" s="25"/>
      <c r="J1015" s="25"/>
      <c r="K1015" s="25"/>
      <c r="L1015" s="25"/>
      <c r="M1015" s="22" t="s">
        <v>86</v>
      </c>
      <c r="N1015" s="23">
        <v>46083</v>
      </c>
      <c r="O1015" s="26" t="str">
        <f t="shared" si="48"/>
        <v/>
      </c>
      <c r="P1015" s="26" t="str">
        <f t="shared" si="49"/>
        <v/>
      </c>
      <c r="Q1015" s="26" t="str">
        <f t="shared" si="50"/>
        <v/>
      </c>
    </row>
    <row r="1016" spans="1:17" x14ac:dyDescent="0.3">
      <c r="A1016" s="35"/>
      <c r="B1016" s="25"/>
      <c r="C1016" s="25"/>
      <c r="D1016" s="25"/>
      <c r="E1016" s="25"/>
      <c r="F1016" s="25"/>
      <c r="G1016" s="25"/>
      <c r="H1016" s="25"/>
      <c r="I1016" s="25"/>
      <c r="J1016" s="25"/>
      <c r="K1016" s="25"/>
      <c r="L1016" s="25"/>
      <c r="M1016" s="22" t="s">
        <v>86</v>
      </c>
      <c r="N1016" s="23">
        <v>46083</v>
      </c>
      <c r="O1016" s="26" t="str">
        <f t="shared" si="48"/>
        <v/>
      </c>
      <c r="P1016" s="26" t="str">
        <f t="shared" si="49"/>
        <v/>
      </c>
      <c r="Q1016" s="26" t="str">
        <f t="shared" si="50"/>
        <v/>
      </c>
    </row>
    <row r="1017" spans="1:17" x14ac:dyDescent="0.3">
      <c r="A1017" s="35"/>
      <c r="B1017" s="25"/>
      <c r="C1017" s="25"/>
      <c r="D1017" s="25"/>
      <c r="E1017" s="25"/>
      <c r="F1017" s="25"/>
      <c r="G1017" s="25"/>
      <c r="H1017" s="25"/>
      <c r="I1017" s="25"/>
      <c r="J1017" s="25"/>
      <c r="K1017" s="25"/>
      <c r="L1017" s="25"/>
      <c r="M1017" s="22" t="s">
        <v>86</v>
      </c>
      <c r="N1017" s="23">
        <v>46083</v>
      </c>
      <c r="O1017" s="26" t="str">
        <f t="shared" si="48"/>
        <v/>
      </c>
      <c r="P1017" s="26" t="str">
        <f t="shared" si="49"/>
        <v/>
      </c>
      <c r="Q1017" s="26" t="str">
        <f t="shared" si="50"/>
        <v/>
      </c>
    </row>
    <row r="1018" spans="1:17" x14ac:dyDescent="0.3">
      <c r="A1018" s="35"/>
      <c r="B1018" s="25"/>
      <c r="C1018" s="25"/>
      <c r="D1018" s="25"/>
      <c r="E1018" s="25"/>
      <c r="F1018" s="25"/>
      <c r="G1018" s="25"/>
      <c r="H1018" s="25"/>
      <c r="I1018" s="25"/>
      <c r="J1018" s="25"/>
      <c r="K1018" s="25"/>
      <c r="L1018" s="25"/>
      <c r="M1018" s="22" t="s">
        <v>86</v>
      </c>
      <c r="N1018" s="23">
        <v>46083</v>
      </c>
      <c r="O1018" s="26" t="str">
        <f t="shared" si="48"/>
        <v/>
      </c>
      <c r="P1018" s="26" t="str">
        <f t="shared" si="49"/>
        <v/>
      </c>
      <c r="Q1018" s="26" t="str">
        <f t="shared" si="50"/>
        <v/>
      </c>
    </row>
    <row r="1019" spans="1:17" x14ac:dyDescent="0.3">
      <c r="A1019" s="35"/>
      <c r="B1019" s="25"/>
      <c r="C1019" s="25"/>
      <c r="D1019" s="25"/>
      <c r="E1019" s="25"/>
      <c r="F1019" s="25"/>
      <c r="G1019" s="25"/>
      <c r="H1019" s="25"/>
      <c r="I1019" s="25"/>
      <c r="J1019" s="25"/>
      <c r="K1019" s="25"/>
      <c r="L1019" s="25"/>
      <c r="M1019" s="22" t="s">
        <v>86</v>
      </c>
      <c r="N1019" s="23">
        <v>46083</v>
      </c>
      <c r="O1019" s="26" t="str">
        <f t="shared" si="48"/>
        <v/>
      </c>
      <c r="P1019" s="26" t="str">
        <f t="shared" si="49"/>
        <v/>
      </c>
      <c r="Q1019" s="26" t="str">
        <f t="shared" si="50"/>
        <v/>
      </c>
    </row>
    <row r="1020" spans="1:17" x14ac:dyDescent="0.3">
      <c r="A1020" s="35"/>
      <c r="B1020" s="25"/>
      <c r="C1020" s="25"/>
      <c r="D1020" s="25"/>
      <c r="E1020" s="25"/>
      <c r="F1020" s="25"/>
      <c r="G1020" s="25"/>
      <c r="H1020" s="25"/>
      <c r="I1020" s="25"/>
      <c r="J1020" s="25"/>
      <c r="K1020" s="25"/>
      <c r="L1020" s="25"/>
      <c r="M1020" s="22" t="s">
        <v>86</v>
      </c>
      <c r="N1020" s="23">
        <v>46083</v>
      </c>
      <c r="O1020" s="26" t="str">
        <f t="shared" si="48"/>
        <v/>
      </c>
      <c r="P1020" s="26" t="str">
        <f t="shared" si="49"/>
        <v/>
      </c>
      <c r="Q1020" s="26" t="str">
        <f t="shared" si="50"/>
        <v/>
      </c>
    </row>
    <row r="1021" spans="1:17" x14ac:dyDescent="0.3">
      <c r="A1021" s="35"/>
      <c r="B1021" s="25"/>
      <c r="C1021" s="25"/>
      <c r="D1021" s="25"/>
      <c r="E1021" s="25"/>
      <c r="F1021" s="25"/>
      <c r="G1021" s="25"/>
      <c r="H1021" s="25"/>
      <c r="I1021" s="25"/>
      <c r="J1021" s="25"/>
      <c r="K1021" s="25"/>
      <c r="L1021" s="25"/>
      <c r="M1021" s="22" t="s">
        <v>86</v>
      </c>
      <c r="N1021" s="23">
        <v>46083</v>
      </c>
      <c r="O1021" s="26" t="str">
        <f t="shared" si="48"/>
        <v/>
      </c>
      <c r="P1021" s="26" t="str">
        <f t="shared" si="49"/>
        <v/>
      </c>
      <c r="Q1021" s="26" t="str">
        <f t="shared" si="50"/>
        <v/>
      </c>
    </row>
    <row r="1022" spans="1:17" x14ac:dyDescent="0.3">
      <c r="A1022" s="35"/>
      <c r="B1022" s="25"/>
      <c r="C1022" s="25"/>
      <c r="D1022" s="25"/>
      <c r="E1022" s="25"/>
      <c r="F1022" s="25"/>
      <c r="G1022" s="25"/>
      <c r="H1022" s="25"/>
      <c r="I1022" s="25"/>
      <c r="J1022" s="25"/>
      <c r="K1022" s="25"/>
      <c r="L1022" s="25"/>
      <c r="M1022" s="22" t="s">
        <v>86</v>
      </c>
      <c r="N1022" s="23">
        <v>46083</v>
      </c>
      <c r="O1022" s="26" t="str">
        <f t="shared" si="48"/>
        <v/>
      </c>
      <c r="P1022" s="26" t="str">
        <f t="shared" si="49"/>
        <v/>
      </c>
      <c r="Q1022" s="26" t="str">
        <f t="shared" si="50"/>
        <v/>
      </c>
    </row>
    <row r="1023" spans="1:17" x14ac:dyDescent="0.3">
      <c r="A1023" s="35"/>
      <c r="B1023" s="25"/>
      <c r="C1023" s="25"/>
      <c r="D1023" s="25"/>
      <c r="E1023" s="25"/>
      <c r="F1023" s="25"/>
      <c r="G1023" s="25"/>
      <c r="H1023" s="25"/>
      <c r="I1023" s="25"/>
      <c r="J1023" s="25"/>
      <c r="K1023" s="25"/>
      <c r="L1023" s="25"/>
      <c r="M1023" s="22" t="s">
        <v>86</v>
      </c>
      <c r="N1023" s="23">
        <v>46083</v>
      </c>
      <c r="O1023" s="26" t="str">
        <f t="shared" si="48"/>
        <v/>
      </c>
      <c r="P1023" s="26" t="str">
        <f t="shared" si="49"/>
        <v/>
      </c>
      <c r="Q1023" s="26" t="str">
        <f t="shared" si="50"/>
        <v/>
      </c>
    </row>
    <row r="1024" spans="1:17" x14ac:dyDescent="0.3">
      <c r="A1024" s="35"/>
      <c r="B1024" s="25"/>
      <c r="C1024" s="25"/>
      <c r="D1024" s="25"/>
      <c r="E1024" s="25"/>
      <c r="F1024" s="25"/>
      <c r="G1024" s="25"/>
      <c r="H1024" s="25"/>
      <c r="I1024" s="25"/>
      <c r="J1024" s="25"/>
      <c r="K1024" s="25"/>
      <c r="L1024" s="25"/>
      <c r="M1024" s="22" t="s">
        <v>86</v>
      </c>
      <c r="N1024" s="23">
        <v>46083</v>
      </c>
      <c r="O1024" s="26" t="str">
        <f t="shared" si="48"/>
        <v/>
      </c>
      <c r="P1024" s="26" t="str">
        <f t="shared" si="49"/>
        <v/>
      </c>
      <c r="Q1024" s="26" t="str">
        <f t="shared" si="50"/>
        <v/>
      </c>
    </row>
    <row r="1025" spans="1:17" x14ac:dyDescent="0.3">
      <c r="A1025" s="35"/>
      <c r="B1025" s="25"/>
      <c r="C1025" s="25"/>
      <c r="D1025" s="25"/>
      <c r="E1025" s="25"/>
      <c r="F1025" s="25"/>
      <c r="G1025" s="25"/>
      <c r="H1025" s="25"/>
      <c r="I1025" s="25"/>
      <c r="J1025" s="25"/>
      <c r="K1025" s="25"/>
      <c r="L1025" s="25"/>
      <c r="M1025" s="22" t="s">
        <v>86</v>
      </c>
      <c r="N1025" s="23">
        <v>46083</v>
      </c>
      <c r="O1025" s="26" t="str">
        <f t="shared" si="48"/>
        <v/>
      </c>
      <c r="P1025" s="26" t="str">
        <f t="shared" si="49"/>
        <v/>
      </c>
      <c r="Q1025" s="26" t="str">
        <f t="shared" si="50"/>
        <v/>
      </c>
    </row>
    <row r="1026" spans="1:17" x14ac:dyDescent="0.3">
      <c r="A1026" s="35"/>
      <c r="B1026" s="25"/>
      <c r="C1026" s="25"/>
      <c r="D1026" s="25"/>
      <c r="E1026" s="25"/>
      <c r="F1026" s="25"/>
      <c r="G1026" s="25"/>
      <c r="H1026" s="25"/>
      <c r="I1026" s="25"/>
      <c r="J1026" s="25"/>
      <c r="K1026" s="25"/>
      <c r="L1026" s="25"/>
      <c r="M1026" s="22" t="s">
        <v>86</v>
      </c>
      <c r="N1026" s="23">
        <v>46083</v>
      </c>
      <c r="O1026" s="26" t="str">
        <f t="shared" ref="O1026:O1089" si="51">IF(A1026="","",IFERROR(IF(AND(LEN(A1026)=10,NOT(ISERROR(VALUE(A1026)))),"OK","확인"),"확인"))</f>
        <v/>
      </c>
      <c r="P1026" s="26" t="str">
        <f t="shared" ref="P1026:P1089" si="52">IF(A1026="","",IF(COUNTIF($A$2:$A$1946,A1026)&gt;1,"중복",""))</f>
        <v/>
      </c>
      <c r="Q1026" s="26" t="str">
        <f t="shared" ref="Q1026:Q1089" si="53">IF(G1026="","",IF(ISNUMBER(SEARCH("@",G1026)),"","확인"))</f>
        <v/>
      </c>
    </row>
    <row r="1027" spans="1:17" x14ac:dyDescent="0.3">
      <c r="A1027" s="35"/>
      <c r="B1027" s="25"/>
      <c r="C1027" s="25"/>
      <c r="D1027" s="25"/>
      <c r="E1027" s="25"/>
      <c r="F1027" s="25"/>
      <c r="G1027" s="25"/>
      <c r="H1027" s="25"/>
      <c r="I1027" s="25"/>
      <c r="J1027" s="25"/>
      <c r="K1027" s="25"/>
      <c r="L1027" s="25"/>
      <c r="M1027" s="22" t="s">
        <v>86</v>
      </c>
      <c r="N1027" s="23">
        <v>46083</v>
      </c>
      <c r="O1027" s="26" t="str">
        <f t="shared" si="51"/>
        <v/>
      </c>
      <c r="P1027" s="26" t="str">
        <f t="shared" si="52"/>
        <v/>
      </c>
      <c r="Q1027" s="26" t="str">
        <f t="shared" si="53"/>
        <v/>
      </c>
    </row>
    <row r="1028" spans="1:17" x14ac:dyDescent="0.3">
      <c r="A1028" s="35"/>
      <c r="B1028" s="25"/>
      <c r="C1028" s="25"/>
      <c r="D1028" s="25"/>
      <c r="E1028" s="25"/>
      <c r="F1028" s="25"/>
      <c r="G1028" s="25"/>
      <c r="H1028" s="25"/>
      <c r="I1028" s="25"/>
      <c r="J1028" s="25"/>
      <c r="K1028" s="25"/>
      <c r="L1028" s="25"/>
      <c r="M1028" s="22" t="s">
        <v>86</v>
      </c>
      <c r="N1028" s="23">
        <v>46083</v>
      </c>
      <c r="O1028" s="26" t="str">
        <f t="shared" si="51"/>
        <v/>
      </c>
      <c r="P1028" s="26" t="str">
        <f t="shared" si="52"/>
        <v/>
      </c>
      <c r="Q1028" s="26" t="str">
        <f t="shared" si="53"/>
        <v/>
      </c>
    </row>
    <row r="1029" spans="1:17" x14ac:dyDescent="0.3">
      <c r="A1029" s="35"/>
      <c r="B1029" s="25"/>
      <c r="C1029" s="25"/>
      <c r="D1029" s="25"/>
      <c r="E1029" s="25"/>
      <c r="F1029" s="25"/>
      <c r="G1029" s="25"/>
      <c r="H1029" s="25"/>
      <c r="I1029" s="25"/>
      <c r="J1029" s="25"/>
      <c r="K1029" s="25"/>
      <c r="L1029" s="25"/>
      <c r="M1029" s="22" t="s">
        <v>86</v>
      </c>
      <c r="N1029" s="23">
        <v>46083</v>
      </c>
      <c r="O1029" s="26" t="str">
        <f t="shared" si="51"/>
        <v/>
      </c>
      <c r="P1029" s="26" t="str">
        <f t="shared" si="52"/>
        <v/>
      </c>
      <c r="Q1029" s="26" t="str">
        <f t="shared" si="53"/>
        <v/>
      </c>
    </row>
    <row r="1030" spans="1:17" x14ac:dyDescent="0.3">
      <c r="A1030" s="35"/>
      <c r="B1030" s="25"/>
      <c r="C1030" s="25"/>
      <c r="D1030" s="25"/>
      <c r="E1030" s="25"/>
      <c r="F1030" s="25"/>
      <c r="G1030" s="25"/>
      <c r="H1030" s="25"/>
      <c r="I1030" s="25"/>
      <c r="J1030" s="25"/>
      <c r="K1030" s="25"/>
      <c r="L1030" s="25"/>
      <c r="M1030" s="22" t="s">
        <v>86</v>
      </c>
      <c r="N1030" s="23">
        <v>46083</v>
      </c>
      <c r="O1030" s="26" t="str">
        <f t="shared" si="51"/>
        <v/>
      </c>
      <c r="P1030" s="26" t="str">
        <f t="shared" si="52"/>
        <v/>
      </c>
      <c r="Q1030" s="26" t="str">
        <f t="shared" si="53"/>
        <v/>
      </c>
    </row>
    <row r="1031" spans="1:17" x14ac:dyDescent="0.3">
      <c r="A1031" s="35"/>
      <c r="B1031" s="25"/>
      <c r="C1031" s="25"/>
      <c r="D1031" s="25"/>
      <c r="E1031" s="25"/>
      <c r="F1031" s="25"/>
      <c r="G1031" s="25"/>
      <c r="H1031" s="25"/>
      <c r="I1031" s="25"/>
      <c r="J1031" s="25"/>
      <c r="K1031" s="25"/>
      <c r="L1031" s="25"/>
      <c r="M1031" s="22" t="s">
        <v>86</v>
      </c>
      <c r="N1031" s="23">
        <v>46083</v>
      </c>
      <c r="O1031" s="26" t="str">
        <f t="shared" si="51"/>
        <v/>
      </c>
      <c r="P1031" s="26" t="str">
        <f t="shared" si="52"/>
        <v/>
      </c>
      <c r="Q1031" s="26" t="str">
        <f t="shared" si="53"/>
        <v/>
      </c>
    </row>
    <row r="1032" spans="1:17" x14ac:dyDescent="0.3">
      <c r="A1032" s="35"/>
      <c r="B1032" s="25"/>
      <c r="C1032" s="25"/>
      <c r="D1032" s="25"/>
      <c r="E1032" s="25"/>
      <c r="F1032" s="25"/>
      <c r="G1032" s="25"/>
      <c r="H1032" s="25"/>
      <c r="I1032" s="25"/>
      <c r="J1032" s="25"/>
      <c r="K1032" s="25"/>
      <c r="L1032" s="25"/>
      <c r="M1032" s="22" t="s">
        <v>86</v>
      </c>
      <c r="N1032" s="23">
        <v>46083</v>
      </c>
      <c r="O1032" s="26" t="str">
        <f t="shared" si="51"/>
        <v/>
      </c>
      <c r="P1032" s="26" t="str">
        <f t="shared" si="52"/>
        <v/>
      </c>
      <c r="Q1032" s="26" t="str">
        <f t="shared" si="53"/>
        <v/>
      </c>
    </row>
    <row r="1033" spans="1:17" x14ac:dyDescent="0.3">
      <c r="A1033" s="35"/>
      <c r="B1033" s="25"/>
      <c r="C1033" s="25"/>
      <c r="D1033" s="25"/>
      <c r="E1033" s="25"/>
      <c r="F1033" s="25"/>
      <c r="G1033" s="25"/>
      <c r="H1033" s="25"/>
      <c r="I1033" s="25"/>
      <c r="J1033" s="25"/>
      <c r="K1033" s="25"/>
      <c r="L1033" s="25"/>
      <c r="M1033" s="22" t="s">
        <v>86</v>
      </c>
      <c r="N1033" s="23">
        <v>46083</v>
      </c>
      <c r="O1033" s="26" t="str">
        <f t="shared" si="51"/>
        <v/>
      </c>
      <c r="P1033" s="26" t="str">
        <f t="shared" si="52"/>
        <v/>
      </c>
      <c r="Q1033" s="26" t="str">
        <f t="shared" si="53"/>
        <v/>
      </c>
    </row>
    <row r="1034" spans="1:17" x14ac:dyDescent="0.3">
      <c r="A1034" s="35"/>
      <c r="B1034" s="25"/>
      <c r="C1034" s="25"/>
      <c r="D1034" s="25"/>
      <c r="E1034" s="25"/>
      <c r="F1034" s="25"/>
      <c r="G1034" s="25"/>
      <c r="H1034" s="25"/>
      <c r="I1034" s="25"/>
      <c r="J1034" s="25"/>
      <c r="K1034" s="25"/>
      <c r="L1034" s="25"/>
      <c r="M1034" s="22" t="s">
        <v>86</v>
      </c>
      <c r="N1034" s="23">
        <v>46083</v>
      </c>
      <c r="O1034" s="26" t="str">
        <f t="shared" si="51"/>
        <v/>
      </c>
      <c r="P1034" s="26" t="str">
        <f t="shared" si="52"/>
        <v/>
      </c>
      <c r="Q1034" s="26" t="str">
        <f t="shared" si="53"/>
        <v/>
      </c>
    </row>
    <row r="1035" spans="1:17" x14ac:dyDescent="0.3">
      <c r="A1035" s="35"/>
      <c r="B1035" s="25"/>
      <c r="C1035" s="25"/>
      <c r="D1035" s="25"/>
      <c r="E1035" s="25"/>
      <c r="F1035" s="25"/>
      <c r="G1035" s="25"/>
      <c r="H1035" s="25"/>
      <c r="I1035" s="25"/>
      <c r="J1035" s="25"/>
      <c r="K1035" s="25"/>
      <c r="L1035" s="25"/>
      <c r="M1035" s="22" t="s">
        <v>86</v>
      </c>
      <c r="N1035" s="23">
        <v>46083</v>
      </c>
      <c r="O1035" s="26" t="str">
        <f t="shared" si="51"/>
        <v/>
      </c>
      <c r="P1035" s="26" t="str">
        <f t="shared" si="52"/>
        <v/>
      </c>
      <c r="Q1035" s="26" t="str">
        <f t="shared" si="53"/>
        <v/>
      </c>
    </row>
    <row r="1036" spans="1:17" x14ac:dyDescent="0.3">
      <c r="A1036" s="35"/>
      <c r="B1036" s="25"/>
      <c r="C1036" s="25"/>
      <c r="D1036" s="25"/>
      <c r="E1036" s="25"/>
      <c r="F1036" s="25"/>
      <c r="G1036" s="25"/>
      <c r="H1036" s="25"/>
      <c r="I1036" s="25"/>
      <c r="J1036" s="25"/>
      <c r="K1036" s="25"/>
      <c r="L1036" s="25"/>
      <c r="M1036" s="22" t="s">
        <v>86</v>
      </c>
      <c r="N1036" s="23">
        <v>46083</v>
      </c>
      <c r="O1036" s="26" t="str">
        <f t="shared" si="51"/>
        <v/>
      </c>
      <c r="P1036" s="26" t="str">
        <f t="shared" si="52"/>
        <v/>
      </c>
      <c r="Q1036" s="26" t="str">
        <f t="shared" si="53"/>
        <v/>
      </c>
    </row>
    <row r="1037" spans="1:17" x14ac:dyDescent="0.3">
      <c r="A1037" s="35"/>
      <c r="B1037" s="25"/>
      <c r="C1037" s="25"/>
      <c r="D1037" s="25"/>
      <c r="E1037" s="25"/>
      <c r="F1037" s="25"/>
      <c r="G1037" s="25"/>
      <c r="H1037" s="25"/>
      <c r="I1037" s="25"/>
      <c r="J1037" s="25"/>
      <c r="K1037" s="25"/>
      <c r="L1037" s="25"/>
      <c r="M1037" s="22" t="s">
        <v>86</v>
      </c>
      <c r="N1037" s="23">
        <v>46083</v>
      </c>
      <c r="O1037" s="26" t="str">
        <f t="shared" si="51"/>
        <v/>
      </c>
      <c r="P1037" s="26" t="str">
        <f t="shared" si="52"/>
        <v/>
      </c>
      <c r="Q1037" s="26" t="str">
        <f t="shared" si="53"/>
        <v/>
      </c>
    </row>
    <row r="1038" spans="1:17" x14ac:dyDescent="0.3">
      <c r="A1038" s="35"/>
      <c r="B1038" s="25"/>
      <c r="C1038" s="25"/>
      <c r="D1038" s="25"/>
      <c r="E1038" s="25"/>
      <c r="F1038" s="25"/>
      <c r="G1038" s="25"/>
      <c r="H1038" s="25"/>
      <c r="I1038" s="25"/>
      <c r="J1038" s="25"/>
      <c r="K1038" s="25"/>
      <c r="L1038" s="25"/>
      <c r="M1038" s="22" t="s">
        <v>86</v>
      </c>
      <c r="N1038" s="23">
        <v>46083</v>
      </c>
      <c r="O1038" s="26" t="str">
        <f t="shared" si="51"/>
        <v/>
      </c>
      <c r="P1038" s="26" t="str">
        <f t="shared" si="52"/>
        <v/>
      </c>
      <c r="Q1038" s="26" t="str">
        <f t="shared" si="53"/>
        <v/>
      </c>
    </row>
    <row r="1039" spans="1:17" x14ac:dyDescent="0.3">
      <c r="A1039" s="35"/>
      <c r="B1039" s="25"/>
      <c r="C1039" s="25"/>
      <c r="D1039" s="25"/>
      <c r="E1039" s="25"/>
      <c r="F1039" s="25"/>
      <c r="G1039" s="25"/>
      <c r="H1039" s="25"/>
      <c r="I1039" s="25"/>
      <c r="J1039" s="25"/>
      <c r="K1039" s="25"/>
      <c r="L1039" s="25"/>
      <c r="M1039" s="22" t="s">
        <v>86</v>
      </c>
      <c r="N1039" s="23">
        <v>46083</v>
      </c>
      <c r="O1039" s="26" t="str">
        <f t="shared" si="51"/>
        <v/>
      </c>
      <c r="P1039" s="26" t="str">
        <f t="shared" si="52"/>
        <v/>
      </c>
      <c r="Q1039" s="26" t="str">
        <f t="shared" si="53"/>
        <v/>
      </c>
    </row>
    <row r="1040" spans="1:17" x14ac:dyDescent="0.3">
      <c r="A1040" s="35"/>
      <c r="B1040" s="25"/>
      <c r="C1040" s="25"/>
      <c r="D1040" s="25"/>
      <c r="E1040" s="25"/>
      <c r="F1040" s="25"/>
      <c r="G1040" s="25"/>
      <c r="H1040" s="25"/>
      <c r="I1040" s="25"/>
      <c r="J1040" s="25"/>
      <c r="K1040" s="25"/>
      <c r="L1040" s="25"/>
      <c r="M1040" s="22" t="s">
        <v>86</v>
      </c>
      <c r="N1040" s="23">
        <v>46083</v>
      </c>
      <c r="O1040" s="26" t="str">
        <f t="shared" si="51"/>
        <v/>
      </c>
      <c r="P1040" s="26" t="str">
        <f t="shared" si="52"/>
        <v/>
      </c>
      <c r="Q1040" s="26" t="str">
        <f t="shared" si="53"/>
        <v/>
      </c>
    </row>
    <row r="1041" spans="1:17" x14ac:dyDescent="0.3">
      <c r="A1041" s="35"/>
      <c r="B1041" s="25"/>
      <c r="C1041" s="25"/>
      <c r="D1041" s="25"/>
      <c r="E1041" s="25"/>
      <c r="F1041" s="25"/>
      <c r="G1041" s="25"/>
      <c r="H1041" s="25"/>
      <c r="I1041" s="25"/>
      <c r="J1041" s="25"/>
      <c r="K1041" s="25"/>
      <c r="L1041" s="25"/>
      <c r="M1041" s="22" t="s">
        <v>86</v>
      </c>
      <c r="N1041" s="23">
        <v>46083</v>
      </c>
      <c r="O1041" s="26" t="str">
        <f t="shared" si="51"/>
        <v/>
      </c>
      <c r="P1041" s="26" t="str">
        <f t="shared" si="52"/>
        <v/>
      </c>
      <c r="Q1041" s="26" t="str">
        <f t="shared" si="53"/>
        <v/>
      </c>
    </row>
    <row r="1042" spans="1:17" x14ac:dyDescent="0.3">
      <c r="A1042" s="35"/>
      <c r="B1042" s="25"/>
      <c r="C1042" s="25"/>
      <c r="D1042" s="25"/>
      <c r="E1042" s="25"/>
      <c r="F1042" s="25"/>
      <c r="G1042" s="25"/>
      <c r="H1042" s="25"/>
      <c r="I1042" s="25"/>
      <c r="J1042" s="25"/>
      <c r="K1042" s="25"/>
      <c r="L1042" s="25"/>
      <c r="M1042" s="22" t="s">
        <v>86</v>
      </c>
      <c r="N1042" s="23">
        <v>46083</v>
      </c>
      <c r="O1042" s="26" t="str">
        <f t="shared" si="51"/>
        <v/>
      </c>
      <c r="P1042" s="26" t="str">
        <f t="shared" si="52"/>
        <v/>
      </c>
      <c r="Q1042" s="26" t="str">
        <f t="shared" si="53"/>
        <v/>
      </c>
    </row>
    <row r="1043" spans="1:17" x14ac:dyDescent="0.3">
      <c r="A1043" s="35"/>
      <c r="B1043" s="25"/>
      <c r="C1043" s="25"/>
      <c r="D1043" s="25"/>
      <c r="E1043" s="25"/>
      <c r="F1043" s="25"/>
      <c r="G1043" s="25"/>
      <c r="H1043" s="25"/>
      <c r="I1043" s="25"/>
      <c r="J1043" s="25"/>
      <c r="K1043" s="25"/>
      <c r="L1043" s="25"/>
      <c r="M1043" s="22" t="s">
        <v>86</v>
      </c>
      <c r="N1043" s="23">
        <v>46083</v>
      </c>
      <c r="O1043" s="26" t="str">
        <f t="shared" si="51"/>
        <v/>
      </c>
      <c r="P1043" s="26" t="str">
        <f t="shared" si="52"/>
        <v/>
      </c>
      <c r="Q1043" s="26" t="str">
        <f t="shared" si="53"/>
        <v/>
      </c>
    </row>
    <row r="1044" spans="1:17" x14ac:dyDescent="0.3">
      <c r="A1044" s="35"/>
      <c r="B1044" s="25"/>
      <c r="C1044" s="25"/>
      <c r="D1044" s="25"/>
      <c r="E1044" s="25"/>
      <c r="F1044" s="25"/>
      <c r="G1044" s="25"/>
      <c r="H1044" s="25"/>
      <c r="I1044" s="25"/>
      <c r="J1044" s="25"/>
      <c r="K1044" s="25"/>
      <c r="L1044" s="25"/>
      <c r="M1044" s="22" t="s">
        <v>86</v>
      </c>
      <c r="N1044" s="23">
        <v>46083</v>
      </c>
      <c r="O1044" s="26" t="str">
        <f t="shared" si="51"/>
        <v/>
      </c>
      <c r="P1044" s="26" t="str">
        <f t="shared" si="52"/>
        <v/>
      </c>
      <c r="Q1044" s="26" t="str">
        <f t="shared" si="53"/>
        <v/>
      </c>
    </row>
    <row r="1045" spans="1:17" x14ac:dyDescent="0.3">
      <c r="A1045" s="35"/>
      <c r="B1045" s="25"/>
      <c r="C1045" s="25"/>
      <c r="D1045" s="25"/>
      <c r="E1045" s="25"/>
      <c r="F1045" s="25"/>
      <c r="G1045" s="25"/>
      <c r="H1045" s="25"/>
      <c r="I1045" s="25"/>
      <c r="J1045" s="25"/>
      <c r="K1045" s="25"/>
      <c r="L1045" s="25"/>
      <c r="M1045" s="22" t="s">
        <v>86</v>
      </c>
      <c r="N1045" s="23">
        <v>46083</v>
      </c>
      <c r="O1045" s="26" t="str">
        <f t="shared" si="51"/>
        <v/>
      </c>
      <c r="P1045" s="26" t="str">
        <f t="shared" si="52"/>
        <v/>
      </c>
      <c r="Q1045" s="26" t="str">
        <f t="shared" si="53"/>
        <v/>
      </c>
    </row>
    <row r="1046" spans="1:17" x14ac:dyDescent="0.3">
      <c r="A1046" s="35"/>
      <c r="B1046" s="25"/>
      <c r="C1046" s="25"/>
      <c r="D1046" s="25"/>
      <c r="E1046" s="25"/>
      <c r="F1046" s="25"/>
      <c r="G1046" s="25"/>
      <c r="H1046" s="25"/>
      <c r="I1046" s="25"/>
      <c r="J1046" s="25"/>
      <c r="K1046" s="25"/>
      <c r="L1046" s="25"/>
      <c r="M1046" s="22" t="s">
        <v>86</v>
      </c>
      <c r="N1046" s="23">
        <v>46083</v>
      </c>
      <c r="O1046" s="26" t="str">
        <f t="shared" si="51"/>
        <v/>
      </c>
      <c r="P1046" s="26" t="str">
        <f t="shared" si="52"/>
        <v/>
      </c>
      <c r="Q1046" s="26" t="str">
        <f t="shared" si="53"/>
        <v/>
      </c>
    </row>
    <row r="1047" spans="1:17" x14ac:dyDescent="0.3">
      <c r="A1047" s="35"/>
      <c r="B1047" s="25"/>
      <c r="C1047" s="25"/>
      <c r="D1047" s="25"/>
      <c r="E1047" s="25"/>
      <c r="F1047" s="25"/>
      <c r="G1047" s="25"/>
      <c r="H1047" s="25"/>
      <c r="I1047" s="25"/>
      <c r="J1047" s="25"/>
      <c r="K1047" s="25"/>
      <c r="L1047" s="25"/>
      <c r="M1047" s="22" t="s">
        <v>86</v>
      </c>
      <c r="N1047" s="23">
        <v>46083</v>
      </c>
      <c r="O1047" s="26" t="str">
        <f t="shared" si="51"/>
        <v/>
      </c>
      <c r="P1047" s="26" t="str">
        <f t="shared" si="52"/>
        <v/>
      </c>
      <c r="Q1047" s="26" t="str">
        <f t="shared" si="53"/>
        <v/>
      </c>
    </row>
    <row r="1048" spans="1:17" x14ac:dyDescent="0.3">
      <c r="A1048" s="35"/>
      <c r="B1048" s="25"/>
      <c r="C1048" s="25"/>
      <c r="D1048" s="25"/>
      <c r="E1048" s="25"/>
      <c r="F1048" s="25"/>
      <c r="G1048" s="25"/>
      <c r="H1048" s="25"/>
      <c r="I1048" s="25"/>
      <c r="J1048" s="25"/>
      <c r="K1048" s="25"/>
      <c r="L1048" s="25"/>
      <c r="M1048" s="22" t="s">
        <v>86</v>
      </c>
      <c r="N1048" s="23">
        <v>46083</v>
      </c>
      <c r="O1048" s="26" t="str">
        <f t="shared" si="51"/>
        <v/>
      </c>
      <c r="P1048" s="26" t="str">
        <f t="shared" si="52"/>
        <v/>
      </c>
      <c r="Q1048" s="26" t="str">
        <f t="shared" si="53"/>
        <v/>
      </c>
    </row>
    <row r="1049" spans="1:17" x14ac:dyDescent="0.3">
      <c r="A1049" s="35"/>
      <c r="B1049" s="25"/>
      <c r="C1049" s="25"/>
      <c r="D1049" s="25"/>
      <c r="E1049" s="25"/>
      <c r="F1049" s="25"/>
      <c r="G1049" s="25"/>
      <c r="H1049" s="25"/>
      <c r="I1049" s="25"/>
      <c r="J1049" s="25"/>
      <c r="K1049" s="25"/>
      <c r="L1049" s="25"/>
      <c r="M1049" s="22" t="s">
        <v>86</v>
      </c>
      <c r="N1049" s="23">
        <v>46083</v>
      </c>
      <c r="O1049" s="26" t="str">
        <f t="shared" si="51"/>
        <v/>
      </c>
      <c r="P1049" s="26" t="str">
        <f t="shared" si="52"/>
        <v/>
      </c>
      <c r="Q1049" s="26" t="str">
        <f t="shared" si="53"/>
        <v/>
      </c>
    </row>
    <row r="1050" spans="1:17" x14ac:dyDescent="0.3">
      <c r="A1050" s="35"/>
      <c r="B1050" s="25"/>
      <c r="C1050" s="25"/>
      <c r="D1050" s="25"/>
      <c r="E1050" s="25"/>
      <c r="F1050" s="25"/>
      <c r="G1050" s="25"/>
      <c r="H1050" s="25"/>
      <c r="I1050" s="25"/>
      <c r="J1050" s="25"/>
      <c r="K1050" s="25"/>
      <c r="L1050" s="25"/>
      <c r="M1050" s="22" t="s">
        <v>86</v>
      </c>
      <c r="N1050" s="23">
        <v>46083</v>
      </c>
      <c r="O1050" s="26" t="str">
        <f t="shared" si="51"/>
        <v/>
      </c>
      <c r="P1050" s="26" t="str">
        <f t="shared" si="52"/>
        <v/>
      </c>
      <c r="Q1050" s="26" t="str">
        <f t="shared" si="53"/>
        <v/>
      </c>
    </row>
    <row r="1051" spans="1:17" x14ac:dyDescent="0.3">
      <c r="A1051" s="35"/>
      <c r="B1051" s="25"/>
      <c r="C1051" s="25"/>
      <c r="D1051" s="25"/>
      <c r="E1051" s="25"/>
      <c r="F1051" s="25"/>
      <c r="G1051" s="25"/>
      <c r="H1051" s="25"/>
      <c r="I1051" s="25"/>
      <c r="J1051" s="25"/>
      <c r="K1051" s="25"/>
      <c r="L1051" s="25"/>
      <c r="M1051" s="22" t="s">
        <v>86</v>
      </c>
      <c r="N1051" s="23">
        <v>46083</v>
      </c>
      <c r="O1051" s="26" t="str">
        <f t="shared" si="51"/>
        <v/>
      </c>
      <c r="P1051" s="26" t="str">
        <f t="shared" si="52"/>
        <v/>
      </c>
      <c r="Q1051" s="26" t="str">
        <f t="shared" si="53"/>
        <v/>
      </c>
    </row>
    <row r="1052" spans="1:17" x14ac:dyDescent="0.3">
      <c r="A1052" s="35"/>
      <c r="B1052" s="25"/>
      <c r="C1052" s="25"/>
      <c r="D1052" s="25"/>
      <c r="E1052" s="25"/>
      <c r="F1052" s="25"/>
      <c r="G1052" s="25"/>
      <c r="H1052" s="25"/>
      <c r="I1052" s="25"/>
      <c r="J1052" s="25"/>
      <c r="K1052" s="25"/>
      <c r="L1052" s="25"/>
      <c r="M1052" s="22" t="s">
        <v>86</v>
      </c>
      <c r="N1052" s="23">
        <v>46083</v>
      </c>
      <c r="O1052" s="26" t="str">
        <f t="shared" si="51"/>
        <v/>
      </c>
      <c r="P1052" s="26" t="str">
        <f t="shared" si="52"/>
        <v/>
      </c>
      <c r="Q1052" s="26" t="str">
        <f t="shared" si="53"/>
        <v/>
      </c>
    </row>
    <row r="1053" spans="1:17" x14ac:dyDescent="0.3">
      <c r="A1053" s="35"/>
      <c r="B1053" s="25"/>
      <c r="C1053" s="25"/>
      <c r="D1053" s="25"/>
      <c r="E1053" s="25"/>
      <c r="F1053" s="25"/>
      <c r="G1053" s="25"/>
      <c r="H1053" s="25"/>
      <c r="I1053" s="25"/>
      <c r="J1053" s="25"/>
      <c r="K1053" s="25"/>
      <c r="L1053" s="25"/>
      <c r="M1053" s="22" t="s">
        <v>86</v>
      </c>
      <c r="N1053" s="23">
        <v>46083</v>
      </c>
      <c r="O1053" s="26" t="str">
        <f t="shared" si="51"/>
        <v/>
      </c>
      <c r="P1053" s="26" t="str">
        <f t="shared" si="52"/>
        <v/>
      </c>
      <c r="Q1053" s="26" t="str">
        <f t="shared" si="53"/>
        <v/>
      </c>
    </row>
    <row r="1054" spans="1:17" x14ac:dyDescent="0.3">
      <c r="A1054" s="35"/>
      <c r="B1054" s="25"/>
      <c r="C1054" s="25"/>
      <c r="D1054" s="25"/>
      <c r="E1054" s="25"/>
      <c r="F1054" s="25"/>
      <c r="G1054" s="25"/>
      <c r="H1054" s="25"/>
      <c r="I1054" s="25"/>
      <c r="J1054" s="25"/>
      <c r="K1054" s="25"/>
      <c r="L1054" s="25"/>
      <c r="M1054" s="22" t="s">
        <v>86</v>
      </c>
      <c r="N1054" s="23">
        <v>46083</v>
      </c>
      <c r="O1054" s="26" t="str">
        <f t="shared" si="51"/>
        <v/>
      </c>
      <c r="P1054" s="26" t="str">
        <f t="shared" si="52"/>
        <v/>
      </c>
      <c r="Q1054" s="26" t="str">
        <f t="shared" si="53"/>
        <v/>
      </c>
    </row>
    <row r="1055" spans="1:17" x14ac:dyDescent="0.3">
      <c r="A1055" s="35"/>
      <c r="B1055" s="25"/>
      <c r="C1055" s="25"/>
      <c r="D1055" s="25"/>
      <c r="E1055" s="25"/>
      <c r="F1055" s="25"/>
      <c r="G1055" s="25"/>
      <c r="H1055" s="25"/>
      <c r="I1055" s="25"/>
      <c r="J1055" s="25"/>
      <c r="K1055" s="25"/>
      <c r="L1055" s="25"/>
      <c r="M1055" s="22" t="s">
        <v>86</v>
      </c>
      <c r="N1055" s="23">
        <v>46083</v>
      </c>
      <c r="O1055" s="26" t="str">
        <f t="shared" si="51"/>
        <v/>
      </c>
      <c r="P1055" s="26" t="str">
        <f t="shared" si="52"/>
        <v/>
      </c>
      <c r="Q1055" s="26" t="str">
        <f t="shared" si="53"/>
        <v/>
      </c>
    </row>
    <row r="1056" spans="1:17" x14ac:dyDescent="0.3">
      <c r="A1056" s="35"/>
      <c r="B1056" s="25"/>
      <c r="C1056" s="25"/>
      <c r="D1056" s="25"/>
      <c r="E1056" s="25"/>
      <c r="F1056" s="25"/>
      <c r="G1056" s="25"/>
      <c r="H1056" s="25"/>
      <c r="I1056" s="25"/>
      <c r="J1056" s="25"/>
      <c r="K1056" s="25"/>
      <c r="L1056" s="25"/>
      <c r="M1056" s="22" t="s">
        <v>86</v>
      </c>
      <c r="N1056" s="23">
        <v>46083</v>
      </c>
      <c r="O1056" s="26" t="str">
        <f t="shared" si="51"/>
        <v/>
      </c>
      <c r="P1056" s="26" t="str">
        <f t="shared" si="52"/>
        <v/>
      </c>
      <c r="Q1056" s="26" t="str">
        <f t="shared" si="53"/>
        <v/>
      </c>
    </row>
    <row r="1057" spans="1:17" x14ac:dyDescent="0.3">
      <c r="A1057" s="35"/>
      <c r="B1057" s="25"/>
      <c r="C1057" s="25"/>
      <c r="D1057" s="25"/>
      <c r="E1057" s="25"/>
      <c r="F1057" s="25"/>
      <c r="G1057" s="25"/>
      <c r="H1057" s="25"/>
      <c r="I1057" s="25"/>
      <c r="J1057" s="25"/>
      <c r="K1057" s="25"/>
      <c r="L1057" s="25"/>
      <c r="M1057" s="22" t="s">
        <v>86</v>
      </c>
      <c r="N1057" s="23">
        <v>46083</v>
      </c>
      <c r="O1057" s="26" t="str">
        <f t="shared" si="51"/>
        <v/>
      </c>
      <c r="P1057" s="26" t="str">
        <f t="shared" si="52"/>
        <v/>
      </c>
      <c r="Q1057" s="26" t="str">
        <f t="shared" si="53"/>
        <v/>
      </c>
    </row>
    <row r="1058" spans="1:17" x14ac:dyDescent="0.3">
      <c r="A1058" s="35"/>
      <c r="B1058" s="25"/>
      <c r="C1058" s="25"/>
      <c r="D1058" s="25"/>
      <c r="E1058" s="25"/>
      <c r="F1058" s="25"/>
      <c r="G1058" s="25"/>
      <c r="H1058" s="25"/>
      <c r="I1058" s="25"/>
      <c r="J1058" s="25"/>
      <c r="K1058" s="25"/>
      <c r="L1058" s="25"/>
      <c r="M1058" s="22" t="s">
        <v>86</v>
      </c>
      <c r="N1058" s="23">
        <v>46083</v>
      </c>
      <c r="O1058" s="26" t="str">
        <f t="shared" si="51"/>
        <v/>
      </c>
      <c r="P1058" s="26" t="str">
        <f t="shared" si="52"/>
        <v/>
      </c>
      <c r="Q1058" s="26" t="str">
        <f t="shared" si="53"/>
        <v/>
      </c>
    </row>
    <row r="1059" spans="1:17" x14ac:dyDescent="0.3">
      <c r="A1059" s="35"/>
      <c r="B1059" s="25"/>
      <c r="C1059" s="25"/>
      <c r="D1059" s="25"/>
      <c r="E1059" s="25"/>
      <c r="F1059" s="25"/>
      <c r="G1059" s="25"/>
      <c r="H1059" s="25"/>
      <c r="I1059" s="25"/>
      <c r="J1059" s="25"/>
      <c r="K1059" s="25"/>
      <c r="L1059" s="25"/>
      <c r="M1059" s="22" t="s">
        <v>86</v>
      </c>
      <c r="N1059" s="23">
        <v>46083</v>
      </c>
      <c r="O1059" s="26" t="str">
        <f t="shared" si="51"/>
        <v/>
      </c>
      <c r="P1059" s="26" t="str">
        <f t="shared" si="52"/>
        <v/>
      </c>
      <c r="Q1059" s="26" t="str">
        <f t="shared" si="53"/>
        <v/>
      </c>
    </row>
    <row r="1060" spans="1:17" x14ac:dyDescent="0.3">
      <c r="A1060" s="35"/>
      <c r="B1060" s="25"/>
      <c r="C1060" s="25"/>
      <c r="D1060" s="25"/>
      <c r="E1060" s="25"/>
      <c r="F1060" s="25"/>
      <c r="G1060" s="25"/>
      <c r="H1060" s="25"/>
      <c r="I1060" s="25"/>
      <c r="J1060" s="25"/>
      <c r="K1060" s="25"/>
      <c r="L1060" s="25"/>
      <c r="M1060" s="22" t="s">
        <v>86</v>
      </c>
      <c r="N1060" s="23">
        <v>46083</v>
      </c>
      <c r="O1060" s="26" t="str">
        <f t="shared" si="51"/>
        <v/>
      </c>
      <c r="P1060" s="26" t="str">
        <f t="shared" si="52"/>
        <v/>
      </c>
      <c r="Q1060" s="26" t="str">
        <f t="shared" si="53"/>
        <v/>
      </c>
    </row>
    <row r="1061" spans="1:17" x14ac:dyDescent="0.3">
      <c r="A1061" s="35"/>
      <c r="B1061" s="25"/>
      <c r="C1061" s="25"/>
      <c r="D1061" s="25"/>
      <c r="E1061" s="25"/>
      <c r="F1061" s="25"/>
      <c r="G1061" s="25"/>
      <c r="H1061" s="25"/>
      <c r="I1061" s="25"/>
      <c r="J1061" s="25"/>
      <c r="K1061" s="25"/>
      <c r="L1061" s="25"/>
      <c r="M1061" s="22" t="s">
        <v>86</v>
      </c>
      <c r="N1061" s="23">
        <v>46083</v>
      </c>
      <c r="O1061" s="26" t="str">
        <f t="shared" si="51"/>
        <v/>
      </c>
      <c r="P1061" s="26" t="str">
        <f t="shared" si="52"/>
        <v/>
      </c>
      <c r="Q1061" s="26" t="str">
        <f t="shared" si="53"/>
        <v/>
      </c>
    </row>
    <row r="1062" spans="1:17" x14ac:dyDescent="0.3">
      <c r="A1062" s="35"/>
      <c r="B1062" s="25"/>
      <c r="C1062" s="25"/>
      <c r="D1062" s="25"/>
      <c r="E1062" s="25"/>
      <c r="F1062" s="25"/>
      <c r="G1062" s="25"/>
      <c r="H1062" s="25"/>
      <c r="I1062" s="25"/>
      <c r="J1062" s="25"/>
      <c r="K1062" s="25"/>
      <c r="L1062" s="25"/>
      <c r="M1062" s="22" t="s">
        <v>86</v>
      </c>
      <c r="N1062" s="23">
        <v>46083</v>
      </c>
      <c r="O1062" s="26" t="str">
        <f t="shared" si="51"/>
        <v/>
      </c>
      <c r="P1062" s="26" t="str">
        <f t="shared" si="52"/>
        <v/>
      </c>
      <c r="Q1062" s="26" t="str">
        <f t="shared" si="53"/>
        <v/>
      </c>
    </row>
    <row r="1063" spans="1:17" x14ac:dyDescent="0.3">
      <c r="A1063" s="35"/>
      <c r="B1063" s="25"/>
      <c r="C1063" s="25"/>
      <c r="D1063" s="25"/>
      <c r="E1063" s="25"/>
      <c r="F1063" s="25"/>
      <c r="G1063" s="25"/>
      <c r="H1063" s="25"/>
      <c r="I1063" s="25"/>
      <c r="J1063" s="25"/>
      <c r="K1063" s="25"/>
      <c r="L1063" s="25"/>
      <c r="M1063" s="22" t="s">
        <v>86</v>
      </c>
      <c r="N1063" s="23">
        <v>46083</v>
      </c>
      <c r="O1063" s="26" t="str">
        <f t="shared" si="51"/>
        <v/>
      </c>
      <c r="P1063" s="26" t="str">
        <f t="shared" si="52"/>
        <v/>
      </c>
      <c r="Q1063" s="26" t="str">
        <f t="shared" si="53"/>
        <v/>
      </c>
    </row>
    <row r="1064" spans="1:17" x14ac:dyDescent="0.3">
      <c r="A1064" s="35"/>
      <c r="B1064" s="25"/>
      <c r="C1064" s="25"/>
      <c r="D1064" s="25"/>
      <c r="E1064" s="25"/>
      <c r="F1064" s="25"/>
      <c r="G1064" s="25"/>
      <c r="H1064" s="25"/>
      <c r="I1064" s="25"/>
      <c r="J1064" s="25"/>
      <c r="K1064" s="25"/>
      <c r="L1064" s="25"/>
      <c r="M1064" s="22" t="s">
        <v>86</v>
      </c>
      <c r="N1064" s="23">
        <v>46083</v>
      </c>
      <c r="O1064" s="26" t="str">
        <f t="shared" si="51"/>
        <v/>
      </c>
      <c r="P1064" s="26" t="str">
        <f t="shared" si="52"/>
        <v/>
      </c>
      <c r="Q1064" s="26" t="str">
        <f t="shared" si="53"/>
        <v/>
      </c>
    </row>
    <row r="1065" spans="1:17" x14ac:dyDescent="0.3">
      <c r="A1065" s="35"/>
      <c r="B1065" s="25"/>
      <c r="C1065" s="25"/>
      <c r="D1065" s="25"/>
      <c r="E1065" s="25"/>
      <c r="F1065" s="25"/>
      <c r="G1065" s="25"/>
      <c r="H1065" s="25"/>
      <c r="I1065" s="25"/>
      <c r="J1065" s="25"/>
      <c r="K1065" s="25"/>
      <c r="L1065" s="25"/>
      <c r="M1065" s="22" t="s">
        <v>86</v>
      </c>
      <c r="N1065" s="23">
        <v>46083</v>
      </c>
      <c r="O1065" s="26" t="str">
        <f t="shared" si="51"/>
        <v/>
      </c>
      <c r="P1065" s="26" t="str">
        <f t="shared" si="52"/>
        <v/>
      </c>
      <c r="Q1065" s="26" t="str">
        <f t="shared" si="53"/>
        <v/>
      </c>
    </row>
    <row r="1066" spans="1:17" x14ac:dyDescent="0.3">
      <c r="A1066" s="35"/>
      <c r="B1066" s="25"/>
      <c r="C1066" s="25"/>
      <c r="D1066" s="25"/>
      <c r="E1066" s="25"/>
      <c r="F1066" s="25"/>
      <c r="G1066" s="25"/>
      <c r="H1066" s="25"/>
      <c r="I1066" s="25"/>
      <c r="J1066" s="25"/>
      <c r="K1066" s="25"/>
      <c r="L1066" s="25"/>
      <c r="M1066" s="22" t="s">
        <v>86</v>
      </c>
      <c r="N1066" s="23">
        <v>46083</v>
      </c>
      <c r="O1066" s="26" t="str">
        <f t="shared" si="51"/>
        <v/>
      </c>
      <c r="P1066" s="26" t="str">
        <f t="shared" si="52"/>
        <v/>
      </c>
      <c r="Q1066" s="26" t="str">
        <f t="shared" si="53"/>
        <v/>
      </c>
    </row>
    <row r="1067" spans="1:17" x14ac:dyDescent="0.3">
      <c r="A1067" s="35"/>
      <c r="B1067" s="25"/>
      <c r="C1067" s="25"/>
      <c r="D1067" s="25"/>
      <c r="E1067" s="25"/>
      <c r="F1067" s="25"/>
      <c r="G1067" s="25"/>
      <c r="H1067" s="25"/>
      <c r="I1067" s="25"/>
      <c r="J1067" s="25"/>
      <c r="K1067" s="25"/>
      <c r="L1067" s="25"/>
      <c r="M1067" s="22" t="s">
        <v>86</v>
      </c>
      <c r="N1067" s="23">
        <v>46083</v>
      </c>
      <c r="O1067" s="26" t="str">
        <f t="shared" si="51"/>
        <v/>
      </c>
      <c r="P1067" s="26" t="str">
        <f t="shared" si="52"/>
        <v/>
      </c>
      <c r="Q1067" s="26" t="str">
        <f t="shared" si="53"/>
        <v/>
      </c>
    </row>
    <row r="1068" spans="1:17" x14ac:dyDescent="0.3">
      <c r="A1068" s="35"/>
      <c r="B1068" s="25"/>
      <c r="C1068" s="25"/>
      <c r="D1068" s="25"/>
      <c r="E1068" s="25"/>
      <c r="F1068" s="25"/>
      <c r="G1068" s="25"/>
      <c r="H1068" s="25"/>
      <c r="I1068" s="25"/>
      <c r="J1068" s="25"/>
      <c r="K1068" s="25"/>
      <c r="L1068" s="25"/>
      <c r="M1068" s="22" t="s">
        <v>86</v>
      </c>
      <c r="N1068" s="23">
        <v>46083</v>
      </c>
      <c r="O1068" s="26" t="str">
        <f t="shared" si="51"/>
        <v/>
      </c>
      <c r="P1068" s="26" t="str">
        <f t="shared" si="52"/>
        <v/>
      </c>
      <c r="Q1068" s="26" t="str">
        <f t="shared" si="53"/>
        <v/>
      </c>
    </row>
    <row r="1069" spans="1:17" x14ac:dyDescent="0.3">
      <c r="A1069" s="35"/>
      <c r="B1069" s="25"/>
      <c r="C1069" s="25"/>
      <c r="D1069" s="25"/>
      <c r="E1069" s="25"/>
      <c r="F1069" s="25"/>
      <c r="G1069" s="25"/>
      <c r="H1069" s="25"/>
      <c r="I1069" s="25"/>
      <c r="J1069" s="25"/>
      <c r="K1069" s="25"/>
      <c r="L1069" s="25"/>
      <c r="M1069" s="22" t="s">
        <v>86</v>
      </c>
      <c r="N1069" s="23">
        <v>46083</v>
      </c>
      <c r="O1069" s="26" t="str">
        <f t="shared" si="51"/>
        <v/>
      </c>
      <c r="P1069" s="26" t="str">
        <f t="shared" si="52"/>
        <v/>
      </c>
      <c r="Q1069" s="26" t="str">
        <f t="shared" si="53"/>
        <v/>
      </c>
    </row>
    <row r="1070" spans="1:17" x14ac:dyDescent="0.3">
      <c r="A1070" s="35"/>
      <c r="B1070" s="25"/>
      <c r="C1070" s="25"/>
      <c r="D1070" s="25"/>
      <c r="E1070" s="25"/>
      <c r="F1070" s="25"/>
      <c r="G1070" s="25"/>
      <c r="H1070" s="25"/>
      <c r="I1070" s="25"/>
      <c r="J1070" s="25"/>
      <c r="K1070" s="25"/>
      <c r="L1070" s="25"/>
      <c r="M1070" s="22" t="s">
        <v>86</v>
      </c>
      <c r="N1070" s="23">
        <v>46083</v>
      </c>
      <c r="O1070" s="26" t="str">
        <f t="shared" si="51"/>
        <v/>
      </c>
      <c r="P1070" s="26" t="str">
        <f t="shared" si="52"/>
        <v/>
      </c>
      <c r="Q1070" s="26" t="str">
        <f t="shared" si="53"/>
        <v/>
      </c>
    </row>
    <row r="1071" spans="1:17" x14ac:dyDescent="0.3">
      <c r="A1071" s="35"/>
      <c r="B1071" s="25"/>
      <c r="C1071" s="25"/>
      <c r="D1071" s="25"/>
      <c r="E1071" s="25"/>
      <c r="F1071" s="25"/>
      <c r="G1071" s="25"/>
      <c r="H1071" s="25"/>
      <c r="I1071" s="25"/>
      <c r="J1071" s="25"/>
      <c r="K1071" s="25"/>
      <c r="L1071" s="25"/>
      <c r="M1071" s="22" t="s">
        <v>86</v>
      </c>
      <c r="N1071" s="23">
        <v>46083</v>
      </c>
      <c r="O1071" s="26" t="str">
        <f t="shared" si="51"/>
        <v/>
      </c>
      <c r="P1071" s="26" t="str">
        <f t="shared" si="52"/>
        <v/>
      </c>
      <c r="Q1071" s="26" t="str">
        <f t="shared" si="53"/>
        <v/>
      </c>
    </row>
    <row r="1072" spans="1:17" x14ac:dyDescent="0.3">
      <c r="A1072" s="35"/>
      <c r="B1072" s="25"/>
      <c r="C1072" s="25"/>
      <c r="D1072" s="25"/>
      <c r="E1072" s="25"/>
      <c r="F1072" s="25"/>
      <c r="G1072" s="25"/>
      <c r="H1072" s="25"/>
      <c r="I1072" s="25"/>
      <c r="J1072" s="25"/>
      <c r="K1072" s="25"/>
      <c r="L1072" s="25"/>
      <c r="M1072" s="22" t="s">
        <v>86</v>
      </c>
      <c r="N1072" s="23">
        <v>46083</v>
      </c>
      <c r="O1072" s="26" t="str">
        <f t="shared" si="51"/>
        <v/>
      </c>
      <c r="P1072" s="26" t="str">
        <f t="shared" si="52"/>
        <v/>
      </c>
      <c r="Q1072" s="26" t="str">
        <f t="shared" si="53"/>
        <v/>
      </c>
    </row>
    <row r="1073" spans="1:17" x14ac:dyDescent="0.3">
      <c r="A1073" s="35"/>
      <c r="B1073" s="25"/>
      <c r="C1073" s="25"/>
      <c r="D1073" s="25"/>
      <c r="E1073" s="25"/>
      <c r="F1073" s="25"/>
      <c r="G1073" s="25"/>
      <c r="H1073" s="25"/>
      <c r="I1073" s="25"/>
      <c r="J1073" s="25"/>
      <c r="K1073" s="25"/>
      <c r="L1073" s="25"/>
      <c r="M1073" s="22" t="s">
        <v>86</v>
      </c>
      <c r="N1073" s="23">
        <v>46083</v>
      </c>
      <c r="O1073" s="26" t="str">
        <f t="shared" si="51"/>
        <v/>
      </c>
      <c r="P1073" s="26" t="str">
        <f t="shared" si="52"/>
        <v/>
      </c>
      <c r="Q1073" s="26" t="str">
        <f t="shared" si="53"/>
        <v/>
      </c>
    </row>
    <row r="1074" spans="1:17" x14ac:dyDescent="0.3">
      <c r="A1074" s="35"/>
      <c r="B1074" s="25"/>
      <c r="C1074" s="25"/>
      <c r="D1074" s="25"/>
      <c r="E1074" s="25"/>
      <c r="F1074" s="25"/>
      <c r="G1074" s="25"/>
      <c r="H1074" s="25"/>
      <c r="I1074" s="25"/>
      <c r="J1074" s="25"/>
      <c r="K1074" s="25"/>
      <c r="L1074" s="25"/>
      <c r="M1074" s="22" t="s">
        <v>86</v>
      </c>
      <c r="N1074" s="23">
        <v>46083</v>
      </c>
      <c r="O1074" s="26" t="str">
        <f t="shared" si="51"/>
        <v/>
      </c>
      <c r="P1074" s="26" t="str">
        <f t="shared" si="52"/>
        <v/>
      </c>
      <c r="Q1074" s="26" t="str">
        <f t="shared" si="53"/>
        <v/>
      </c>
    </row>
    <row r="1075" spans="1:17" x14ac:dyDescent="0.3">
      <c r="A1075" s="35"/>
      <c r="B1075" s="25"/>
      <c r="C1075" s="25"/>
      <c r="D1075" s="25"/>
      <c r="E1075" s="25"/>
      <c r="F1075" s="25"/>
      <c r="G1075" s="25"/>
      <c r="H1075" s="25"/>
      <c r="I1075" s="25"/>
      <c r="J1075" s="25"/>
      <c r="K1075" s="25"/>
      <c r="L1075" s="25"/>
      <c r="M1075" s="22" t="s">
        <v>86</v>
      </c>
      <c r="N1075" s="23">
        <v>46083</v>
      </c>
      <c r="O1075" s="26" t="str">
        <f t="shared" si="51"/>
        <v/>
      </c>
      <c r="P1075" s="26" t="str">
        <f t="shared" si="52"/>
        <v/>
      </c>
      <c r="Q1075" s="26" t="str">
        <f t="shared" si="53"/>
        <v/>
      </c>
    </row>
    <row r="1076" spans="1:17" x14ac:dyDescent="0.3">
      <c r="A1076" s="35"/>
      <c r="B1076" s="25"/>
      <c r="C1076" s="25"/>
      <c r="D1076" s="25"/>
      <c r="E1076" s="25"/>
      <c r="F1076" s="25"/>
      <c r="G1076" s="25"/>
      <c r="H1076" s="25"/>
      <c r="I1076" s="25"/>
      <c r="J1076" s="25"/>
      <c r="K1076" s="25"/>
      <c r="L1076" s="25"/>
      <c r="M1076" s="22" t="s">
        <v>86</v>
      </c>
      <c r="N1076" s="23">
        <v>46083</v>
      </c>
      <c r="O1076" s="26" t="str">
        <f t="shared" si="51"/>
        <v/>
      </c>
      <c r="P1076" s="26" t="str">
        <f t="shared" si="52"/>
        <v/>
      </c>
      <c r="Q1076" s="26" t="str">
        <f t="shared" si="53"/>
        <v/>
      </c>
    </row>
    <row r="1077" spans="1:17" x14ac:dyDescent="0.3">
      <c r="A1077" s="35"/>
      <c r="B1077" s="25"/>
      <c r="C1077" s="25"/>
      <c r="D1077" s="25"/>
      <c r="E1077" s="25"/>
      <c r="F1077" s="25"/>
      <c r="G1077" s="25"/>
      <c r="H1077" s="25"/>
      <c r="I1077" s="25"/>
      <c r="J1077" s="25"/>
      <c r="K1077" s="25"/>
      <c r="L1077" s="25"/>
      <c r="M1077" s="22" t="s">
        <v>86</v>
      </c>
      <c r="N1077" s="23">
        <v>46083</v>
      </c>
      <c r="O1077" s="26" t="str">
        <f t="shared" si="51"/>
        <v/>
      </c>
      <c r="P1077" s="26" t="str">
        <f t="shared" si="52"/>
        <v/>
      </c>
      <c r="Q1077" s="26" t="str">
        <f t="shared" si="53"/>
        <v/>
      </c>
    </row>
    <row r="1078" spans="1:17" x14ac:dyDescent="0.3">
      <c r="A1078" s="35"/>
      <c r="B1078" s="25"/>
      <c r="C1078" s="25"/>
      <c r="D1078" s="25"/>
      <c r="E1078" s="25"/>
      <c r="F1078" s="25"/>
      <c r="G1078" s="25"/>
      <c r="H1078" s="25"/>
      <c r="I1078" s="25"/>
      <c r="J1078" s="25"/>
      <c r="K1078" s="25"/>
      <c r="L1078" s="25"/>
      <c r="M1078" s="22" t="s">
        <v>86</v>
      </c>
      <c r="N1078" s="23">
        <v>46083</v>
      </c>
      <c r="O1078" s="26" t="str">
        <f t="shared" si="51"/>
        <v/>
      </c>
      <c r="P1078" s="26" t="str">
        <f t="shared" si="52"/>
        <v/>
      </c>
      <c r="Q1078" s="26" t="str">
        <f t="shared" si="53"/>
        <v/>
      </c>
    </row>
    <row r="1079" spans="1:17" x14ac:dyDescent="0.3">
      <c r="A1079" s="35"/>
      <c r="B1079" s="25"/>
      <c r="C1079" s="25"/>
      <c r="D1079" s="25"/>
      <c r="E1079" s="25"/>
      <c r="F1079" s="25"/>
      <c r="G1079" s="25"/>
      <c r="H1079" s="25"/>
      <c r="I1079" s="25"/>
      <c r="J1079" s="25"/>
      <c r="K1079" s="25"/>
      <c r="L1079" s="25"/>
      <c r="M1079" s="22" t="s">
        <v>86</v>
      </c>
      <c r="N1079" s="23">
        <v>46083</v>
      </c>
      <c r="O1079" s="26" t="str">
        <f t="shared" si="51"/>
        <v/>
      </c>
      <c r="P1079" s="26" t="str">
        <f t="shared" si="52"/>
        <v/>
      </c>
      <c r="Q1079" s="26" t="str">
        <f t="shared" si="53"/>
        <v/>
      </c>
    </row>
    <row r="1080" spans="1:17" x14ac:dyDescent="0.3">
      <c r="A1080" s="35"/>
      <c r="B1080" s="25"/>
      <c r="C1080" s="25"/>
      <c r="D1080" s="25"/>
      <c r="E1080" s="25"/>
      <c r="F1080" s="25"/>
      <c r="G1080" s="25"/>
      <c r="H1080" s="25"/>
      <c r="I1080" s="25"/>
      <c r="J1080" s="25"/>
      <c r="K1080" s="25"/>
      <c r="L1080" s="25"/>
      <c r="M1080" s="22" t="s">
        <v>86</v>
      </c>
      <c r="N1080" s="23">
        <v>46083</v>
      </c>
      <c r="O1080" s="26" t="str">
        <f t="shared" si="51"/>
        <v/>
      </c>
      <c r="P1080" s="26" t="str">
        <f t="shared" si="52"/>
        <v/>
      </c>
      <c r="Q1080" s="26" t="str">
        <f t="shared" si="53"/>
        <v/>
      </c>
    </row>
    <row r="1081" spans="1:17" x14ac:dyDescent="0.3">
      <c r="A1081" s="35"/>
      <c r="B1081" s="25"/>
      <c r="C1081" s="25"/>
      <c r="D1081" s="25"/>
      <c r="E1081" s="25"/>
      <c r="F1081" s="25"/>
      <c r="G1081" s="25"/>
      <c r="H1081" s="25"/>
      <c r="I1081" s="25"/>
      <c r="J1081" s="25"/>
      <c r="K1081" s="25"/>
      <c r="L1081" s="25"/>
      <c r="M1081" s="22" t="s">
        <v>86</v>
      </c>
      <c r="N1081" s="23">
        <v>46083</v>
      </c>
      <c r="O1081" s="26" t="str">
        <f t="shared" si="51"/>
        <v/>
      </c>
      <c r="P1081" s="26" t="str">
        <f t="shared" si="52"/>
        <v/>
      </c>
      <c r="Q1081" s="26" t="str">
        <f t="shared" si="53"/>
        <v/>
      </c>
    </row>
    <row r="1082" spans="1:17" x14ac:dyDescent="0.3">
      <c r="A1082" s="35"/>
      <c r="B1082" s="25"/>
      <c r="C1082" s="25"/>
      <c r="D1082" s="25"/>
      <c r="E1082" s="25"/>
      <c r="F1082" s="25"/>
      <c r="G1082" s="25"/>
      <c r="H1082" s="25"/>
      <c r="I1082" s="25"/>
      <c r="J1082" s="25"/>
      <c r="K1082" s="25"/>
      <c r="L1082" s="25"/>
      <c r="M1082" s="22" t="s">
        <v>86</v>
      </c>
      <c r="N1082" s="23">
        <v>46083</v>
      </c>
      <c r="O1082" s="26" t="str">
        <f t="shared" si="51"/>
        <v/>
      </c>
      <c r="P1082" s="26" t="str">
        <f t="shared" si="52"/>
        <v/>
      </c>
      <c r="Q1082" s="26" t="str">
        <f t="shared" si="53"/>
        <v/>
      </c>
    </row>
    <row r="1083" spans="1:17" x14ac:dyDescent="0.3">
      <c r="A1083" s="35"/>
      <c r="B1083" s="25"/>
      <c r="C1083" s="25"/>
      <c r="D1083" s="25"/>
      <c r="E1083" s="25"/>
      <c r="F1083" s="25"/>
      <c r="G1083" s="25"/>
      <c r="H1083" s="25"/>
      <c r="I1083" s="25"/>
      <c r="J1083" s="25"/>
      <c r="K1083" s="25"/>
      <c r="L1083" s="25"/>
      <c r="M1083" s="22" t="s">
        <v>86</v>
      </c>
      <c r="N1083" s="23">
        <v>46083</v>
      </c>
      <c r="O1083" s="26" t="str">
        <f t="shared" si="51"/>
        <v/>
      </c>
      <c r="P1083" s="26" t="str">
        <f t="shared" si="52"/>
        <v/>
      </c>
      <c r="Q1083" s="26" t="str">
        <f t="shared" si="53"/>
        <v/>
      </c>
    </row>
    <row r="1084" spans="1:17" x14ac:dyDescent="0.3">
      <c r="A1084" s="35"/>
      <c r="B1084" s="25"/>
      <c r="C1084" s="25"/>
      <c r="D1084" s="25"/>
      <c r="E1084" s="25"/>
      <c r="F1084" s="25"/>
      <c r="G1084" s="25"/>
      <c r="H1084" s="25"/>
      <c r="I1084" s="25"/>
      <c r="J1084" s="25"/>
      <c r="K1084" s="25"/>
      <c r="L1084" s="25"/>
      <c r="M1084" s="22" t="s">
        <v>86</v>
      </c>
      <c r="N1084" s="23">
        <v>46083</v>
      </c>
      <c r="O1084" s="26" t="str">
        <f t="shared" si="51"/>
        <v/>
      </c>
      <c r="P1084" s="26" t="str">
        <f t="shared" si="52"/>
        <v/>
      </c>
      <c r="Q1084" s="26" t="str">
        <f t="shared" si="53"/>
        <v/>
      </c>
    </row>
    <row r="1085" spans="1:17" x14ac:dyDescent="0.3">
      <c r="A1085" s="35"/>
      <c r="B1085" s="25"/>
      <c r="C1085" s="25"/>
      <c r="D1085" s="25"/>
      <c r="E1085" s="25"/>
      <c r="F1085" s="25"/>
      <c r="G1085" s="25"/>
      <c r="H1085" s="25"/>
      <c r="I1085" s="25"/>
      <c r="J1085" s="25"/>
      <c r="K1085" s="25"/>
      <c r="L1085" s="25"/>
      <c r="M1085" s="22" t="s">
        <v>86</v>
      </c>
      <c r="N1085" s="23">
        <v>46083</v>
      </c>
      <c r="O1085" s="26" t="str">
        <f t="shared" si="51"/>
        <v/>
      </c>
      <c r="P1085" s="26" t="str">
        <f t="shared" si="52"/>
        <v/>
      </c>
      <c r="Q1085" s="26" t="str">
        <f t="shared" si="53"/>
        <v/>
      </c>
    </row>
    <row r="1086" spans="1:17" x14ac:dyDescent="0.3">
      <c r="A1086" s="35"/>
      <c r="B1086" s="25"/>
      <c r="C1086" s="25"/>
      <c r="D1086" s="25"/>
      <c r="E1086" s="25"/>
      <c r="F1086" s="25"/>
      <c r="G1086" s="25"/>
      <c r="H1086" s="25"/>
      <c r="I1086" s="25"/>
      <c r="J1086" s="25"/>
      <c r="K1086" s="25"/>
      <c r="L1086" s="25"/>
      <c r="M1086" s="22" t="s">
        <v>86</v>
      </c>
      <c r="N1086" s="23">
        <v>46083</v>
      </c>
      <c r="O1086" s="26" t="str">
        <f t="shared" si="51"/>
        <v/>
      </c>
      <c r="P1086" s="26" t="str">
        <f t="shared" si="52"/>
        <v/>
      </c>
      <c r="Q1086" s="26" t="str">
        <f t="shared" si="53"/>
        <v/>
      </c>
    </row>
    <row r="1087" spans="1:17" x14ac:dyDescent="0.3">
      <c r="A1087" s="35"/>
      <c r="B1087" s="25"/>
      <c r="C1087" s="25"/>
      <c r="D1087" s="25"/>
      <c r="E1087" s="25"/>
      <c r="F1087" s="25"/>
      <c r="G1087" s="25"/>
      <c r="H1087" s="25"/>
      <c r="I1087" s="25"/>
      <c r="J1087" s="25"/>
      <c r="K1087" s="25"/>
      <c r="L1087" s="25"/>
      <c r="M1087" s="22" t="s">
        <v>86</v>
      </c>
      <c r="N1087" s="23">
        <v>46083</v>
      </c>
      <c r="O1087" s="26" t="str">
        <f t="shared" si="51"/>
        <v/>
      </c>
      <c r="P1087" s="26" t="str">
        <f t="shared" si="52"/>
        <v/>
      </c>
      <c r="Q1087" s="26" t="str">
        <f t="shared" si="53"/>
        <v/>
      </c>
    </row>
    <row r="1088" spans="1:17" x14ac:dyDescent="0.3">
      <c r="A1088" s="35"/>
      <c r="B1088" s="25"/>
      <c r="C1088" s="25"/>
      <c r="D1088" s="25"/>
      <c r="E1088" s="25"/>
      <c r="F1088" s="25"/>
      <c r="G1088" s="25"/>
      <c r="H1088" s="25"/>
      <c r="I1088" s="25"/>
      <c r="J1088" s="25"/>
      <c r="K1088" s="25"/>
      <c r="L1088" s="25"/>
      <c r="M1088" s="22" t="s">
        <v>86</v>
      </c>
      <c r="N1088" s="23">
        <v>46083</v>
      </c>
      <c r="O1088" s="26" t="str">
        <f t="shared" si="51"/>
        <v/>
      </c>
      <c r="P1088" s="26" t="str">
        <f t="shared" si="52"/>
        <v/>
      </c>
      <c r="Q1088" s="26" t="str">
        <f t="shared" si="53"/>
        <v/>
      </c>
    </row>
    <row r="1089" spans="1:17" x14ac:dyDescent="0.3">
      <c r="A1089" s="35"/>
      <c r="B1089" s="25"/>
      <c r="C1089" s="25"/>
      <c r="D1089" s="25"/>
      <c r="E1089" s="25"/>
      <c r="F1089" s="25"/>
      <c r="G1089" s="25"/>
      <c r="H1089" s="25"/>
      <c r="I1089" s="25"/>
      <c r="J1089" s="25"/>
      <c r="K1089" s="25"/>
      <c r="L1089" s="25"/>
      <c r="M1089" s="22" t="s">
        <v>86</v>
      </c>
      <c r="N1089" s="23">
        <v>46083</v>
      </c>
      <c r="O1089" s="26" t="str">
        <f t="shared" si="51"/>
        <v/>
      </c>
      <c r="P1089" s="26" t="str">
        <f t="shared" si="52"/>
        <v/>
      </c>
      <c r="Q1089" s="26" t="str">
        <f t="shared" si="53"/>
        <v/>
      </c>
    </row>
    <row r="1090" spans="1:17" x14ac:dyDescent="0.3">
      <c r="A1090" s="35"/>
      <c r="B1090" s="25"/>
      <c r="C1090" s="25"/>
      <c r="D1090" s="25"/>
      <c r="E1090" s="25"/>
      <c r="F1090" s="25"/>
      <c r="G1090" s="25"/>
      <c r="H1090" s="25"/>
      <c r="I1090" s="25"/>
      <c r="J1090" s="25"/>
      <c r="K1090" s="25"/>
      <c r="L1090" s="25"/>
      <c r="M1090" s="22" t="s">
        <v>86</v>
      </c>
      <c r="N1090" s="23">
        <v>46083</v>
      </c>
      <c r="O1090" s="26" t="str">
        <f t="shared" ref="O1090:O1153" si="54">IF(A1090="","",IFERROR(IF(AND(LEN(A1090)=10,NOT(ISERROR(VALUE(A1090)))),"OK","확인"),"확인"))</f>
        <v/>
      </c>
      <c r="P1090" s="26" t="str">
        <f t="shared" ref="P1090:P1153" si="55">IF(A1090="","",IF(COUNTIF($A$2:$A$1946,A1090)&gt;1,"중복",""))</f>
        <v/>
      </c>
      <c r="Q1090" s="26" t="str">
        <f t="shared" ref="Q1090:Q1153" si="56">IF(G1090="","",IF(ISNUMBER(SEARCH("@",G1090)),"","확인"))</f>
        <v/>
      </c>
    </row>
    <row r="1091" spans="1:17" x14ac:dyDescent="0.3">
      <c r="A1091" s="35"/>
      <c r="B1091" s="25"/>
      <c r="C1091" s="25"/>
      <c r="D1091" s="25"/>
      <c r="E1091" s="25"/>
      <c r="F1091" s="25"/>
      <c r="G1091" s="25"/>
      <c r="H1091" s="25"/>
      <c r="I1091" s="25"/>
      <c r="J1091" s="25"/>
      <c r="K1091" s="25"/>
      <c r="L1091" s="25"/>
      <c r="M1091" s="22" t="s">
        <v>86</v>
      </c>
      <c r="N1091" s="23">
        <v>46083</v>
      </c>
      <c r="O1091" s="26" t="str">
        <f t="shared" si="54"/>
        <v/>
      </c>
      <c r="P1091" s="26" t="str">
        <f t="shared" si="55"/>
        <v/>
      </c>
      <c r="Q1091" s="26" t="str">
        <f t="shared" si="56"/>
        <v/>
      </c>
    </row>
    <row r="1092" spans="1:17" x14ac:dyDescent="0.3">
      <c r="A1092" s="35"/>
      <c r="B1092" s="25"/>
      <c r="C1092" s="25"/>
      <c r="D1092" s="25"/>
      <c r="E1092" s="25"/>
      <c r="F1092" s="25"/>
      <c r="G1092" s="25"/>
      <c r="H1092" s="25"/>
      <c r="I1092" s="25"/>
      <c r="J1092" s="25"/>
      <c r="K1092" s="25"/>
      <c r="L1092" s="25"/>
      <c r="M1092" s="22" t="s">
        <v>86</v>
      </c>
      <c r="N1092" s="23">
        <v>46083</v>
      </c>
      <c r="O1092" s="26" t="str">
        <f t="shared" si="54"/>
        <v/>
      </c>
      <c r="P1092" s="26" t="str">
        <f t="shared" si="55"/>
        <v/>
      </c>
      <c r="Q1092" s="26" t="str">
        <f t="shared" si="56"/>
        <v/>
      </c>
    </row>
    <row r="1093" spans="1:17" x14ac:dyDescent="0.3">
      <c r="A1093" s="35"/>
      <c r="B1093" s="25"/>
      <c r="C1093" s="25"/>
      <c r="D1093" s="25"/>
      <c r="E1093" s="25"/>
      <c r="F1093" s="25"/>
      <c r="G1093" s="25"/>
      <c r="H1093" s="25"/>
      <c r="I1093" s="25"/>
      <c r="J1093" s="25"/>
      <c r="K1093" s="25"/>
      <c r="L1093" s="25"/>
      <c r="M1093" s="22" t="s">
        <v>86</v>
      </c>
      <c r="N1093" s="23">
        <v>46083</v>
      </c>
      <c r="O1093" s="26" t="str">
        <f t="shared" si="54"/>
        <v/>
      </c>
      <c r="P1093" s="26" t="str">
        <f t="shared" si="55"/>
        <v/>
      </c>
      <c r="Q1093" s="26" t="str">
        <f t="shared" si="56"/>
        <v/>
      </c>
    </row>
    <row r="1094" spans="1:17" x14ac:dyDescent="0.3">
      <c r="A1094" s="35"/>
      <c r="B1094" s="25"/>
      <c r="C1094" s="25"/>
      <c r="D1094" s="25"/>
      <c r="E1094" s="25"/>
      <c r="F1094" s="25"/>
      <c r="G1094" s="25"/>
      <c r="H1094" s="25"/>
      <c r="I1094" s="25"/>
      <c r="J1094" s="25"/>
      <c r="K1094" s="25"/>
      <c r="L1094" s="25"/>
      <c r="M1094" s="22" t="s">
        <v>86</v>
      </c>
      <c r="N1094" s="23">
        <v>46083</v>
      </c>
      <c r="O1094" s="26" t="str">
        <f t="shared" si="54"/>
        <v/>
      </c>
      <c r="P1094" s="26" t="str">
        <f t="shared" si="55"/>
        <v/>
      </c>
      <c r="Q1094" s="26" t="str">
        <f t="shared" si="56"/>
        <v/>
      </c>
    </row>
    <row r="1095" spans="1:17" x14ac:dyDescent="0.3">
      <c r="A1095" s="35"/>
      <c r="B1095" s="25"/>
      <c r="C1095" s="25"/>
      <c r="D1095" s="25"/>
      <c r="E1095" s="25"/>
      <c r="F1095" s="25"/>
      <c r="G1095" s="25"/>
      <c r="H1095" s="25"/>
      <c r="I1095" s="25"/>
      <c r="J1095" s="25"/>
      <c r="K1095" s="25"/>
      <c r="L1095" s="25"/>
      <c r="M1095" s="22" t="s">
        <v>86</v>
      </c>
      <c r="N1095" s="23">
        <v>46083</v>
      </c>
      <c r="O1095" s="26" t="str">
        <f t="shared" si="54"/>
        <v/>
      </c>
      <c r="P1095" s="26" t="str">
        <f t="shared" si="55"/>
        <v/>
      </c>
      <c r="Q1095" s="26" t="str">
        <f t="shared" si="56"/>
        <v/>
      </c>
    </row>
    <row r="1096" spans="1:17" x14ac:dyDescent="0.3">
      <c r="A1096" s="35"/>
      <c r="B1096" s="25"/>
      <c r="C1096" s="25"/>
      <c r="D1096" s="25"/>
      <c r="E1096" s="25"/>
      <c r="F1096" s="25"/>
      <c r="G1096" s="25"/>
      <c r="H1096" s="25"/>
      <c r="I1096" s="25"/>
      <c r="J1096" s="25"/>
      <c r="K1096" s="25"/>
      <c r="L1096" s="25"/>
      <c r="M1096" s="22" t="s">
        <v>86</v>
      </c>
      <c r="N1096" s="23">
        <v>46083</v>
      </c>
      <c r="O1096" s="26" t="str">
        <f t="shared" si="54"/>
        <v/>
      </c>
      <c r="P1096" s="26" t="str">
        <f t="shared" si="55"/>
        <v/>
      </c>
      <c r="Q1096" s="26" t="str">
        <f t="shared" si="56"/>
        <v/>
      </c>
    </row>
    <row r="1097" spans="1:17" x14ac:dyDescent="0.3">
      <c r="A1097" s="35"/>
      <c r="B1097" s="25"/>
      <c r="C1097" s="25"/>
      <c r="D1097" s="25"/>
      <c r="E1097" s="25"/>
      <c r="F1097" s="25"/>
      <c r="G1097" s="25"/>
      <c r="H1097" s="25"/>
      <c r="I1097" s="25"/>
      <c r="J1097" s="25"/>
      <c r="K1097" s="25"/>
      <c r="L1097" s="25"/>
      <c r="M1097" s="22" t="s">
        <v>86</v>
      </c>
      <c r="N1097" s="23">
        <v>46083</v>
      </c>
      <c r="O1097" s="26" t="str">
        <f t="shared" si="54"/>
        <v/>
      </c>
      <c r="P1097" s="26" t="str">
        <f t="shared" si="55"/>
        <v/>
      </c>
      <c r="Q1097" s="26" t="str">
        <f t="shared" si="56"/>
        <v/>
      </c>
    </row>
    <row r="1098" spans="1:17" x14ac:dyDescent="0.3">
      <c r="A1098" s="35"/>
      <c r="B1098" s="25"/>
      <c r="C1098" s="25"/>
      <c r="D1098" s="25"/>
      <c r="E1098" s="25"/>
      <c r="F1098" s="25"/>
      <c r="G1098" s="25"/>
      <c r="H1098" s="25"/>
      <c r="I1098" s="25"/>
      <c r="J1098" s="25"/>
      <c r="K1098" s="25"/>
      <c r="L1098" s="25"/>
      <c r="M1098" s="22" t="s">
        <v>86</v>
      </c>
      <c r="N1098" s="23">
        <v>46083</v>
      </c>
      <c r="O1098" s="26" t="str">
        <f t="shared" si="54"/>
        <v/>
      </c>
      <c r="P1098" s="26" t="str">
        <f t="shared" si="55"/>
        <v/>
      </c>
      <c r="Q1098" s="26" t="str">
        <f t="shared" si="56"/>
        <v/>
      </c>
    </row>
    <row r="1099" spans="1:17" x14ac:dyDescent="0.3">
      <c r="A1099" s="35"/>
      <c r="B1099" s="25"/>
      <c r="C1099" s="25"/>
      <c r="D1099" s="25"/>
      <c r="E1099" s="25"/>
      <c r="F1099" s="25"/>
      <c r="G1099" s="25"/>
      <c r="H1099" s="25"/>
      <c r="I1099" s="25"/>
      <c r="J1099" s="25"/>
      <c r="K1099" s="25"/>
      <c r="L1099" s="25"/>
      <c r="M1099" s="22" t="s">
        <v>86</v>
      </c>
      <c r="N1099" s="23">
        <v>46083</v>
      </c>
      <c r="O1099" s="26" t="str">
        <f t="shared" si="54"/>
        <v/>
      </c>
      <c r="P1099" s="26" t="str">
        <f t="shared" si="55"/>
        <v/>
      </c>
      <c r="Q1099" s="26" t="str">
        <f t="shared" si="56"/>
        <v/>
      </c>
    </row>
    <row r="1100" spans="1:17" x14ac:dyDescent="0.3">
      <c r="A1100" s="35"/>
      <c r="B1100" s="25"/>
      <c r="C1100" s="25"/>
      <c r="D1100" s="25"/>
      <c r="E1100" s="25"/>
      <c r="F1100" s="25"/>
      <c r="G1100" s="25"/>
      <c r="H1100" s="25"/>
      <c r="I1100" s="25"/>
      <c r="J1100" s="25"/>
      <c r="K1100" s="25"/>
      <c r="L1100" s="25"/>
      <c r="M1100" s="22" t="s">
        <v>86</v>
      </c>
      <c r="N1100" s="23">
        <v>46083</v>
      </c>
      <c r="O1100" s="26" t="str">
        <f t="shared" si="54"/>
        <v/>
      </c>
      <c r="P1100" s="26" t="str">
        <f t="shared" si="55"/>
        <v/>
      </c>
      <c r="Q1100" s="26" t="str">
        <f t="shared" si="56"/>
        <v/>
      </c>
    </row>
    <row r="1101" spans="1:17" x14ac:dyDescent="0.3">
      <c r="A1101" s="35"/>
      <c r="B1101" s="25"/>
      <c r="C1101" s="25"/>
      <c r="D1101" s="25"/>
      <c r="E1101" s="25"/>
      <c r="F1101" s="25"/>
      <c r="G1101" s="25"/>
      <c r="H1101" s="25"/>
      <c r="I1101" s="25"/>
      <c r="J1101" s="25"/>
      <c r="K1101" s="25"/>
      <c r="L1101" s="25"/>
      <c r="M1101" s="22" t="s">
        <v>86</v>
      </c>
      <c r="N1101" s="23">
        <v>46083</v>
      </c>
      <c r="O1101" s="26" t="str">
        <f t="shared" si="54"/>
        <v/>
      </c>
      <c r="P1101" s="26" t="str">
        <f t="shared" si="55"/>
        <v/>
      </c>
      <c r="Q1101" s="26" t="str">
        <f t="shared" si="56"/>
        <v/>
      </c>
    </row>
    <row r="1102" spans="1:17" x14ac:dyDescent="0.3">
      <c r="A1102" s="35"/>
      <c r="B1102" s="25"/>
      <c r="C1102" s="25"/>
      <c r="D1102" s="25"/>
      <c r="E1102" s="25"/>
      <c r="F1102" s="25"/>
      <c r="G1102" s="25"/>
      <c r="H1102" s="25"/>
      <c r="I1102" s="25"/>
      <c r="J1102" s="25"/>
      <c r="K1102" s="25"/>
      <c r="L1102" s="25"/>
      <c r="M1102" s="22" t="s">
        <v>86</v>
      </c>
      <c r="N1102" s="23">
        <v>46083</v>
      </c>
      <c r="O1102" s="26" t="str">
        <f t="shared" si="54"/>
        <v/>
      </c>
      <c r="P1102" s="26" t="str">
        <f t="shared" si="55"/>
        <v/>
      </c>
      <c r="Q1102" s="26" t="str">
        <f t="shared" si="56"/>
        <v/>
      </c>
    </row>
    <row r="1103" spans="1:17" x14ac:dyDescent="0.3">
      <c r="A1103" s="35"/>
      <c r="B1103" s="25"/>
      <c r="C1103" s="25"/>
      <c r="D1103" s="25"/>
      <c r="E1103" s="25"/>
      <c r="F1103" s="25"/>
      <c r="G1103" s="25"/>
      <c r="H1103" s="25"/>
      <c r="I1103" s="25"/>
      <c r="J1103" s="25"/>
      <c r="K1103" s="25"/>
      <c r="L1103" s="25"/>
      <c r="M1103" s="22" t="s">
        <v>86</v>
      </c>
      <c r="N1103" s="23">
        <v>46083</v>
      </c>
      <c r="O1103" s="26" t="str">
        <f t="shared" si="54"/>
        <v/>
      </c>
      <c r="P1103" s="26" t="str">
        <f t="shared" si="55"/>
        <v/>
      </c>
      <c r="Q1103" s="26" t="str">
        <f t="shared" si="56"/>
        <v/>
      </c>
    </row>
    <row r="1104" spans="1:17" x14ac:dyDescent="0.3">
      <c r="A1104" s="35"/>
      <c r="B1104" s="25"/>
      <c r="C1104" s="25"/>
      <c r="D1104" s="25"/>
      <c r="E1104" s="25"/>
      <c r="F1104" s="25"/>
      <c r="G1104" s="25"/>
      <c r="H1104" s="25"/>
      <c r="I1104" s="25"/>
      <c r="J1104" s="25"/>
      <c r="K1104" s="25"/>
      <c r="L1104" s="25"/>
      <c r="M1104" s="22" t="s">
        <v>86</v>
      </c>
      <c r="N1104" s="23">
        <v>46083</v>
      </c>
      <c r="O1104" s="26" t="str">
        <f t="shared" si="54"/>
        <v/>
      </c>
      <c r="P1104" s="26" t="str">
        <f t="shared" si="55"/>
        <v/>
      </c>
      <c r="Q1104" s="26" t="str">
        <f t="shared" si="56"/>
        <v/>
      </c>
    </row>
    <row r="1105" spans="1:17" x14ac:dyDescent="0.3">
      <c r="A1105" s="35"/>
      <c r="B1105" s="25"/>
      <c r="C1105" s="25"/>
      <c r="D1105" s="25"/>
      <c r="E1105" s="25"/>
      <c r="F1105" s="25"/>
      <c r="G1105" s="25"/>
      <c r="H1105" s="25"/>
      <c r="I1105" s="25"/>
      <c r="J1105" s="25"/>
      <c r="K1105" s="25"/>
      <c r="L1105" s="25"/>
      <c r="M1105" s="22" t="s">
        <v>86</v>
      </c>
      <c r="N1105" s="23">
        <v>46083</v>
      </c>
      <c r="O1105" s="26" t="str">
        <f t="shared" si="54"/>
        <v/>
      </c>
      <c r="P1105" s="26" t="str">
        <f t="shared" si="55"/>
        <v/>
      </c>
      <c r="Q1105" s="26" t="str">
        <f t="shared" si="56"/>
        <v/>
      </c>
    </row>
    <row r="1106" spans="1:17" x14ac:dyDescent="0.3">
      <c r="A1106" s="35"/>
      <c r="B1106" s="25"/>
      <c r="C1106" s="25"/>
      <c r="D1106" s="25"/>
      <c r="E1106" s="25"/>
      <c r="F1106" s="25"/>
      <c r="G1106" s="25"/>
      <c r="H1106" s="25"/>
      <c r="I1106" s="25"/>
      <c r="J1106" s="25"/>
      <c r="K1106" s="25"/>
      <c r="L1106" s="25"/>
      <c r="M1106" s="22" t="s">
        <v>86</v>
      </c>
      <c r="N1106" s="23">
        <v>46083</v>
      </c>
      <c r="O1106" s="26" t="str">
        <f t="shared" si="54"/>
        <v/>
      </c>
      <c r="P1106" s="26" t="str">
        <f t="shared" si="55"/>
        <v/>
      </c>
      <c r="Q1106" s="26" t="str">
        <f t="shared" si="56"/>
        <v/>
      </c>
    </row>
    <row r="1107" spans="1:17" x14ac:dyDescent="0.3">
      <c r="A1107" s="35"/>
      <c r="B1107" s="25"/>
      <c r="C1107" s="25"/>
      <c r="D1107" s="25"/>
      <c r="E1107" s="25"/>
      <c r="F1107" s="25"/>
      <c r="G1107" s="25"/>
      <c r="H1107" s="25"/>
      <c r="I1107" s="25"/>
      <c r="J1107" s="25"/>
      <c r="K1107" s="25"/>
      <c r="L1107" s="25"/>
      <c r="M1107" s="22" t="s">
        <v>86</v>
      </c>
      <c r="N1107" s="23">
        <v>46083</v>
      </c>
      <c r="O1107" s="26" t="str">
        <f t="shared" si="54"/>
        <v/>
      </c>
      <c r="P1107" s="26" t="str">
        <f t="shared" si="55"/>
        <v/>
      </c>
      <c r="Q1107" s="26" t="str">
        <f t="shared" si="56"/>
        <v/>
      </c>
    </row>
    <row r="1108" spans="1:17" x14ac:dyDescent="0.3">
      <c r="A1108" s="35"/>
      <c r="B1108" s="25"/>
      <c r="C1108" s="25"/>
      <c r="D1108" s="25"/>
      <c r="E1108" s="25"/>
      <c r="F1108" s="25"/>
      <c r="G1108" s="25"/>
      <c r="H1108" s="25"/>
      <c r="I1108" s="25"/>
      <c r="J1108" s="25"/>
      <c r="K1108" s="25"/>
      <c r="L1108" s="25"/>
      <c r="M1108" s="22" t="s">
        <v>86</v>
      </c>
      <c r="N1108" s="23">
        <v>46083</v>
      </c>
      <c r="O1108" s="26" t="str">
        <f t="shared" si="54"/>
        <v/>
      </c>
      <c r="P1108" s="26" t="str">
        <f t="shared" si="55"/>
        <v/>
      </c>
      <c r="Q1108" s="26" t="str">
        <f t="shared" si="56"/>
        <v/>
      </c>
    </row>
    <row r="1109" spans="1:17" x14ac:dyDescent="0.3">
      <c r="A1109" s="35"/>
      <c r="B1109" s="25"/>
      <c r="C1109" s="25"/>
      <c r="D1109" s="25"/>
      <c r="E1109" s="25"/>
      <c r="F1109" s="25"/>
      <c r="G1109" s="25"/>
      <c r="H1109" s="25"/>
      <c r="I1109" s="25"/>
      <c r="J1109" s="25"/>
      <c r="K1109" s="25"/>
      <c r="L1109" s="25"/>
      <c r="M1109" s="22" t="s">
        <v>86</v>
      </c>
      <c r="N1109" s="23">
        <v>46083</v>
      </c>
      <c r="O1109" s="26" t="str">
        <f t="shared" si="54"/>
        <v/>
      </c>
      <c r="P1109" s="26" t="str">
        <f t="shared" si="55"/>
        <v/>
      </c>
      <c r="Q1109" s="26" t="str">
        <f t="shared" si="56"/>
        <v/>
      </c>
    </row>
    <row r="1110" spans="1:17" x14ac:dyDescent="0.3">
      <c r="A1110" s="35"/>
      <c r="B1110" s="25"/>
      <c r="C1110" s="25"/>
      <c r="D1110" s="25"/>
      <c r="E1110" s="25"/>
      <c r="F1110" s="25"/>
      <c r="G1110" s="25"/>
      <c r="H1110" s="25"/>
      <c r="I1110" s="25"/>
      <c r="J1110" s="25"/>
      <c r="K1110" s="25"/>
      <c r="L1110" s="25"/>
      <c r="M1110" s="22" t="s">
        <v>86</v>
      </c>
      <c r="N1110" s="23">
        <v>46083</v>
      </c>
      <c r="O1110" s="26" t="str">
        <f t="shared" si="54"/>
        <v/>
      </c>
      <c r="P1110" s="26" t="str">
        <f t="shared" si="55"/>
        <v/>
      </c>
      <c r="Q1110" s="26" t="str">
        <f t="shared" si="56"/>
        <v/>
      </c>
    </row>
    <row r="1111" spans="1:17" x14ac:dyDescent="0.3">
      <c r="A1111" s="35"/>
      <c r="B1111" s="25"/>
      <c r="C1111" s="25"/>
      <c r="D1111" s="25"/>
      <c r="E1111" s="25"/>
      <c r="F1111" s="25"/>
      <c r="G1111" s="25"/>
      <c r="H1111" s="25"/>
      <c r="I1111" s="25"/>
      <c r="J1111" s="25"/>
      <c r="K1111" s="25"/>
      <c r="L1111" s="25"/>
      <c r="M1111" s="22" t="s">
        <v>86</v>
      </c>
      <c r="N1111" s="23">
        <v>46083</v>
      </c>
      <c r="O1111" s="26" t="str">
        <f t="shared" si="54"/>
        <v/>
      </c>
      <c r="P1111" s="26" t="str">
        <f t="shared" si="55"/>
        <v/>
      </c>
      <c r="Q1111" s="26" t="str">
        <f t="shared" si="56"/>
        <v/>
      </c>
    </row>
    <row r="1112" spans="1:17" x14ac:dyDescent="0.3">
      <c r="A1112" s="35"/>
      <c r="B1112" s="25"/>
      <c r="C1112" s="25"/>
      <c r="D1112" s="25"/>
      <c r="E1112" s="25"/>
      <c r="F1112" s="25"/>
      <c r="G1112" s="25"/>
      <c r="H1112" s="25"/>
      <c r="I1112" s="25"/>
      <c r="J1112" s="25"/>
      <c r="K1112" s="25"/>
      <c r="L1112" s="25"/>
      <c r="M1112" s="22" t="s">
        <v>86</v>
      </c>
      <c r="N1112" s="23">
        <v>46083</v>
      </c>
      <c r="O1112" s="26" t="str">
        <f t="shared" si="54"/>
        <v/>
      </c>
      <c r="P1112" s="26" t="str">
        <f t="shared" si="55"/>
        <v/>
      </c>
      <c r="Q1112" s="26" t="str">
        <f t="shared" si="56"/>
        <v/>
      </c>
    </row>
    <row r="1113" spans="1:17" x14ac:dyDescent="0.3">
      <c r="A1113" s="35"/>
      <c r="B1113" s="25"/>
      <c r="C1113" s="25"/>
      <c r="D1113" s="25"/>
      <c r="E1113" s="25"/>
      <c r="F1113" s="25"/>
      <c r="G1113" s="25"/>
      <c r="H1113" s="25"/>
      <c r="I1113" s="25"/>
      <c r="J1113" s="25"/>
      <c r="K1113" s="25"/>
      <c r="L1113" s="25"/>
      <c r="M1113" s="22" t="s">
        <v>86</v>
      </c>
      <c r="N1113" s="23">
        <v>46083</v>
      </c>
      <c r="O1113" s="26" t="str">
        <f t="shared" si="54"/>
        <v/>
      </c>
      <c r="P1113" s="26" t="str">
        <f t="shared" si="55"/>
        <v/>
      </c>
      <c r="Q1113" s="26" t="str">
        <f t="shared" si="56"/>
        <v/>
      </c>
    </row>
    <row r="1114" spans="1:17" x14ac:dyDescent="0.3">
      <c r="A1114" s="35"/>
      <c r="B1114" s="25"/>
      <c r="C1114" s="25"/>
      <c r="D1114" s="25"/>
      <c r="E1114" s="25"/>
      <c r="F1114" s="25"/>
      <c r="G1114" s="25"/>
      <c r="H1114" s="25"/>
      <c r="I1114" s="25"/>
      <c r="J1114" s="25"/>
      <c r="K1114" s="25"/>
      <c r="L1114" s="25"/>
      <c r="M1114" s="22" t="s">
        <v>86</v>
      </c>
      <c r="N1114" s="23">
        <v>46083</v>
      </c>
      <c r="O1114" s="26" t="str">
        <f t="shared" si="54"/>
        <v/>
      </c>
      <c r="P1114" s="26" t="str">
        <f t="shared" si="55"/>
        <v/>
      </c>
      <c r="Q1114" s="26" t="str">
        <f t="shared" si="56"/>
        <v/>
      </c>
    </row>
    <row r="1115" spans="1:17" x14ac:dyDescent="0.3">
      <c r="A1115" s="35"/>
      <c r="B1115" s="25"/>
      <c r="C1115" s="25"/>
      <c r="D1115" s="25"/>
      <c r="E1115" s="25"/>
      <c r="F1115" s="25"/>
      <c r="G1115" s="25"/>
      <c r="H1115" s="25"/>
      <c r="I1115" s="25"/>
      <c r="J1115" s="25"/>
      <c r="K1115" s="25"/>
      <c r="L1115" s="25"/>
      <c r="M1115" s="22" t="s">
        <v>86</v>
      </c>
      <c r="N1115" s="23">
        <v>46083</v>
      </c>
      <c r="O1115" s="26" t="str">
        <f t="shared" si="54"/>
        <v/>
      </c>
      <c r="P1115" s="26" t="str">
        <f t="shared" si="55"/>
        <v/>
      </c>
      <c r="Q1115" s="26" t="str">
        <f t="shared" si="56"/>
        <v/>
      </c>
    </row>
    <row r="1116" spans="1:17" x14ac:dyDescent="0.3">
      <c r="A1116" s="35"/>
      <c r="B1116" s="25"/>
      <c r="C1116" s="25"/>
      <c r="D1116" s="25"/>
      <c r="E1116" s="25"/>
      <c r="F1116" s="25"/>
      <c r="G1116" s="25"/>
      <c r="H1116" s="25"/>
      <c r="I1116" s="25"/>
      <c r="J1116" s="25"/>
      <c r="K1116" s="25"/>
      <c r="L1116" s="25"/>
      <c r="M1116" s="22" t="s">
        <v>86</v>
      </c>
      <c r="N1116" s="23">
        <v>46083</v>
      </c>
      <c r="O1116" s="26" t="str">
        <f t="shared" si="54"/>
        <v/>
      </c>
      <c r="P1116" s="26" t="str">
        <f t="shared" si="55"/>
        <v/>
      </c>
      <c r="Q1116" s="26" t="str">
        <f t="shared" si="56"/>
        <v/>
      </c>
    </row>
    <row r="1117" spans="1:17" x14ac:dyDescent="0.3">
      <c r="A1117" s="35"/>
      <c r="B1117" s="25"/>
      <c r="C1117" s="25"/>
      <c r="D1117" s="25"/>
      <c r="E1117" s="25"/>
      <c r="F1117" s="25"/>
      <c r="G1117" s="25"/>
      <c r="H1117" s="25"/>
      <c r="I1117" s="25"/>
      <c r="J1117" s="25"/>
      <c r="K1117" s="25"/>
      <c r="L1117" s="25"/>
      <c r="M1117" s="22" t="s">
        <v>86</v>
      </c>
      <c r="N1117" s="23">
        <v>46083</v>
      </c>
      <c r="O1117" s="26" t="str">
        <f t="shared" si="54"/>
        <v/>
      </c>
      <c r="P1117" s="26" t="str">
        <f t="shared" si="55"/>
        <v/>
      </c>
      <c r="Q1117" s="26" t="str">
        <f t="shared" si="56"/>
        <v/>
      </c>
    </row>
    <row r="1118" spans="1:17" x14ac:dyDescent="0.3">
      <c r="A1118" s="35"/>
      <c r="B1118" s="25"/>
      <c r="C1118" s="25"/>
      <c r="D1118" s="25"/>
      <c r="E1118" s="25"/>
      <c r="F1118" s="25"/>
      <c r="G1118" s="25"/>
      <c r="H1118" s="25"/>
      <c r="I1118" s="25"/>
      <c r="J1118" s="25"/>
      <c r="K1118" s="25"/>
      <c r="L1118" s="25"/>
      <c r="M1118" s="22" t="s">
        <v>86</v>
      </c>
      <c r="N1118" s="23">
        <v>46083</v>
      </c>
      <c r="O1118" s="26" t="str">
        <f t="shared" si="54"/>
        <v/>
      </c>
      <c r="P1118" s="26" t="str">
        <f t="shared" si="55"/>
        <v/>
      </c>
      <c r="Q1118" s="26" t="str">
        <f t="shared" si="56"/>
        <v/>
      </c>
    </row>
    <row r="1119" spans="1:17" x14ac:dyDescent="0.3">
      <c r="A1119" s="35"/>
      <c r="B1119" s="25"/>
      <c r="C1119" s="25"/>
      <c r="D1119" s="25"/>
      <c r="E1119" s="25"/>
      <c r="F1119" s="25"/>
      <c r="G1119" s="25"/>
      <c r="H1119" s="25"/>
      <c r="I1119" s="25"/>
      <c r="J1119" s="25"/>
      <c r="K1119" s="25"/>
      <c r="L1119" s="25"/>
      <c r="M1119" s="22" t="s">
        <v>86</v>
      </c>
      <c r="N1119" s="23">
        <v>46083</v>
      </c>
      <c r="O1119" s="26" t="str">
        <f t="shared" si="54"/>
        <v/>
      </c>
      <c r="P1119" s="26" t="str">
        <f t="shared" si="55"/>
        <v/>
      </c>
      <c r="Q1119" s="26" t="str">
        <f t="shared" si="56"/>
        <v/>
      </c>
    </row>
    <row r="1120" spans="1:17" x14ac:dyDescent="0.3">
      <c r="A1120" s="35"/>
      <c r="B1120" s="25"/>
      <c r="C1120" s="25"/>
      <c r="D1120" s="25"/>
      <c r="E1120" s="25"/>
      <c r="F1120" s="25"/>
      <c r="G1120" s="25"/>
      <c r="H1120" s="25"/>
      <c r="I1120" s="25"/>
      <c r="J1120" s="25"/>
      <c r="K1120" s="25"/>
      <c r="L1120" s="25"/>
      <c r="M1120" s="22" t="s">
        <v>86</v>
      </c>
      <c r="N1120" s="23">
        <v>46083</v>
      </c>
      <c r="O1120" s="26" t="str">
        <f t="shared" si="54"/>
        <v/>
      </c>
      <c r="P1120" s="26" t="str">
        <f t="shared" si="55"/>
        <v/>
      </c>
      <c r="Q1120" s="26" t="str">
        <f t="shared" si="56"/>
        <v/>
      </c>
    </row>
    <row r="1121" spans="1:17" x14ac:dyDescent="0.3">
      <c r="A1121" s="35"/>
      <c r="B1121" s="25"/>
      <c r="C1121" s="25"/>
      <c r="D1121" s="25"/>
      <c r="E1121" s="25"/>
      <c r="F1121" s="25"/>
      <c r="G1121" s="25"/>
      <c r="H1121" s="25"/>
      <c r="I1121" s="25"/>
      <c r="J1121" s="25"/>
      <c r="K1121" s="25"/>
      <c r="L1121" s="25"/>
      <c r="M1121" s="22" t="s">
        <v>86</v>
      </c>
      <c r="N1121" s="23">
        <v>46083</v>
      </c>
      <c r="O1121" s="26" t="str">
        <f t="shared" si="54"/>
        <v/>
      </c>
      <c r="P1121" s="26" t="str">
        <f t="shared" si="55"/>
        <v/>
      </c>
      <c r="Q1121" s="26" t="str">
        <f t="shared" si="56"/>
        <v/>
      </c>
    </row>
    <row r="1122" spans="1:17" x14ac:dyDescent="0.3">
      <c r="A1122" s="35"/>
      <c r="B1122" s="25"/>
      <c r="C1122" s="25"/>
      <c r="D1122" s="25"/>
      <c r="E1122" s="25"/>
      <c r="F1122" s="25"/>
      <c r="G1122" s="25"/>
      <c r="H1122" s="25"/>
      <c r="I1122" s="25"/>
      <c r="J1122" s="25"/>
      <c r="K1122" s="25"/>
      <c r="L1122" s="25"/>
      <c r="M1122" s="22" t="s">
        <v>86</v>
      </c>
      <c r="N1122" s="23">
        <v>46083</v>
      </c>
      <c r="O1122" s="26" t="str">
        <f t="shared" si="54"/>
        <v/>
      </c>
      <c r="P1122" s="26" t="str">
        <f t="shared" si="55"/>
        <v/>
      </c>
      <c r="Q1122" s="26" t="str">
        <f t="shared" si="56"/>
        <v/>
      </c>
    </row>
    <row r="1123" spans="1:17" x14ac:dyDescent="0.3">
      <c r="A1123" s="35"/>
      <c r="B1123" s="25"/>
      <c r="C1123" s="25"/>
      <c r="D1123" s="25"/>
      <c r="E1123" s="25"/>
      <c r="F1123" s="25"/>
      <c r="G1123" s="25"/>
      <c r="H1123" s="25"/>
      <c r="I1123" s="25"/>
      <c r="J1123" s="25"/>
      <c r="K1123" s="25"/>
      <c r="L1123" s="25"/>
      <c r="M1123" s="22" t="s">
        <v>86</v>
      </c>
      <c r="N1123" s="23">
        <v>46083</v>
      </c>
      <c r="O1123" s="26" t="str">
        <f t="shared" si="54"/>
        <v/>
      </c>
      <c r="P1123" s="26" t="str">
        <f t="shared" si="55"/>
        <v/>
      </c>
      <c r="Q1123" s="26" t="str">
        <f t="shared" si="56"/>
        <v/>
      </c>
    </row>
    <row r="1124" spans="1:17" x14ac:dyDescent="0.3">
      <c r="A1124" s="35"/>
      <c r="B1124" s="25"/>
      <c r="C1124" s="25"/>
      <c r="D1124" s="25"/>
      <c r="E1124" s="25"/>
      <c r="F1124" s="25"/>
      <c r="G1124" s="25"/>
      <c r="H1124" s="25"/>
      <c r="I1124" s="25"/>
      <c r="J1124" s="25"/>
      <c r="K1124" s="25"/>
      <c r="L1124" s="25"/>
      <c r="M1124" s="22" t="s">
        <v>86</v>
      </c>
      <c r="N1124" s="23">
        <v>46083</v>
      </c>
      <c r="O1124" s="26" t="str">
        <f t="shared" si="54"/>
        <v/>
      </c>
      <c r="P1124" s="26" t="str">
        <f t="shared" si="55"/>
        <v/>
      </c>
      <c r="Q1124" s="26" t="str">
        <f t="shared" si="56"/>
        <v/>
      </c>
    </row>
    <row r="1125" spans="1:17" x14ac:dyDescent="0.3">
      <c r="A1125" s="35"/>
      <c r="B1125" s="25"/>
      <c r="C1125" s="25"/>
      <c r="D1125" s="25"/>
      <c r="E1125" s="25"/>
      <c r="F1125" s="25"/>
      <c r="G1125" s="25"/>
      <c r="H1125" s="25"/>
      <c r="I1125" s="25"/>
      <c r="J1125" s="25"/>
      <c r="K1125" s="25"/>
      <c r="L1125" s="25"/>
      <c r="M1125" s="22" t="s">
        <v>86</v>
      </c>
      <c r="N1125" s="23">
        <v>46083</v>
      </c>
      <c r="O1125" s="26" t="str">
        <f t="shared" si="54"/>
        <v/>
      </c>
      <c r="P1125" s="26" t="str">
        <f t="shared" si="55"/>
        <v/>
      </c>
      <c r="Q1125" s="26" t="str">
        <f t="shared" si="56"/>
        <v/>
      </c>
    </row>
    <row r="1126" spans="1:17" x14ac:dyDescent="0.3">
      <c r="A1126" s="35"/>
      <c r="B1126" s="25"/>
      <c r="C1126" s="25"/>
      <c r="D1126" s="25"/>
      <c r="E1126" s="25"/>
      <c r="F1126" s="25"/>
      <c r="G1126" s="25"/>
      <c r="H1126" s="25"/>
      <c r="I1126" s="25"/>
      <c r="J1126" s="25"/>
      <c r="K1126" s="25"/>
      <c r="L1126" s="25"/>
      <c r="M1126" s="22" t="s">
        <v>86</v>
      </c>
      <c r="N1126" s="23">
        <v>46083</v>
      </c>
      <c r="O1126" s="26" t="str">
        <f t="shared" si="54"/>
        <v/>
      </c>
      <c r="P1126" s="26" t="str">
        <f t="shared" si="55"/>
        <v/>
      </c>
      <c r="Q1126" s="26" t="str">
        <f t="shared" si="56"/>
        <v/>
      </c>
    </row>
    <row r="1127" spans="1:17" x14ac:dyDescent="0.3">
      <c r="A1127" s="35"/>
      <c r="B1127" s="25"/>
      <c r="C1127" s="25"/>
      <c r="D1127" s="25"/>
      <c r="E1127" s="25"/>
      <c r="F1127" s="25"/>
      <c r="G1127" s="25"/>
      <c r="H1127" s="25"/>
      <c r="I1127" s="25"/>
      <c r="J1127" s="25"/>
      <c r="K1127" s="25"/>
      <c r="L1127" s="25"/>
      <c r="M1127" s="22" t="s">
        <v>86</v>
      </c>
      <c r="N1127" s="23">
        <v>46083</v>
      </c>
      <c r="O1127" s="26" t="str">
        <f t="shared" si="54"/>
        <v/>
      </c>
      <c r="P1127" s="26" t="str">
        <f t="shared" si="55"/>
        <v/>
      </c>
      <c r="Q1127" s="26" t="str">
        <f t="shared" si="56"/>
        <v/>
      </c>
    </row>
    <row r="1128" spans="1:17" x14ac:dyDescent="0.3">
      <c r="A1128" s="35"/>
      <c r="B1128" s="25"/>
      <c r="C1128" s="25"/>
      <c r="D1128" s="25"/>
      <c r="E1128" s="25"/>
      <c r="F1128" s="25"/>
      <c r="G1128" s="25"/>
      <c r="H1128" s="25"/>
      <c r="I1128" s="25"/>
      <c r="J1128" s="25"/>
      <c r="K1128" s="25"/>
      <c r="L1128" s="25"/>
      <c r="M1128" s="22" t="s">
        <v>86</v>
      </c>
      <c r="N1128" s="23">
        <v>46083</v>
      </c>
      <c r="O1128" s="26" t="str">
        <f t="shared" si="54"/>
        <v/>
      </c>
      <c r="P1128" s="26" t="str">
        <f t="shared" si="55"/>
        <v/>
      </c>
      <c r="Q1128" s="26" t="str">
        <f t="shared" si="56"/>
        <v/>
      </c>
    </row>
    <row r="1129" spans="1:17" x14ac:dyDescent="0.3">
      <c r="A1129" s="35"/>
      <c r="B1129" s="25"/>
      <c r="C1129" s="25"/>
      <c r="D1129" s="25"/>
      <c r="E1129" s="25"/>
      <c r="F1129" s="25"/>
      <c r="G1129" s="25"/>
      <c r="H1129" s="25"/>
      <c r="I1129" s="25"/>
      <c r="J1129" s="25"/>
      <c r="K1129" s="25"/>
      <c r="L1129" s="25"/>
      <c r="M1129" s="22" t="s">
        <v>86</v>
      </c>
      <c r="N1129" s="23">
        <v>46083</v>
      </c>
      <c r="O1129" s="26" t="str">
        <f t="shared" si="54"/>
        <v/>
      </c>
      <c r="P1129" s="26" t="str">
        <f t="shared" si="55"/>
        <v/>
      </c>
      <c r="Q1129" s="26" t="str">
        <f t="shared" si="56"/>
        <v/>
      </c>
    </row>
    <row r="1130" spans="1:17" x14ac:dyDescent="0.3">
      <c r="A1130" s="35"/>
      <c r="B1130" s="25"/>
      <c r="C1130" s="25"/>
      <c r="D1130" s="25"/>
      <c r="E1130" s="25"/>
      <c r="F1130" s="25"/>
      <c r="G1130" s="25"/>
      <c r="H1130" s="25"/>
      <c r="I1130" s="25"/>
      <c r="J1130" s="25"/>
      <c r="K1130" s="25"/>
      <c r="L1130" s="25"/>
      <c r="M1130" s="22" t="s">
        <v>86</v>
      </c>
      <c r="N1130" s="23">
        <v>46083</v>
      </c>
      <c r="O1130" s="26" t="str">
        <f t="shared" si="54"/>
        <v/>
      </c>
      <c r="P1130" s="26" t="str">
        <f t="shared" si="55"/>
        <v/>
      </c>
      <c r="Q1130" s="26" t="str">
        <f t="shared" si="56"/>
        <v/>
      </c>
    </row>
    <row r="1131" spans="1:17" x14ac:dyDescent="0.3">
      <c r="A1131" s="35"/>
      <c r="B1131" s="25"/>
      <c r="C1131" s="25"/>
      <c r="D1131" s="25"/>
      <c r="E1131" s="25"/>
      <c r="F1131" s="25"/>
      <c r="G1131" s="25"/>
      <c r="H1131" s="25"/>
      <c r="I1131" s="25"/>
      <c r="J1131" s="25"/>
      <c r="K1131" s="25"/>
      <c r="L1131" s="25"/>
      <c r="M1131" s="22" t="s">
        <v>86</v>
      </c>
      <c r="N1131" s="23">
        <v>46083</v>
      </c>
      <c r="O1131" s="26" t="str">
        <f t="shared" si="54"/>
        <v/>
      </c>
      <c r="P1131" s="26" t="str">
        <f t="shared" si="55"/>
        <v/>
      </c>
      <c r="Q1131" s="26" t="str">
        <f t="shared" si="56"/>
        <v/>
      </c>
    </row>
    <row r="1132" spans="1:17" x14ac:dyDescent="0.3">
      <c r="A1132" s="35"/>
      <c r="B1132" s="25"/>
      <c r="C1132" s="25"/>
      <c r="D1132" s="25"/>
      <c r="E1132" s="25"/>
      <c r="F1132" s="25"/>
      <c r="G1132" s="25"/>
      <c r="H1132" s="25"/>
      <c r="I1132" s="25"/>
      <c r="J1132" s="25"/>
      <c r="K1132" s="25"/>
      <c r="L1132" s="25"/>
      <c r="M1132" s="22" t="s">
        <v>86</v>
      </c>
      <c r="N1132" s="23">
        <v>46083</v>
      </c>
      <c r="O1132" s="26" t="str">
        <f t="shared" si="54"/>
        <v/>
      </c>
      <c r="P1132" s="26" t="str">
        <f t="shared" si="55"/>
        <v/>
      </c>
      <c r="Q1132" s="26" t="str">
        <f t="shared" si="56"/>
        <v/>
      </c>
    </row>
    <row r="1133" spans="1:17" x14ac:dyDescent="0.3">
      <c r="A1133" s="35"/>
      <c r="B1133" s="25"/>
      <c r="C1133" s="25"/>
      <c r="D1133" s="25"/>
      <c r="E1133" s="25"/>
      <c r="F1133" s="25"/>
      <c r="G1133" s="25"/>
      <c r="H1133" s="25"/>
      <c r="I1133" s="25"/>
      <c r="J1133" s="25"/>
      <c r="K1133" s="25"/>
      <c r="L1133" s="25"/>
      <c r="M1133" s="22" t="s">
        <v>86</v>
      </c>
      <c r="N1133" s="23">
        <v>46083</v>
      </c>
      <c r="O1133" s="26" t="str">
        <f t="shared" si="54"/>
        <v/>
      </c>
      <c r="P1133" s="26" t="str">
        <f t="shared" si="55"/>
        <v/>
      </c>
      <c r="Q1133" s="26" t="str">
        <f t="shared" si="56"/>
        <v/>
      </c>
    </row>
    <row r="1134" spans="1:17" x14ac:dyDescent="0.3">
      <c r="A1134" s="35"/>
      <c r="B1134" s="25"/>
      <c r="C1134" s="25"/>
      <c r="D1134" s="25"/>
      <c r="E1134" s="25"/>
      <c r="F1134" s="25"/>
      <c r="G1134" s="25"/>
      <c r="H1134" s="25"/>
      <c r="I1134" s="25"/>
      <c r="J1134" s="25"/>
      <c r="K1134" s="25"/>
      <c r="L1134" s="25"/>
      <c r="M1134" s="22" t="s">
        <v>86</v>
      </c>
      <c r="N1134" s="23">
        <v>46083</v>
      </c>
      <c r="O1134" s="26" t="str">
        <f t="shared" si="54"/>
        <v/>
      </c>
      <c r="P1134" s="26" t="str">
        <f t="shared" si="55"/>
        <v/>
      </c>
      <c r="Q1134" s="26" t="str">
        <f t="shared" si="56"/>
        <v/>
      </c>
    </row>
    <row r="1135" spans="1:17" x14ac:dyDescent="0.3">
      <c r="A1135" s="35"/>
      <c r="B1135" s="25"/>
      <c r="C1135" s="25"/>
      <c r="D1135" s="25"/>
      <c r="E1135" s="25"/>
      <c r="F1135" s="25"/>
      <c r="G1135" s="25"/>
      <c r="H1135" s="25"/>
      <c r="I1135" s="25"/>
      <c r="J1135" s="25"/>
      <c r="K1135" s="25"/>
      <c r="L1135" s="25"/>
      <c r="M1135" s="22" t="s">
        <v>86</v>
      </c>
      <c r="N1135" s="23">
        <v>46083</v>
      </c>
      <c r="O1135" s="26" t="str">
        <f t="shared" si="54"/>
        <v/>
      </c>
      <c r="P1135" s="26" t="str">
        <f t="shared" si="55"/>
        <v/>
      </c>
      <c r="Q1135" s="26" t="str">
        <f t="shared" si="56"/>
        <v/>
      </c>
    </row>
    <row r="1136" spans="1:17" x14ac:dyDescent="0.3">
      <c r="A1136" s="35"/>
      <c r="B1136" s="25"/>
      <c r="C1136" s="25"/>
      <c r="D1136" s="25"/>
      <c r="E1136" s="25"/>
      <c r="F1136" s="25"/>
      <c r="G1136" s="25"/>
      <c r="H1136" s="25"/>
      <c r="I1136" s="25"/>
      <c r="J1136" s="25"/>
      <c r="K1136" s="25"/>
      <c r="L1136" s="25"/>
      <c r="M1136" s="22" t="s">
        <v>86</v>
      </c>
      <c r="N1136" s="23">
        <v>46083</v>
      </c>
      <c r="O1136" s="26" t="str">
        <f t="shared" si="54"/>
        <v/>
      </c>
      <c r="P1136" s="26" t="str">
        <f t="shared" si="55"/>
        <v/>
      </c>
      <c r="Q1136" s="26" t="str">
        <f t="shared" si="56"/>
        <v/>
      </c>
    </row>
    <row r="1137" spans="1:17" x14ac:dyDescent="0.3">
      <c r="A1137" s="35"/>
      <c r="B1137" s="25"/>
      <c r="C1137" s="25"/>
      <c r="D1137" s="25"/>
      <c r="E1137" s="25"/>
      <c r="F1137" s="25"/>
      <c r="G1137" s="25"/>
      <c r="H1137" s="25"/>
      <c r="I1137" s="25"/>
      <c r="J1137" s="25"/>
      <c r="K1137" s="25"/>
      <c r="L1137" s="25"/>
      <c r="M1137" s="22" t="s">
        <v>86</v>
      </c>
      <c r="N1137" s="23">
        <v>46083</v>
      </c>
      <c r="O1137" s="26" t="str">
        <f t="shared" si="54"/>
        <v/>
      </c>
      <c r="P1137" s="26" t="str">
        <f t="shared" si="55"/>
        <v/>
      </c>
      <c r="Q1137" s="26" t="str">
        <f t="shared" si="56"/>
        <v/>
      </c>
    </row>
    <row r="1138" spans="1:17" x14ac:dyDescent="0.3">
      <c r="A1138" s="35"/>
      <c r="B1138" s="25"/>
      <c r="C1138" s="25"/>
      <c r="D1138" s="25"/>
      <c r="E1138" s="25"/>
      <c r="F1138" s="25"/>
      <c r="G1138" s="25"/>
      <c r="H1138" s="25"/>
      <c r="I1138" s="25"/>
      <c r="J1138" s="25"/>
      <c r="K1138" s="25"/>
      <c r="L1138" s="25"/>
      <c r="M1138" s="22" t="s">
        <v>86</v>
      </c>
      <c r="N1138" s="23">
        <v>46083</v>
      </c>
      <c r="O1138" s="26" t="str">
        <f t="shared" si="54"/>
        <v/>
      </c>
      <c r="P1138" s="26" t="str">
        <f t="shared" si="55"/>
        <v/>
      </c>
      <c r="Q1138" s="26" t="str">
        <f t="shared" si="56"/>
        <v/>
      </c>
    </row>
    <row r="1139" spans="1:17" x14ac:dyDescent="0.3">
      <c r="A1139" s="35"/>
      <c r="B1139" s="25"/>
      <c r="C1139" s="25"/>
      <c r="D1139" s="25"/>
      <c r="E1139" s="25"/>
      <c r="F1139" s="25"/>
      <c r="G1139" s="25"/>
      <c r="H1139" s="25"/>
      <c r="I1139" s="25"/>
      <c r="J1139" s="25"/>
      <c r="K1139" s="25"/>
      <c r="L1139" s="25"/>
      <c r="M1139" s="22" t="s">
        <v>86</v>
      </c>
      <c r="N1139" s="23">
        <v>46083</v>
      </c>
      <c r="O1139" s="26" t="str">
        <f t="shared" si="54"/>
        <v/>
      </c>
      <c r="P1139" s="26" t="str">
        <f t="shared" si="55"/>
        <v/>
      </c>
      <c r="Q1139" s="26" t="str">
        <f t="shared" si="56"/>
        <v/>
      </c>
    </row>
    <row r="1140" spans="1:17" x14ac:dyDescent="0.3">
      <c r="A1140" s="35"/>
      <c r="B1140" s="25"/>
      <c r="C1140" s="25"/>
      <c r="D1140" s="25"/>
      <c r="E1140" s="25"/>
      <c r="F1140" s="25"/>
      <c r="G1140" s="25"/>
      <c r="H1140" s="25"/>
      <c r="I1140" s="25"/>
      <c r="J1140" s="25"/>
      <c r="K1140" s="25"/>
      <c r="L1140" s="25"/>
      <c r="M1140" s="22" t="s">
        <v>86</v>
      </c>
      <c r="N1140" s="23">
        <v>46083</v>
      </c>
      <c r="O1140" s="26" t="str">
        <f t="shared" si="54"/>
        <v/>
      </c>
      <c r="P1140" s="26" t="str">
        <f t="shared" si="55"/>
        <v/>
      </c>
      <c r="Q1140" s="26" t="str">
        <f t="shared" si="56"/>
        <v/>
      </c>
    </row>
    <row r="1141" spans="1:17" x14ac:dyDescent="0.3">
      <c r="A1141" s="35"/>
      <c r="B1141" s="25"/>
      <c r="C1141" s="25"/>
      <c r="D1141" s="25"/>
      <c r="E1141" s="25"/>
      <c r="F1141" s="25"/>
      <c r="G1141" s="25"/>
      <c r="H1141" s="25"/>
      <c r="I1141" s="25"/>
      <c r="J1141" s="25"/>
      <c r="K1141" s="25"/>
      <c r="L1141" s="25"/>
      <c r="M1141" s="22" t="s">
        <v>86</v>
      </c>
      <c r="N1141" s="23">
        <v>46083</v>
      </c>
      <c r="O1141" s="26" t="str">
        <f t="shared" si="54"/>
        <v/>
      </c>
      <c r="P1141" s="26" t="str">
        <f t="shared" si="55"/>
        <v/>
      </c>
      <c r="Q1141" s="26" t="str">
        <f t="shared" si="56"/>
        <v/>
      </c>
    </row>
    <row r="1142" spans="1:17" x14ac:dyDescent="0.3">
      <c r="A1142" s="35"/>
      <c r="B1142" s="25"/>
      <c r="C1142" s="25"/>
      <c r="D1142" s="25"/>
      <c r="E1142" s="25"/>
      <c r="F1142" s="25"/>
      <c r="G1142" s="25"/>
      <c r="H1142" s="25"/>
      <c r="I1142" s="25"/>
      <c r="J1142" s="25"/>
      <c r="K1142" s="25"/>
      <c r="L1142" s="25"/>
      <c r="M1142" s="22" t="s">
        <v>86</v>
      </c>
      <c r="N1142" s="23">
        <v>46083</v>
      </c>
      <c r="O1142" s="26" t="str">
        <f t="shared" si="54"/>
        <v/>
      </c>
      <c r="P1142" s="26" t="str">
        <f t="shared" si="55"/>
        <v/>
      </c>
      <c r="Q1142" s="26" t="str">
        <f t="shared" si="56"/>
        <v/>
      </c>
    </row>
    <row r="1143" spans="1:17" x14ac:dyDescent="0.3">
      <c r="A1143" s="35"/>
      <c r="B1143" s="25"/>
      <c r="C1143" s="25"/>
      <c r="D1143" s="25"/>
      <c r="E1143" s="25"/>
      <c r="F1143" s="25"/>
      <c r="G1143" s="25"/>
      <c r="H1143" s="25"/>
      <c r="I1143" s="25"/>
      <c r="J1143" s="25"/>
      <c r="K1143" s="25"/>
      <c r="L1143" s="25"/>
      <c r="M1143" s="22" t="s">
        <v>86</v>
      </c>
      <c r="N1143" s="23">
        <v>46083</v>
      </c>
      <c r="O1143" s="26" t="str">
        <f t="shared" si="54"/>
        <v/>
      </c>
      <c r="P1143" s="26" t="str">
        <f t="shared" si="55"/>
        <v/>
      </c>
      <c r="Q1143" s="26" t="str">
        <f t="shared" si="56"/>
        <v/>
      </c>
    </row>
    <row r="1144" spans="1:17" x14ac:dyDescent="0.3">
      <c r="A1144" s="35"/>
      <c r="B1144" s="25"/>
      <c r="C1144" s="25"/>
      <c r="D1144" s="25"/>
      <c r="E1144" s="25"/>
      <c r="F1144" s="25"/>
      <c r="G1144" s="25"/>
      <c r="H1144" s="25"/>
      <c r="I1144" s="25"/>
      <c r="J1144" s="25"/>
      <c r="K1144" s="25"/>
      <c r="L1144" s="25"/>
      <c r="M1144" s="22" t="s">
        <v>86</v>
      </c>
      <c r="N1144" s="23">
        <v>46083</v>
      </c>
      <c r="O1144" s="26" t="str">
        <f t="shared" si="54"/>
        <v/>
      </c>
      <c r="P1144" s="26" t="str">
        <f t="shared" si="55"/>
        <v/>
      </c>
      <c r="Q1144" s="26" t="str">
        <f t="shared" si="56"/>
        <v/>
      </c>
    </row>
    <row r="1145" spans="1:17" x14ac:dyDescent="0.3">
      <c r="A1145" s="35"/>
      <c r="B1145" s="25"/>
      <c r="C1145" s="25"/>
      <c r="D1145" s="25"/>
      <c r="E1145" s="25"/>
      <c r="F1145" s="25"/>
      <c r="G1145" s="25"/>
      <c r="H1145" s="25"/>
      <c r="I1145" s="25"/>
      <c r="J1145" s="25"/>
      <c r="K1145" s="25"/>
      <c r="L1145" s="25"/>
      <c r="M1145" s="22" t="s">
        <v>86</v>
      </c>
      <c r="N1145" s="23">
        <v>46083</v>
      </c>
      <c r="O1145" s="26" t="str">
        <f t="shared" si="54"/>
        <v/>
      </c>
      <c r="P1145" s="26" t="str">
        <f t="shared" si="55"/>
        <v/>
      </c>
      <c r="Q1145" s="26" t="str">
        <f t="shared" si="56"/>
        <v/>
      </c>
    </row>
    <row r="1146" spans="1:17" x14ac:dyDescent="0.3">
      <c r="A1146" s="35"/>
      <c r="B1146" s="25"/>
      <c r="C1146" s="25"/>
      <c r="D1146" s="25"/>
      <c r="E1146" s="25"/>
      <c r="F1146" s="25"/>
      <c r="G1146" s="25"/>
      <c r="H1146" s="25"/>
      <c r="I1146" s="25"/>
      <c r="J1146" s="25"/>
      <c r="K1146" s="25"/>
      <c r="L1146" s="25"/>
      <c r="M1146" s="22" t="s">
        <v>86</v>
      </c>
      <c r="N1146" s="23">
        <v>46083</v>
      </c>
      <c r="O1146" s="26" t="str">
        <f t="shared" si="54"/>
        <v/>
      </c>
      <c r="P1146" s="26" t="str">
        <f t="shared" si="55"/>
        <v/>
      </c>
      <c r="Q1146" s="26" t="str">
        <f t="shared" si="56"/>
        <v/>
      </c>
    </row>
    <row r="1147" spans="1:17" x14ac:dyDescent="0.3">
      <c r="A1147" s="35"/>
      <c r="B1147" s="25"/>
      <c r="C1147" s="25"/>
      <c r="D1147" s="25"/>
      <c r="E1147" s="25"/>
      <c r="F1147" s="25"/>
      <c r="G1147" s="25"/>
      <c r="H1147" s="25"/>
      <c r="I1147" s="25"/>
      <c r="J1147" s="25"/>
      <c r="K1147" s="25"/>
      <c r="L1147" s="25"/>
      <c r="M1147" s="22" t="s">
        <v>86</v>
      </c>
      <c r="N1147" s="23">
        <v>46083</v>
      </c>
      <c r="O1147" s="26" t="str">
        <f t="shared" si="54"/>
        <v/>
      </c>
      <c r="P1147" s="26" t="str">
        <f t="shared" si="55"/>
        <v/>
      </c>
      <c r="Q1147" s="26" t="str">
        <f t="shared" si="56"/>
        <v/>
      </c>
    </row>
    <row r="1148" spans="1:17" x14ac:dyDescent="0.3">
      <c r="A1148" s="35"/>
      <c r="B1148" s="25"/>
      <c r="C1148" s="25"/>
      <c r="D1148" s="25"/>
      <c r="E1148" s="25"/>
      <c r="F1148" s="25"/>
      <c r="G1148" s="25"/>
      <c r="H1148" s="25"/>
      <c r="I1148" s="25"/>
      <c r="J1148" s="25"/>
      <c r="K1148" s="25"/>
      <c r="L1148" s="25"/>
      <c r="M1148" s="22" t="s">
        <v>86</v>
      </c>
      <c r="N1148" s="23">
        <v>46083</v>
      </c>
      <c r="O1148" s="26" t="str">
        <f t="shared" si="54"/>
        <v/>
      </c>
      <c r="P1148" s="26" t="str">
        <f t="shared" si="55"/>
        <v/>
      </c>
      <c r="Q1148" s="26" t="str">
        <f t="shared" si="56"/>
        <v/>
      </c>
    </row>
    <row r="1149" spans="1:17" x14ac:dyDescent="0.3">
      <c r="A1149" s="35"/>
      <c r="B1149" s="25"/>
      <c r="C1149" s="25"/>
      <c r="D1149" s="25"/>
      <c r="E1149" s="25"/>
      <c r="F1149" s="25"/>
      <c r="G1149" s="25"/>
      <c r="H1149" s="25"/>
      <c r="I1149" s="25"/>
      <c r="J1149" s="25"/>
      <c r="K1149" s="25"/>
      <c r="L1149" s="25"/>
      <c r="M1149" s="22" t="s">
        <v>86</v>
      </c>
      <c r="N1149" s="23">
        <v>46083</v>
      </c>
      <c r="O1149" s="26" t="str">
        <f t="shared" si="54"/>
        <v/>
      </c>
      <c r="P1149" s="26" t="str">
        <f t="shared" si="55"/>
        <v/>
      </c>
      <c r="Q1149" s="26" t="str">
        <f t="shared" si="56"/>
        <v/>
      </c>
    </row>
    <row r="1150" spans="1:17" x14ac:dyDescent="0.3">
      <c r="A1150" s="35"/>
      <c r="B1150" s="25"/>
      <c r="C1150" s="25"/>
      <c r="D1150" s="25"/>
      <c r="E1150" s="25"/>
      <c r="F1150" s="25"/>
      <c r="G1150" s="25"/>
      <c r="H1150" s="25"/>
      <c r="I1150" s="25"/>
      <c r="J1150" s="25"/>
      <c r="K1150" s="25"/>
      <c r="L1150" s="25"/>
      <c r="M1150" s="22" t="s">
        <v>86</v>
      </c>
      <c r="N1150" s="23">
        <v>46083</v>
      </c>
      <c r="O1150" s="26" t="str">
        <f t="shared" si="54"/>
        <v/>
      </c>
      <c r="P1150" s="26" t="str">
        <f t="shared" si="55"/>
        <v/>
      </c>
      <c r="Q1150" s="26" t="str">
        <f t="shared" si="56"/>
        <v/>
      </c>
    </row>
    <row r="1151" spans="1:17" x14ac:dyDescent="0.3">
      <c r="A1151" s="35"/>
      <c r="B1151" s="25"/>
      <c r="C1151" s="25"/>
      <c r="D1151" s="25"/>
      <c r="E1151" s="25"/>
      <c r="F1151" s="25"/>
      <c r="G1151" s="25"/>
      <c r="H1151" s="25"/>
      <c r="I1151" s="25"/>
      <c r="J1151" s="25"/>
      <c r="K1151" s="25"/>
      <c r="L1151" s="25"/>
      <c r="M1151" s="22" t="s">
        <v>86</v>
      </c>
      <c r="N1151" s="23">
        <v>46083</v>
      </c>
      <c r="O1151" s="26" t="str">
        <f t="shared" si="54"/>
        <v/>
      </c>
      <c r="P1151" s="26" t="str">
        <f t="shared" si="55"/>
        <v/>
      </c>
      <c r="Q1151" s="26" t="str">
        <f t="shared" si="56"/>
        <v/>
      </c>
    </row>
    <row r="1152" spans="1:17" x14ac:dyDescent="0.3">
      <c r="A1152" s="35"/>
      <c r="B1152" s="25"/>
      <c r="C1152" s="25"/>
      <c r="D1152" s="25"/>
      <c r="E1152" s="25"/>
      <c r="F1152" s="25"/>
      <c r="G1152" s="25"/>
      <c r="H1152" s="25"/>
      <c r="I1152" s="25"/>
      <c r="J1152" s="25"/>
      <c r="K1152" s="25"/>
      <c r="L1152" s="25"/>
      <c r="M1152" s="22" t="s">
        <v>86</v>
      </c>
      <c r="N1152" s="23">
        <v>46083</v>
      </c>
      <c r="O1152" s="26" t="str">
        <f t="shared" si="54"/>
        <v/>
      </c>
      <c r="P1152" s="26" t="str">
        <f t="shared" si="55"/>
        <v/>
      </c>
      <c r="Q1152" s="26" t="str">
        <f t="shared" si="56"/>
        <v/>
      </c>
    </row>
    <row r="1153" spans="1:17" x14ac:dyDescent="0.3">
      <c r="A1153" s="35"/>
      <c r="B1153" s="25"/>
      <c r="C1153" s="25"/>
      <c r="D1153" s="25"/>
      <c r="E1153" s="25"/>
      <c r="F1153" s="25"/>
      <c r="G1153" s="25"/>
      <c r="H1153" s="25"/>
      <c r="I1153" s="25"/>
      <c r="J1153" s="25"/>
      <c r="K1153" s="25"/>
      <c r="L1153" s="25"/>
      <c r="M1153" s="22" t="s">
        <v>86</v>
      </c>
      <c r="N1153" s="23">
        <v>46083</v>
      </c>
      <c r="O1153" s="26" t="str">
        <f t="shared" si="54"/>
        <v/>
      </c>
      <c r="P1153" s="26" t="str">
        <f t="shared" si="55"/>
        <v/>
      </c>
      <c r="Q1153" s="26" t="str">
        <f t="shared" si="56"/>
        <v/>
      </c>
    </row>
    <row r="1154" spans="1:17" x14ac:dyDescent="0.3">
      <c r="A1154" s="35"/>
      <c r="B1154" s="25"/>
      <c r="C1154" s="25"/>
      <c r="D1154" s="25"/>
      <c r="E1154" s="25"/>
      <c r="F1154" s="25"/>
      <c r="G1154" s="25"/>
      <c r="H1154" s="25"/>
      <c r="I1154" s="25"/>
      <c r="J1154" s="25"/>
      <c r="K1154" s="25"/>
      <c r="L1154" s="25"/>
      <c r="M1154" s="22" t="s">
        <v>86</v>
      </c>
      <c r="N1154" s="23">
        <v>46083</v>
      </c>
      <c r="O1154" s="26" t="str">
        <f t="shared" ref="O1154:O1217" si="57">IF(A1154="","",IFERROR(IF(AND(LEN(A1154)=10,NOT(ISERROR(VALUE(A1154)))),"OK","확인"),"확인"))</f>
        <v/>
      </c>
      <c r="P1154" s="26" t="str">
        <f t="shared" ref="P1154:P1217" si="58">IF(A1154="","",IF(COUNTIF($A$2:$A$1946,A1154)&gt;1,"중복",""))</f>
        <v/>
      </c>
      <c r="Q1154" s="26" t="str">
        <f t="shared" ref="Q1154:Q1217" si="59">IF(G1154="","",IF(ISNUMBER(SEARCH("@",G1154)),"","확인"))</f>
        <v/>
      </c>
    </row>
    <row r="1155" spans="1:17" x14ac:dyDescent="0.3">
      <c r="A1155" s="35"/>
      <c r="B1155" s="25"/>
      <c r="C1155" s="25"/>
      <c r="D1155" s="25"/>
      <c r="E1155" s="25"/>
      <c r="F1155" s="25"/>
      <c r="G1155" s="25"/>
      <c r="H1155" s="25"/>
      <c r="I1155" s="25"/>
      <c r="J1155" s="25"/>
      <c r="K1155" s="25"/>
      <c r="L1155" s="25"/>
      <c r="M1155" s="22" t="s">
        <v>86</v>
      </c>
      <c r="N1155" s="23">
        <v>46083</v>
      </c>
      <c r="O1155" s="26" t="str">
        <f t="shared" si="57"/>
        <v/>
      </c>
      <c r="P1155" s="26" t="str">
        <f t="shared" si="58"/>
        <v/>
      </c>
      <c r="Q1155" s="26" t="str">
        <f t="shared" si="59"/>
        <v/>
      </c>
    </row>
    <row r="1156" spans="1:17" x14ac:dyDescent="0.3">
      <c r="A1156" s="35"/>
      <c r="B1156" s="25"/>
      <c r="C1156" s="25"/>
      <c r="D1156" s="25"/>
      <c r="E1156" s="25"/>
      <c r="F1156" s="25"/>
      <c r="G1156" s="25"/>
      <c r="H1156" s="25"/>
      <c r="I1156" s="25"/>
      <c r="J1156" s="25"/>
      <c r="K1156" s="25"/>
      <c r="L1156" s="25"/>
      <c r="M1156" s="22" t="s">
        <v>86</v>
      </c>
      <c r="N1156" s="23">
        <v>46083</v>
      </c>
      <c r="O1156" s="26" t="str">
        <f t="shared" si="57"/>
        <v/>
      </c>
      <c r="P1156" s="26" t="str">
        <f t="shared" si="58"/>
        <v/>
      </c>
      <c r="Q1156" s="26" t="str">
        <f t="shared" si="59"/>
        <v/>
      </c>
    </row>
    <row r="1157" spans="1:17" x14ac:dyDescent="0.3">
      <c r="A1157" s="35"/>
      <c r="B1157" s="25"/>
      <c r="C1157" s="25"/>
      <c r="D1157" s="25"/>
      <c r="E1157" s="25"/>
      <c r="F1157" s="25"/>
      <c r="G1157" s="25"/>
      <c r="H1157" s="25"/>
      <c r="I1157" s="25"/>
      <c r="J1157" s="25"/>
      <c r="K1157" s="25"/>
      <c r="L1157" s="25"/>
      <c r="M1157" s="22" t="s">
        <v>86</v>
      </c>
      <c r="N1157" s="23">
        <v>46083</v>
      </c>
      <c r="O1157" s="26" t="str">
        <f t="shared" si="57"/>
        <v/>
      </c>
      <c r="P1157" s="26" t="str">
        <f t="shared" si="58"/>
        <v/>
      </c>
      <c r="Q1157" s="26" t="str">
        <f t="shared" si="59"/>
        <v/>
      </c>
    </row>
    <row r="1158" spans="1:17" x14ac:dyDescent="0.3">
      <c r="A1158" s="35"/>
      <c r="B1158" s="25"/>
      <c r="C1158" s="25"/>
      <c r="D1158" s="25"/>
      <c r="E1158" s="25"/>
      <c r="F1158" s="25"/>
      <c r="G1158" s="25"/>
      <c r="H1158" s="25"/>
      <c r="I1158" s="25"/>
      <c r="J1158" s="25"/>
      <c r="K1158" s="25"/>
      <c r="L1158" s="25"/>
      <c r="M1158" s="22" t="s">
        <v>86</v>
      </c>
      <c r="N1158" s="23">
        <v>46083</v>
      </c>
      <c r="O1158" s="26" t="str">
        <f t="shared" si="57"/>
        <v/>
      </c>
      <c r="P1158" s="26" t="str">
        <f t="shared" si="58"/>
        <v/>
      </c>
      <c r="Q1158" s="26" t="str">
        <f t="shared" si="59"/>
        <v/>
      </c>
    </row>
    <row r="1159" spans="1:17" x14ac:dyDescent="0.3">
      <c r="A1159" s="35"/>
      <c r="B1159" s="25"/>
      <c r="C1159" s="25"/>
      <c r="D1159" s="25"/>
      <c r="E1159" s="25"/>
      <c r="F1159" s="25"/>
      <c r="G1159" s="25"/>
      <c r="H1159" s="25"/>
      <c r="I1159" s="25"/>
      <c r="J1159" s="25"/>
      <c r="K1159" s="25"/>
      <c r="L1159" s="25"/>
      <c r="M1159" s="22" t="s">
        <v>86</v>
      </c>
      <c r="N1159" s="23">
        <v>46083</v>
      </c>
      <c r="O1159" s="26" t="str">
        <f t="shared" si="57"/>
        <v/>
      </c>
      <c r="P1159" s="26" t="str">
        <f t="shared" si="58"/>
        <v/>
      </c>
      <c r="Q1159" s="26" t="str">
        <f t="shared" si="59"/>
        <v/>
      </c>
    </row>
    <row r="1160" spans="1:17" x14ac:dyDescent="0.3">
      <c r="A1160" s="35"/>
      <c r="B1160" s="25"/>
      <c r="C1160" s="25"/>
      <c r="D1160" s="25"/>
      <c r="E1160" s="25"/>
      <c r="F1160" s="25"/>
      <c r="G1160" s="25"/>
      <c r="H1160" s="25"/>
      <c r="I1160" s="25"/>
      <c r="J1160" s="25"/>
      <c r="K1160" s="25"/>
      <c r="L1160" s="25"/>
      <c r="M1160" s="22" t="s">
        <v>86</v>
      </c>
      <c r="N1160" s="23">
        <v>46083</v>
      </c>
      <c r="O1160" s="26" t="str">
        <f t="shared" si="57"/>
        <v/>
      </c>
      <c r="P1160" s="26" t="str">
        <f t="shared" si="58"/>
        <v/>
      </c>
      <c r="Q1160" s="26" t="str">
        <f t="shared" si="59"/>
        <v/>
      </c>
    </row>
    <row r="1161" spans="1:17" x14ac:dyDescent="0.3">
      <c r="A1161" s="35"/>
      <c r="B1161" s="25"/>
      <c r="C1161" s="25"/>
      <c r="D1161" s="25"/>
      <c r="E1161" s="25"/>
      <c r="F1161" s="25"/>
      <c r="G1161" s="25"/>
      <c r="H1161" s="25"/>
      <c r="I1161" s="25"/>
      <c r="J1161" s="25"/>
      <c r="K1161" s="25"/>
      <c r="L1161" s="25"/>
      <c r="M1161" s="22" t="s">
        <v>86</v>
      </c>
      <c r="N1161" s="23">
        <v>46083</v>
      </c>
      <c r="O1161" s="26" t="str">
        <f t="shared" si="57"/>
        <v/>
      </c>
      <c r="P1161" s="26" t="str">
        <f t="shared" si="58"/>
        <v/>
      </c>
      <c r="Q1161" s="26" t="str">
        <f t="shared" si="59"/>
        <v/>
      </c>
    </row>
    <row r="1162" spans="1:17" x14ac:dyDescent="0.3">
      <c r="A1162" s="35"/>
      <c r="B1162" s="25"/>
      <c r="C1162" s="25"/>
      <c r="D1162" s="25"/>
      <c r="E1162" s="25"/>
      <c r="F1162" s="25"/>
      <c r="G1162" s="25"/>
      <c r="H1162" s="25"/>
      <c r="I1162" s="25"/>
      <c r="J1162" s="25"/>
      <c r="K1162" s="25"/>
      <c r="L1162" s="25"/>
      <c r="M1162" s="22" t="s">
        <v>86</v>
      </c>
      <c r="N1162" s="23">
        <v>46083</v>
      </c>
      <c r="O1162" s="26" t="str">
        <f t="shared" si="57"/>
        <v/>
      </c>
      <c r="P1162" s="26" t="str">
        <f t="shared" si="58"/>
        <v/>
      </c>
      <c r="Q1162" s="26" t="str">
        <f t="shared" si="59"/>
        <v/>
      </c>
    </row>
    <row r="1163" spans="1:17" x14ac:dyDescent="0.3">
      <c r="A1163" s="35"/>
      <c r="B1163" s="25"/>
      <c r="C1163" s="25"/>
      <c r="D1163" s="25"/>
      <c r="E1163" s="25"/>
      <c r="F1163" s="25"/>
      <c r="G1163" s="25"/>
      <c r="H1163" s="25"/>
      <c r="I1163" s="25"/>
      <c r="J1163" s="25"/>
      <c r="K1163" s="25"/>
      <c r="L1163" s="25"/>
      <c r="M1163" s="22" t="s">
        <v>86</v>
      </c>
      <c r="N1163" s="23">
        <v>46083</v>
      </c>
      <c r="O1163" s="26" t="str">
        <f t="shared" si="57"/>
        <v/>
      </c>
      <c r="P1163" s="26" t="str">
        <f t="shared" si="58"/>
        <v/>
      </c>
      <c r="Q1163" s="26" t="str">
        <f t="shared" si="59"/>
        <v/>
      </c>
    </row>
    <row r="1164" spans="1:17" x14ac:dyDescent="0.3">
      <c r="A1164" s="35"/>
      <c r="B1164" s="25"/>
      <c r="C1164" s="25"/>
      <c r="D1164" s="25"/>
      <c r="E1164" s="25"/>
      <c r="F1164" s="25"/>
      <c r="G1164" s="25"/>
      <c r="H1164" s="25"/>
      <c r="I1164" s="25"/>
      <c r="J1164" s="25"/>
      <c r="K1164" s="25"/>
      <c r="L1164" s="25"/>
      <c r="M1164" s="22" t="s">
        <v>86</v>
      </c>
      <c r="N1164" s="23">
        <v>46083</v>
      </c>
      <c r="O1164" s="26" t="str">
        <f t="shared" si="57"/>
        <v/>
      </c>
      <c r="P1164" s="26" t="str">
        <f t="shared" si="58"/>
        <v/>
      </c>
      <c r="Q1164" s="26" t="str">
        <f t="shared" si="59"/>
        <v/>
      </c>
    </row>
    <row r="1165" spans="1:17" x14ac:dyDescent="0.3">
      <c r="A1165" s="35"/>
      <c r="B1165" s="25"/>
      <c r="C1165" s="25"/>
      <c r="D1165" s="25"/>
      <c r="E1165" s="25"/>
      <c r="F1165" s="25"/>
      <c r="G1165" s="25"/>
      <c r="H1165" s="25"/>
      <c r="I1165" s="25"/>
      <c r="J1165" s="25"/>
      <c r="K1165" s="25"/>
      <c r="L1165" s="25"/>
      <c r="M1165" s="22" t="s">
        <v>86</v>
      </c>
      <c r="N1165" s="23">
        <v>46083</v>
      </c>
      <c r="O1165" s="26" t="str">
        <f t="shared" si="57"/>
        <v/>
      </c>
      <c r="P1165" s="26" t="str">
        <f t="shared" si="58"/>
        <v/>
      </c>
      <c r="Q1165" s="26" t="str">
        <f t="shared" si="59"/>
        <v/>
      </c>
    </row>
    <row r="1166" spans="1:17" x14ac:dyDescent="0.3">
      <c r="A1166" s="35"/>
      <c r="B1166" s="25"/>
      <c r="C1166" s="25"/>
      <c r="D1166" s="25"/>
      <c r="E1166" s="25"/>
      <c r="F1166" s="25"/>
      <c r="G1166" s="25"/>
      <c r="H1166" s="25"/>
      <c r="I1166" s="25"/>
      <c r="J1166" s="25"/>
      <c r="K1166" s="25"/>
      <c r="L1166" s="25"/>
      <c r="M1166" s="22" t="s">
        <v>86</v>
      </c>
      <c r="N1166" s="23">
        <v>46083</v>
      </c>
      <c r="O1166" s="26" t="str">
        <f t="shared" si="57"/>
        <v/>
      </c>
      <c r="P1166" s="26" t="str">
        <f t="shared" si="58"/>
        <v/>
      </c>
      <c r="Q1166" s="26" t="str">
        <f t="shared" si="59"/>
        <v/>
      </c>
    </row>
    <row r="1167" spans="1:17" x14ac:dyDescent="0.3">
      <c r="A1167" s="35"/>
      <c r="B1167" s="25"/>
      <c r="C1167" s="25"/>
      <c r="D1167" s="25"/>
      <c r="E1167" s="25"/>
      <c r="F1167" s="25"/>
      <c r="G1167" s="25"/>
      <c r="H1167" s="25"/>
      <c r="I1167" s="25"/>
      <c r="J1167" s="25"/>
      <c r="K1167" s="25"/>
      <c r="L1167" s="25"/>
      <c r="M1167" s="22" t="s">
        <v>86</v>
      </c>
      <c r="N1167" s="23">
        <v>46083</v>
      </c>
      <c r="O1167" s="26" t="str">
        <f t="shared" si="57"/>
        <v/>
      </c>
      <c r="P1167" s="26" t="str">
        <f t="shared" si="58"/>
        <v/>
      </c>
      <c r="Q1167" s="26" t="str">
        <f t="shared" si="59"/>
        <v/>
      </c>
    </row>
    <row r="1168" spans="1:17" x14ac:dyDescent="0.3">
      <c r="A1168" s="35"/>
      <c r="B1168" s="25"/>
      <c r="C1168" s="25"/>
      <c r="D1168" s="25"/>
      <c r="E1168" s="25"/>
      <c r="F1168" s="25"/>
      <c r="G1168" s="25"/>
      <c r="H1168" s="25"/>
      <c r="I1168" s="25"/>
      <c r="J1168" s="25"/>
      <c r="K1168" s="25"/>
      <c r="L1168" s="25"/>
      <c r="M1168" s="22" t="s">
        <v>86</v>
      </c>
      <c r="N1168" s="23">
        <v>46083</v>
      </c>
      <c r="O1168" s="26" t="str">
        <f t="shared" si="57"/>
        <v/>
      </c>
      <c r="P1168" s="26" t="str">
        <f t="shared" si="58"/>
        <v/>
      </c>
      <c r="Q1168" s="26" t="str">
        <f t="shared" si="59"/>
        <v/>
      </c>
    </row>
    <row r="1169" spans="1:17" x14ac:dyDescent="0.3">
      <c r="A1169" s="35"/>
      <c r="B1169" s="25"/>
      <c r="C1169" s="25"/>
      <c r="D1169" s="25"/>
      <c r="E1169" s="25"/>
      <c r="F1169" s="25"/>
      <c r="G1169" s="25"/>
      <c r="H1169" s="25"/>
      <c r="I1169" s="25"/>
      <c r="J1169" s="25"/>
      <c r="K1169" s="25"/>
      <c r="L1169" s="25"/>
      <c r="M1169" s="22" t="s">
        <v>86</v>
      </c>
      <c r="N1169" s="23">
        <v>46083</v>
      </c>
      <c r="O1169" s="26" t="str">
        <f t="shared" si="57"/>
        <v/>
      </c>
      <c r="P1169" s="26" t="str">
        <f t="shared" si="58"/>
        <v/>
      </c>
      <c r="Q1169" s="26" t="str">
        <f t="shared" si="59"/>
        <v/>
      </c>
    </row>
    <row r="1170" spans="1:17" x14ac:dyDescent="0.3">
      <c r="A1170" s="35"/>
      <c r="B1170" s="25"/>
      <c r="C1170" s="25"/>
      <c r="D1170" s="25"/>
      <c r="E1170" s="25"/>
      <c r="F1170" s="25"/>
      <c r="G1170" s="25"/>
      <c r="H1170" s="25"/>
      <c r="I1170" s="25"/>
      <c r="J1170" s="25"/>
      <c r="K1170" s="25"/>
      <c r="L1170" s="25"/>
      <c r="M1170" s="22" t="s">
        <v>86</v>
      </c>
      <c r="N1170" s="23">
        <v>46083</v>
      </c>
      <c r="O1170" s="26" t="str">
        <f t="shared" si="57"/>
        <v/>
      </c>
      <c r="P1170" s="26" t="str">
        <f t="shared" si="58"/>
        <v/>
      </c>
      <c r="Q1170" s="26" t="str">
        <f t="shared" si="59"/>
        <v/>
      </c>
    </row>
    <row r="1171" spans="1:17" x14ac:dyDescent="0.3">
      <c r="A1171" s="35"/>
      <c r="B1171" s="25"/>
      <c r="C1171" s="25"/>
      <c r="D1171" s="25"/>
      <c r="E1171" s="25"/>
      <c r="F1171" s="25"/>
      <c r="G1171" s="25"/>
      <c r="H1171" s="25"/>
      <c r="I1171" s="25"/>
      <c r="J1171" s="25"/>
      <c r="K1171" s="25"/>
      <c r="L1171" s="25"/>
      <c r="M1171" s="22" t="s">
        <v>86</v>
      </c>
      <c r="N1171" s="23">
        <v>46083</v>
      </c>
      <c r="O1171" s="26" t="str">
        <f t="shared" si="57"/>
        <v/>
      </c>
      <c r="P1171" s="26" t="str">
        <f t="shared" si="58"/>
        <v/>
      </c>
      <c r="Q1171" s="26" t="str">
        <f t="shared" si="59"/>
        <v/>
      </c>
    </row>
    <row r="1172" spans="1:17" x14ac:dyDescent="0.3">
      <c r="A1172" s="35"/>
      <c r="B1172" s="25"/>
      <c r="C1172" s="25"/>
      <c r="D1172" s="25"/>
      <c r="E1172" s="25"/>
      <c r="F1172" s="25"/>
      <c r="G1172" s="25"/>
      <c r="H1172" s="25"/>
      <c r="I1172" s="25"/>
      <c r="J1172" s="25"/>
      <c r="K1172" s="25"/>
      <c r="L1172" s="25"/>
      <c r="M1172" s="22" t="s">
        <v>86</v>
      </c>
      <c r="N1172" s="23">
        <v>46083</v>
      </c>
      <c r="O1172" s="26" t="str">
        <f t="shared" si="57"/>
        <v/>
      </c>
      <c r="P1172" s="26" t="str">
        <f t="shared" si="58"/>
        <v/>
      </c>
      <c r="Q1172" s="26" t="str">
        <f t="shared" si="59"/>
        <v/>
      </c>
    </row>
    <row r="1173" spans="1:17" x14ac:dyDescent="0.3">
      <c r="A1173" s="35"/>
      <c r="B1173" s="25"/>
      <c r="C1173" s="25"/>
      <c r="D1173" s="25"/>
      <c r="E1173" s="25"/>
      <c r="F1173" s="25"/>
      <c r="G1173" s="25"/>
      <c r="H1173" s="25"/>
      <c r="I1173" s="25"/>
      <c r="J1173" s="25"/>
      <c r="K1173" s="25"/>
      <c r="L1173" s="25"/>
      <c r="M1173" s="22" t="s">
        <v>86</v>
      </c>
      <c r="N1173" s="23">
        <v>46083</v>
      </c>
      <c r="O1173" s="26" t="str">
        <f t="shared" si="57"/>
        <v/>
      </c>
      <c r="P1173" s="26" t="str">
        <f t="shared" si="58"/>
        <v/>
      </c>
      <c r="Q1173" s="26" t="str">
        <f t="shared" si="59"/>
        <v/>
      </c>
    </row>
    <row r="1174" spans="1:17" x14ac:dyDescent="0.3">
      <c r="A1174" s="35"/>
      <c r="B1174" s="25"/>
      <c r="C1174" s="25"/>
      <c r="D1174" s="25"/>
      <c r="E1174" s="25"/>
      <c r="F1174" s="25"/>
      <c r="G1174" s="25"/>
      <c r="H1174" s="25"/>
      <c r="I1174" s="25"/>
      <c r="J1174" s="25"/>
      <c r="K1174" s="25"/>
      <c r="L1174" s="25"/>
      <c r="M1174" s="22" t="s">
        <v>86</v>
      </c>
      <c r="N1174" s="23">
        <v>46083</v>
      </c>
      <c r="O1174" s="26" t="str">
        <f t="shared" si="57"/>
        <v/>
      </c>
      <c r="P1174" s="26" t="str">
        <f t="shared" si="58"/>
        <v/>
      </c>
      <c r="Q1174" s="26" t="str">
        <f t="shared" si="59"/>
        <v/>
      </c>
    </row>
    <row r="1175" spans="1:17" x14ac:dyDescent="0.3">
      <c r="A1175" s="35"/>
      <c r="B1175" s="25"/>
      <c r="C1175" s="25"/>
      <c r="D1175" s="25"/>
      <c r="E1175" s="25"/>
      <c r="F1175" s="25"/>
      <c r="G1175" s="25"/>
      <c r="H1175" s="25"/>
      <c r="I1175" s="25"/>
      <c r="J1175" s="25"/>
      <c r="K1175" s="25"/>
      <c r="L1175" s="25"/>
      <c r="M1175" s="22" t="s">
        <v>86</v>
      </c>
      <c r="N1175" s="23">
        <v>46083</v>
      </c>
      <c r="O1175" s="26" t="str">
        <f t="shared" si="57"/>
        <v/>
      </c>
      <c r="P1175" s="26" t="str">
        <f t="shared" si="58"/>
        <v/>
      </c>
      <c r="Q1175" s="26" t="str">
        <f t="shared" si="59"/>
        <v/>
      </c>
    </row>
    <row r="1176" spans="1:17" x14ac:dyDescent="0.3">
      <c r="A1176" s="35"/>
      <c r="B1176" s="25"/>
      <c r="C1176" s="25"/>
      <c r="D1176" s="25"/>
      <c r="E1176" s="25"/>
      <c r="F1176" s="25"/>
      <c r="G1176" s="25"/>
      <c r="H1176" s="25"/>
      <c r="I1176" s="25"/>
      <c r="J1176" s="25"/>
      <c r="K1176" s="25"/>
      <c r="L1176" s="25"/>
      <c r="M1176" s="22" t="s">
        <v>86</v>
      </c>
      <c r="N1176" s="23">
        <v>46083</v>
      </c>
      <c r="O1176" s="26" t="str">
        <f t="shared" si="57"/>
        <v/>
      </c>
      <c r="P1176" s="26" t="str">
        <f t="shared" si="58"/>
        <v/>
      </c>
      <c r="Q1176" s="26" t="str">
        <f t="shared" si="59"/>
        <v/>
      </c>
    </row>
    <row r="1177" spans="1:17" x14ac:dyDescent="0.3">
      <c r="A1177" s="35"/>
      <c r="B1177" s="25"/>
      <c r="C1177" s="25"/>
      <c r="D1177" s="25"/>
      <c r="E1177" s="25"/>
      <c r="F1177" s="25"/>
      <c r="G1177" s="25"/>
      <c r="H1177" s="25"/>
      <c r="I1177" s="25"/>
      <c r="J1177" s="25"/>
      <c r="K1177" s="25"/>
      <c r="L1177" s="25"/>
      <c r="M1177" s="22" t="s">
        <v>86</v>
      </c>
      <c r="N1177" s="23">
        <v>46083</v>
      </c>
      <c r="O1177" s="26" t="str">
        <f t="shared" si="57"/>
        <v/>
      </c>
      <c r="P1177" s="26" t="str">
        <f t="shared" si="58"/>
        <v/>
      </c>
      <c r="Q1177" s="26" t="str">
        <f t="shared" si="59"/>
        <v/>
      </c>
    </row>
    <row r="1178" spans="1:17" x14ac:dyDescent="0.3">
      <c r="A1178" s="35"/>
      <c r="B1178" s="25"/>
      <c r="C1178" s="25"/>
      <c r="D1178" s="25"/>
      <c r="E1178" s="25"/>
      <c r="F1178" s="25"/>
      <c r="G1178" s="25"/>
      <c r="H1178" s="25"/>
      <c r="I1178" s="25"/>
      <c r="J1178" s="25"/>
      <c r="K1178" s="25"/>
      <c r="L1178" s="25"/>
      <c r="M1178" s="22" t="s">
        <v>86</v>
      </c>
      <c r="N1178" s="23">
        <v>46083</v>
      </c>
      <c r="O1178" s="26" t="str">
        <f t="shared" si="57"/>
        <v/>
      </c>
      <c r="P1178" s="26" t="str">
        <f t="shared" si="58"/>
        <v/>
      </c>
      <c r="Q1178" s="26" t="str">
        <f t="shared" si="59"/>
        <v/>
      </c>
    </row>
    <row r="1179" spans="1:17" x14ac:dyDescent="0.3">
      <c r="A1179" s="35"/>
      <c r="B1179" s="25"/>
      <c r="C1179" s="25"/>
      <c r="D1179" s="25"/>
      <c r="E1179" s="25"/>
      <c r="F1179" s="25"/>
      <c r="G1179" s="25"/>
      <c r="H1179" s="25"/>
      <c r="I1179" s="25"/>
      <c r="J1179" s="25"/>
      <c r="K1179" s="25"/>
      <c r="L1179" s="25"/>
      <c r="M1179" s="22" t="s">
        <v>86</v>
      </c>
      <c r="N1179" s="23">
        <v>46083</v>
      </c>
      <c r="O1179" s="26" t="str">
        <f t="shared" si="57"/>
        <v/>
      </c>
      <c r="P1179" s="26" t="str">
        <f t="shared" si="58"/>
        <v/>
      </c>
      <c r="Q1179" s="26" t="str">
        <f t="shared" si="59"/>
        <v/>
      </c>
    </row>
    <row r="1180" spans="1:17" x14ac:dyDescent="0.3">
      <c r="A1180" s="35"/>
      <c r="B1180" s="25"/>
      <c r="C1180" s="25"/>
      <c r="D1180" s="25"/>
      <c r="E1180" s="25"/>
      <c r="F1180" s="25"/>
      <c r="G1180" s="25"/>
      <c r="H1180" s="25"/>
      <c r="I1180" s="25"/>
      <c r="J1180" s="25"/>
      <c r="K1180" s="25"/>
      <c r="L1180" s="25"/>
      <c r="M1180" s="22" t="s">
        <v>86</v>
      </c>
      <c r="N1180" s="23">
        <v>46083</v>
      </c>
      <c r="O1180" s="26" t="str">
        <f t="shared" si="57"/>
        <v/>
      </c>
      <c r="P1180" s="26" t="str">
        <f t="shared" si="58"/>
        <v/>
      </c>
      <c r="Q1180" s="26" t="str">
        <f t="shared" si="59"/>
        <v/>
      </c>
    </row>
    <row r="1181" spans="1:17" x14ac:dyDescent="0.3">
      <c r="A1181" s="35"/>
      <c r="B1181" s="25"/>
      <c r="C1181" s="25"/>
      <c r="D1181" s="25"/>
      <c r="E1181" s="25"/>
      <c r="F1181" s="25"/>
      <c r="G1181" s="25"/>
      <c r="H1181" s="25"/>
      <c r="I1181" s="25"/>
      <c r="J1181" s="25"/>
      <c r="K1181" s="25"/>
      <c r="L1181" s="25"/>
      <c r="M1181" s="22" t="s">
        <v>86</v>
      </c>
      <c r="N1181" s="23">
        <v>46083</v>
      </c>
      <c r="O1181" s="26" t="str">
        <f t="shared" si="57"/>
        <v/>
      </c>
      <c r="P1181" s="26" t="str">
        <f t="shared" si="58"/>
        <v/>
      </c>
      <c r="Q1181" s="26" t="str">
        <f t="shared" si="59"/>
        <v/>
      </c>
    </row>
    <row r="1182" spans="1:17" x14ac:dyDescent="0.3">
      <c r="A1182" s="35"/>
      <c r="B1182" s="25"/>
      <c r="C1182" s="25"/>
      <c r="D1182" s="25"/>
      <c r="E1182" s="25"/>
      <c r="F1182" s="25"/>
      <c r="G1182" s="25"/>
      <c r="H1182" s="25"/>
      <c r="I1182" s="25"/>
      <c r="J1182" s="25"/>
      <c r="K1182" s="25"/>
      <c r="L1182" s="25"/>
      <c r="M1182" s="22" t="s">
        <v>86</v>
      </c>
      <c r="N1182" s="23">
        <v>46083</v>
      </c>
      <c r="O1182" s="26" t="str">
        <f t="shared" si="57"/>
        <v/>
      </c>
      <c r="P1182" s="26" t="str">
        <f t="shared" si="58"/>
        <v/>
      </c>
      <c r="Q1182" s="26" t="str">
        <f t="shared" si="59"/>
        <v/>
      </c>
    </row>
    <row r="1183" spans="1:17" x14ac:dyDescent="0.3">
      <c r="A1183" s="35"/>
      <c r="B1183" s="25"/>
      <c r="C1183" s="25"/>
      <c r="D1183" s="25"/>
      <c r="E1183" s="25"/>
      <c r="F1183" s="25"/>
      <c r="G1183" s="25"/>
      <c r="H1183" s="25"/>
      <c r="I1183" s="25"/>
      <c r="J1183" s="25"/>
      <c r="K1183" s="25"/>
      <c r="L1183" s="25"/>
      <c r="M1183" s="22" t="s">
        <v>86</v>
      </c>
      <c r="N1183" s="23">
        <v>46083</v>
      </c>
      <c r="O1183" s="26" t="str">
        <f t="shared" si="57"/>
        <v/>
      </c>
      <c r="P1183" s="26" t="str">
        <f t="shared" si="58"/>
        <v/>
      </c>
      <c r="Q1183" s="26" t="str">
        <f t="shared" si="59"/>
        <v/>
      </c>
    </row>
    <row r="1184" spans="1:17" x14ac:dyDescent="0.3">
      <c r="A1184" s="35"/>
      <c r="B1184" s="25"/>
      <c r="C1184" s="25"/>
      <c r="D1184" s="25"/>
      <c r="E1184" s="25"/>
      <c r="F1184" s="25"/>
      <c r="G1184" s="25"/>
      <c r="H1184" s="25"/>
      <c r="I1184" s="25"/>
      <c r="J1184" s="25"/>
      <c r="K1184" s="25"/>
      <c r="L1184" s="25"/>
      <c r="M1184" s="22" t="s">
        <v>86</v>
      </c>
      <c r="N1184" s="23">
        <v>46083</v>
      </c>
      <c r="O1184" s="26" t="str">
        <f t="shared" si="57"/>
        <v/>
      </c>
      <c r="P1184" s="26" t="str">
        <f t="shared" si="58"/>
        <v/>
      </c>
      <c r="Q1184" s="26" t="str">
        <f t="shared" si="59"/>
        <v/>
      </c>
    </row>
    <row r="1185" spans="1:17" x14ac:dyDescent="0.3">
      <c r="A1185" s="35"/>
      <c r="B1185" s="25"/>
      <c r="C1185" s="25"/>
      <c r="D1185" s="25"/>
      <c r="E1185" s="25"/>
      <c r="F1185" s="25"/>
      <c r="G1185" s="25"/>
      <c r="H1185" s="25"/>
      <c r="I1185" s="25"/>
      <c r="J1185" s="25"/>
      <c r="K1185" s="25"/>
      <c r="L1185" s="25"/>
      <c r="M1185" s="22" t="s">
        <v>86</v>
      </c>
      <c r="N1185" s="23">
        <v>46083</v>
      </c>
      <c r="O1185" s="26" t="str">
        <f t="shared" si="57"/>
        <v/>
      </c>
      <c r="P1185" s="26" t="str">
        <f t="shared" si="58"/>
        <v/>
      </c>
      <c r="Q1185" s="26" t="str">
        <f t="shared" si="59"/>
        <v/>
      </c>
    </row>
    <row r="1186" spans="1:17" x14ac:dyDescent="0.3">
      <c r="A1186" s="35"/>
      <c r="B1186" s="25"/>
      <c r="C1186" s="25"/>
      <c r="D1186" s="25"/>
      <c r="E1186" s="25"/>
      <c r="F1186" s="25"/>
      <c r="G1186" s="25"/>
      <c r="H1186" s="25"/>
      <c r="I1186" s="25"/>
      <c r="J1186" s="25"/>
      <c r="K1186" s="25"/>
      <c r="L1186" s="25"/>
      <c r="M1186" s="22" t="s">
        <v>86</v>
      </c>
      <c r="N1186" s="23">
        <v>46083</v>
      </c>
      <c r="O1186" s="26" t="str">
        <f t="shared" si="57"/>
        <v/>
      </c>
      <c r="P1186" s="26" t="str">
        <f t="shared" si="58"/>
        <v/>
      </c>
      <c r="Q1186" s="26" t="str">
        <f t="shared" si="59"/>
        <v/>
      </c>
    </row>
    <row r="1187" spans="1:17" x14ac:dyDescent="0.3">
      <c r="A1187" s="35"/>
      <c r="B1187" s="25"/>
      <c r="C1187" s="25"/>
      <c r="D1187" s="25"/>
      <c r="E1187" s="25"/>
      <c r="F1187" s="25"/>
      <c r="G1187" s="25"/>
      <c r="H1187" s="25"/>
      <c r="I1187" s="25"/>
      <c r="J1187" s="25"/>
      <c r="K1187" s="25"/>
      <c r="L1187" s="25"/>
      <c r="M1187" s="22" t="s">
        <v>86</v>
      </c>
      <c r="N1187" s="23">
        <v>46083</v>
      </c>
      <c r="O1187" s="26" t="str">
        <f t="shared" si="57"/>
        <v/>
      </c>
      <c r="P1187" s="26" t="str">
        <f t="shared" si="58"/>
        <v/>
      </c>
      <c r="Q1187" s="26" t="str">
        <f t="shared" si="59"/>
        <v/>
      </c>
    </row>
    <row r="1188" spans="1:17" x14ac:dyDescent="0.3">
      <c r="A1188" s="35"/>
      <c r="B1188" s="25"/>
      <c r="C1188" s="25"/>
      <c r="D1188" s="25"/>
      <c r="E1188" s="25"/>
      <c r="F1188" s="25"/>
      <c r="G1188" s="25"/>
      <c r="H1188" s="25"/>
      <c r="I1188" s="25"/>
      <c r="J1188" s="25"/>
      <c r="K1188" s="25"/>
      <c r="L1188" s="25"/>
      <c r="M1188" s="22" t="s">
        <v>86</v>
      </c>
      <c r="N1188" s="23">
        <v>46083</v>
      </c>
      <c r="O1188" s="26" t="str">
        <f t="shared" si="57"/>
        <v/>
      </c>
      <c r="P1188" s="26" t="str">
        <f t="shared" si="58"/>
        <v/>
      </c>
      <c r="Q1188" s="26" t="str">
        <f t="shared" si="59"/>
        <v/>
      </c>
    </row>
    <row r="1189" spans="1:17" x14ac:dyDescent="0.3">
      <c r="A1189" s="35"/>
      <c r="B1189" s="25"/>
      <c r="C1189" s="25"/>
      <c r="D1189" s="25"/>
      <c r="E1189" s="25"/>
      <c r="F1189" s="25"/>
      <c r="G1189" s="25"/>
      <c r="H1189" s="25"/>
      <c r="I1189" s="25"/>
      <c r="J1189" s="25"/>
      <c r="K1189" s="25"/>
      <c r="L1189" s="25"/>
      <c r="M1189" s="22" t="s">
        <v>86</v>
      </c>
      <c r="N1189" s="23">
        <v>46083</v>
      </c>
      <c r="O1189" s="26" t="str">
        <f t="shared" si="57"/>
        <v/>
      </c>
      <c r="P1189" s="26" t="str">
        <f t="shared" si="58"/>
        <v/>
      </c>
      <c r="Q1189" s="26" t="str">
        <f t="shared" si="59"/>
        <v/>
      </c>
    </row>
    <row r="1190" spans="1:17" x14ac:dyDescent="0.3">
      <c r="A1190" s="35"/>
      <c r="B1190" s="25"/>
      <c r="C1190" s="25"/>
      <c r="D1190" s="25"/>
      <c r="E1190" s="25"/>
      <c r="F1190" s="25"/>
      <c r="G1190" s="25"/>
      <c r="H1190" s="25"/>
      <c r="I1190" s="25"/>
      <c r="J1190" s="25"/>
      <c r="K1190" s="25"/>
      <c r="L1190" s="25"/>
      <c r="M1190" s="22" t="s">
        <v>86</v>
      </c>
      <c r="N1190" s="23">
        <v>46083</v>
      </c>
      <c r="O1190" s="26" t="str">
        <f t="shared" si="57"/>
        <v/>
      </c>
      <c r="P1190" s="26" t="str">
        <f t="shared" si="58"/>
        <v/>
      </c>
      <c r="Q1190" s="26" t="str">
        <f t="shared" si="59"/>
        <v/>
      </c>
    </row>
    <row r="1191" spans="1:17" x14ac:dyDescent="0.3">
      <c r="A1191" s="35"/>
      <c r="B1191" s="25"/>
      <c r="C1191" s="25"/>
      <c r="D1191" s="25"/>
      <c r="E1191" s="25"/>
      <c r="F1191" s="25"/>
      <c r="G1191" s="25"/>
      <c r="H1191" s="25"/>
      <c r="I1191" s="25"/>
      <c r="J1191" s="25"/>
      <c r="K1191" s="25"/>
      <c r="L1191" s="25"/>
      <c r="M1191" s="22" t="s">
        <v>86</v>
      </c>
      <c r="N1191" s="23">
        <v>46083</v>
      </c>
      <c r="O1191" s="26" t="str">
        <f t="shared" si="57"/>
        <v/>
      </c>
      <c r="P1191" s="26" t="str">
        <f t="shared" si="58"/>
        <v/>
      </c>
      <c r="Q1191" s="26" t="str">
        <f t="shared" si="59"/>
        <v/>
      </c>
    </row>
    <row r="1192" spans="1:17" x14ac:dyDescent="0.3">
      <c r="A1192" s="35"/>
      <c r="B1192" s="25"/>
      <c r="C1192" s="25"/>
      <c r="D1192" s="25"/>
      <c r="E1192" s="25"/>
      <c r="F1192" s="25"/>
      <c r="G1192" s="25"/>
      <c r="H1192" s="25"/>
      <c r="I1192" s="25"/>
      <c r="J1192" s="25"/>
      <c r="K1192" s="25"/>
      <c r="L1192" s="25"/>
      <c r="M1192" s="22" t="s">
        <v>86</v>
      </c>
      <c r="N1192" s="23">
        <v>46083</v>
      </c>
      <c r="O1192" s="26" t="str">
        <f t="shared" si="57"/>
        <v/>
      </c>
      <c r="P1192" s="26" t="str">
        <f t="shared" si="58"/>
        <v/>
      </c>
      <c r="Q1192" s="26" t="str">
        <f t="shared" si="59"/>
        <v/>
      </c>
    </row>
    <row r="1193" spans="1:17" x14ac:dyDescent="0.3">
      <c r="A1193" s="35"/>
      <c r="B1193" s="25"/>
      <c r="C1193" s="25"/>
      <c r="D1193" s="25"/>
      <c r="E1193" s="25"/>
      <c r="F1193" s="25"/>
      <c r="G1193" s="25"/>
      <c r="H1193" s="25"/>
      <c r="I1193" s="25"/>
      <c r="J1193" s="25"/>
      <c r="K1193" s="25"/>
      <c r="L1193" s="25"/>
      <c r="M1193" s="22" t="s">
        <v>86</v>
      </c>
      <c r="N1193" s="23">
        <v>46083</v>
      </c>
      <c r="O1193" s="26" t="str">
        <f t="shared" si="57"/>
        <v/>
      </c>
      <c r="P1193" s="26" t="str">
        <f t="shared" si="58"/>
        <v/>
      </c>
      <c r="Q1193" s="26" t="str">
        <f t="shared" si="59"/>
        <v/>
      </c>
    </row>
    <row r="1194" spans="1:17" x14ac:dyDescent="0.3">
      <c r="A1194" s="35"/>
      <c r="B1194" s="25"/>
      <c r="C1194" s="25"/>
      <c r="D1194" s="25"/>
      <c r="E1194" s="25"/>
      <c r="F1194" s="25"/>
      <c r="G1194" s="25"/>
      <c r="H1194" s="25"/>
      <c r="I1194" s="25"/>
      <c r="J1194" s="25"/>
      <c r="K1194" s="25"/>
      <c r="L1194" s="25"/>
      <c r="M1194" s="22" t="s">
        <v>86</v>
      </c>
      <c r="N1194" s="23">
        <v>46083</v>
      </c>
      <c r="O1194" s="26" t="str">
        <f t="shared" si="57"/>
        <v/>
      </c>
      <c r="P1194" s="26" t="str">
        <f t="shared" si="58"/>
        <v/>
      </c>
      <c r="Q1194" s="26" t="str">
        <f t="shared" si="59"/>
        <v/>
      </c>
    </row>
    <row r="1195" spans="1:17" x14ac:dyDescent="0.3">
      <c r="A1195" s="35"/>
      <c r="B1195" s="25"/>
      <c r="C1195" s="25"/>
      <c r="D1195" s="25"/>
      <c r="E1195" s="25"/>
      <c r="F1195" s="25"/>
      <c r="G1195" s="25"/>
      <c r="H1195" s="25"/>
      <c r="I1195" s="25"/>
      <c r="J1195" s="25"/>
      <c r="K1195" s="25"/>
      <c r="L1195" s="25"/>
      <c r="M1195" s="22" t="s">
        <v>86</v>
      </c>
      <c r="N1195" s="23">
        <v>46083</v>
      </c>
      <c r="O1195" s="26" t="str">
        <f t="shared" si="57"/>
        <v/>
      </c>
      <c r="P1195" s="26" t="str">
        <f t="shared" si="58"/>
        <v/>
      </c>
      <c r="Q1195" s="26" t="str">
        <f t="shared" si="59"/>
        <v/>
      </c>
    </row>
    <row r="1196" spans="1:17" x14ac:dyDescent="0.3">
      <c r="A1196" s="35"/>
      <c r="B1196" s="25"/>
      <c r="C1196" s="25"/>
      <c r="D1196" s="25"/>
      <c r="E1196" s="25"/>
      <c r="F1196" s="25"/>
      <c r="G1196" s="25"/>
      <c r="H1196" s="25"/>
      <c r="I1196" s="25"/>
      <c r="J1196" s="25"/>
      <c r="K1196" s="25"/>
      <c r="L1196" s="25"/>
      <c r="M1196" s="22" t="s">
        <v>86</v>
      </c>
      <c r="N1196" s="23">
        <v>46083</v>
      </c>
      <c r="O1196" s="26" t="str">
        <f t="shared" si="57"/>
        <v/>
      </c>
      <c r="P1196" s="26" t="str">
        <f t="shared" si="58"/>
        <v/>
      </c>
      <c r="Q1196" s="26" t="str">
        <f t="shared" si="59"/>
        <v/>
      </c>
    </row>
    <row r="1197" spans="1:17" x14ac:dyDescent="0.3">
      <c r="A1197" s="35"/>
      <c r="B1197" s="25"/>
      <c r="C1197" s="25"/>
      <c r="D1197" s="25"/>
      <c r="E1197" s="25"/>
      <c r="F1197" s="25"/>
      <c r="G1197" s="25"/>
      <c r="H1197" s="25"/>
      <c r="I1197" s="25"/>
      <c r="J1197" s="25"/>
      <c r="K1197" s="25"/>
      <c r="L1197" s="25"/>
      <c r="M1197" s="22" t="s">
        <v>86</v>
      </c>
      <c r="N1197" s="23">
        <v>46083</v>
      </c>
      <c r="O1197" s="26" t="str">
        <f t="shared" si="57"/>
        <v/>
      </c>
      <c r="P1197" s="26" t="str">
        <f t="shared" si="58"/>
        <v/>
      </c>
      <c r="Q1197" s="26" t="str">
        <f t="shared" si="59"/>
        <v/>
      </c>
    </row>
    <row r="1198" spans="1:17" x14ac:dyDescent="0.3">
      <c r="A1198" s="35"/>
      <c r="B1198" s="25"/>
      <c r="C1198" s="25"/>
      <c r="D1198" s="25"/>
      <c r="E1198" s="25"/>
      <c r="F1198" s="25"/>
      <c r="G1198" s="25"/>
      <c r="H1198" s="25"/>
      <c r="I1198" s="25"/>
      <c r="J1198" s="25"/>
      <c r="K1198" s="25"/>
      <c r="L1198" s="25"/>
      <c r="M1198" s="22" t="s">
        <v>86</v>
      </c>
      <c r="N1198" s="23">
        <v>46083</v>
      </c>
      <c r="O1198" s="26" t="str">
        <f t="shared" si="57"/>
        <v/>
      </c>
      <c r="P1198" s="26" t="str">
        <f t="shared" si="58"/>
        <v/>
      </c>
      <c r="Q1198" s="26" t="str">
        <f t="shared" si="59"/>
        <v/>
      </c>
    </row>
    <row r="1199" spans="1:17" x14ac:dyDescent="0.3">
      <c r="A1199" s="35"/>
      <c r="B1199" s="25"/>
      <c r="C1199" s="25"/>
      <c r="D1199" s="25"/>
      <c r="E1199" s="25"/>
      <c r="F1199" s="25"/>
      <c r="G1199" s="25"/>
      <c r="H1199" s="25"/>
      <c r="I1199" s="25"/>
      <c r="J1199" s="25"/>
      <c r="K1199" s="25"/>
      <c r="L1199" s="25"/>
      <c r="M1199" s="22" t="s">
        <v>86</v>
      </c>
      <c r="N1199" s="23">
        <v>46083</v>
      </c>
      <c r="O1199" s="26" t="str">
        <f t="shared" si="57"/>
        <v/>
      </c>
      <c r="P1199" s="26" t="str">
        <f t="shared" si="58"/>
        <v/>
      </c>
      <c r="Q1199" s="26" t="str">
        <f t="shared" si="59"/>
        <v/>
      </c>
    </row>
    <row r="1200" spans="1:17" x14ac:dyDescent="0.3">
      <c r="A1200" s="35"/>
      <c r="B1200" s="25"/>
      <c r="C1200" s="25"/>
      <c r="D1200" s="25"/>
      <c r="E1200" s="25"/>
      <c r="F1200" s="25"/>
      <c r="G1200" s="25"/>
      <c r="H1200" s="25"/>
      <c r="I1200" s="25"/>
      <c r="J1200" s="25"/>
      <c r="K1200" s="25"/>
      <c r="L1200" s="25"/>
      <c r="M1200" s="22" t="s">
        <v>86</v>
      </c>
      <c r="N1200" s="23">
        <v>46083</v>
      </c>
      <c r="O1200" s="26" t="str">
        <f t="shared" si="57"/>
        <v/>
      </c>
      <c r="P1200" s="26" t="str">
        <f t="shared" si="58"/>
        <v/>
      </c>
      <c r="Q1200" s="26" t="str">
        <f t="shared" si="59"/>
        <v/>
      </c>
    </row>
    <row r="1201" spans="1:17" x14ac:dyDescent="0.3">
      <c r="A1201" s="35"/>
      <c r="B1201" s="25"/>
      <c r="C1201" s="25"/>
      <c r="D1201" s="25"/>
      <c r="E1201" s="25"/>
      <c r="F1201" s="25"/>
      <c r="G1201" s="25"/>
      <c r="H1201" s="25"/>
      <c r="I1201" s="25"/>
      <c r="J1201" s="25"/>
      <c r="K1201" s="25"/>
      <c r="L1201" s="25"/>
      <c r="M1201" s="22" t="s">
        <v>86</v>
      </c>
      <c r="N1201" s="23">
        <v>46083</v>
      </c>
      <c r="O1201" s="26" t="str">
        <f t="shared" si="57"/>
        <v/>
      </c>
      <c r="P1201" s="26" t="str">
        <f t="shared" si="58"/>
        <v/>
      </c>
      <c r="Q1201" s="26" t="str">
        <f t="shared" si="59"/>
        <v/>
      </c>
    </row>
    <row r="1202" spans="1:17" x14ac:dyDescent="0.3">
      <c r="A1202" s="35"/>
      <c r="B1202" s="25"/>
      <c r="C1202" s="25"/>
      <c r="D1202" s="25"/>
      <c r="E1202" s="25"/>
      <c r="F1202" s="25"/>
      <c r="G1202" s="25"/>
      <c r="H1202" s="25"/>
      <c r="I1202" s="25"/>
      <c r="J1202" s="25"/>
      <c r="K1202" s="25"/>
      <c r="L1202" s="25"/>
      <c r="M1202" s="22" t="s">
        <v>86</v>
      </c>
      <c r="N1202" s="23">
        <v>46083</v>
      </c>
      <c r="O1202" s="26" t="str">
        <f t="shared" si="57"/>
        <v/>
      </c>
      <c r="P1202" s="26" t="str">
        <f t="shared" si="58"/>
        <v/>
      </c>
      <c r="Q1202" s="26" t="str">
        <f t="shared" si="59"/>
        <v/>
      </c>
    </row>
    <row r="1203" spans="1:17" x14ac:dyDescent="0.3">
      <c r="A1203" s="35"/>
      <c r="B1203" s="25"/>
      <c r="C1203" s="25"/>
      <c r="D1203" s="25"/>
      <c r="E1203" s="25"/>
      <c r="F1203" s="25"/>
      <c r="G1203" s="25"/>
      <c r="H1203" s="25"/>
      <c r="I1203" s="25"/>
      <c r="J1203" s="25"/>
      <c r="K1203" s="25"/>
      <c r="L1203" s="25"/>
      <c r="M1203" s="22" t="s">
        <v>86</v>
      </c>
      <c r="N1203" s="23">
        <v>46083</v>
      </c>
      <c r="O1203" s="26" t="str">
        <f t="shared" si="57"/>
        <v/>
      </c>
      <c r="P1203" s="26" t="str">
        <f t="shared" si="58"/>
        <v/>
      </c>
      <c r="Q1203" s="26" t="str">
        <f t="shared" si="59"/>
        <v/>
      </c>
    </row>
    <row r="1204" spans="1:17" x14ac:dyDescent="0.3">
      <c r="A1204" s="35"/>
      <c r="B1204" s="25"/>
      <c r="C1204" s="25"/>
      <c r="D1204" s="25"/>
      <c r="E1204" s="25"/>
      <c r="F1204" s="25"/>
      <c r="G1204" s="25"/>
      <c r="H1204" s="25"/>
      <c r="I1204" s="25"/>
      <c r="J1204" s="25"/>
      <c r="K1204" s="25"/>
      <c r="L1204" s="25"/>
      <c r="M1204" s="22" t="s">
        <v>86</v>
      </c>
      <c r="N1204" s="23">
        <v>46083</v>
      </c>
      <c r="O1204" s="26" t="str">
        <f t="shared" si="57"/>
        <v/>
      </c>
      <c r="P1204" s="26" t="str">
        <f t="shared" si="58"/>
        <v/>
      </c>
      <c r="Q1204" s="26" t="str">
        <f t="shared" si="59"/>
        <v/>
      </c>
    </row>
    <row r="1205" spans="1:17" x14ac:dyDescent="0.3">
      <c r="A1205" s="35"/>
      <c r="B1205" s="25"/>
      <c r="C1205" s="25"/>
      <c r="D1205" s="25"/>
      <c r="E1205" s="25"/>
      <c r="F1205" s="25"/>
      <c r="G1205" s="25"/>
      <c r="H1205" s="25"/>
      <c r="I1205" s="25"/>
      <c r="J1205" s="25"/>
      <c r="K1205" s="25"/>
      <c r="L1205" s="25"/>
      <c r="M1205" s="22" t="s">
        <v>86</v>
      </c>
      <c r="N1205" s="23">
        <v>46083</v>
      </c>
      <c r="O1205" s="26" t="str">
        <f t="shared" si="57"/>
        <v/>
      </c>
      <c r="P1205" s="26" t="str">
        <f t="shared" si="58"/>
        <v/>
      </c>
      <c r="Q1205" s="26" t="str">
        <f t="shared" si="59"/>
        <v/>
      </c>
    </row>
    <row r="1206" spans="1:17" x14ac:dyDescent="0.3">
      <c r="A1206" s="35"/>
      <c r="B1206" s="25"/>
      <c r="C1206" s="25"/>
      <c r="D1206" s="25"/>
      <c r="E1206" s="25"/>
      <c r="F1206" s="25"/>
      <c r="G1206" s="25"/>
      <c r="H1206" s="25"/>
      <c r="I1206" s="25"/>
      <c r="J1206" s="25"/>
      <c r="K1206" s="25"/>
      <c r="L1206" s="25"/>
      <c r="M1206" s="22" t="s">
        <v>86</v>
      </c>
      <c r="N1206" s="23">
        <v>46083</v>
      </c>
      <c r="O1206" s="26" t="str">
        <f t="shared" si="57"/>
        <v/>
      </c>
      <c r="P1206" s="26" t="str">
        <f t="shared" si="58"/>
        <v/>
      </c>
      <c r="Q1206" s="26" t="str">
        <f t="shared" si="59"/>
        <v/>
      </c>
    </row>
    <row r="1207" spans="1:17" x14ac:dyDescent="0.3">
      <c r="A1207" s="35"/>
      <c r="B1207" s="25"/>
      <c r="C1207" s="25"/>
      <c r="D1207" s="25"/>
      <c r="E1207" s="25"/>
      <c r="F1207" s="25"/>
      <c r="G1207" s="25"/>
      <c r="H1207" s="25"/>
      <c r="I1207" s="25"/>
      <c r="J1207" s="25"/>
      <c r="K1207" s="25"/>
      <c r="L1207" s="25"/>
      <c r="M1207" s="22" t="s">
        <v>86</v>
      </c>
      <c r="N1207" s="23">
        <v>46083</v>
      </c>
      <c r="O1207" s="26" t="str">
        <f t="shared" si="57"/>
        <v/>
      </c>
      <c r="P1207" s="26" t="str">
        <f t="shared" si="58"/>
        <v/>
      </c>
      <c r="Q1207" s="26" t="str">
        <f t="shared" si="59"/>
        <v/>
      </c>
    </row>
    <row r="1208" spans="1:17" x14ac:dyDescent="0.3">
      <c r="A1208" s="35"/>
      <c r="B1208" s="25"/>
      <c r="C1208" s="25"/>
      <c r="D1208" s="25"/>
      <c r="E1208" s="25"/>
      <c r="F1208" s="25"/>
      <c r="G1208" s="25"/>
      <c r="H1208" s="25"/>
      <c r="I1208" s="25"/>
      <c r="J1208" s="25"/>
      <c r="K1208" s="25"/>
      <c r="L1208" s="25"/>
      <c r="M1208" s="22" t="s">
        <v>86</v>
      </c>
      <c r="N1208" s="23">
        <v>46083</v>
      </c>
      <c r="O1208" s="26" t="str">
        <f t="shared" si="57"/>
        <v/>
      </c>
      <c r="P1208" s="26" t="str">
        <f t="shared" si="58"/>
        <v/>
      </c>
      <c r="Q1208" s="26" t="str">
        <f t="shared" si="59"/>
        <v/>
      </c>
    </row>
    <row r="1209" spans="1:17" x14ac:dyDescent="0.3">
      <c r="A1209" s="35"/>
      <c r="B1209" s="25"/>
      <c r="C1209" s="25"/>
      <c r="D1209" s="25"/>
      <c r="E1209" s="25"/>
      <c r="F1209" s="25"/>
      <c r="G1209" s="25"/>
      <c r="H1209" s="25"/>
      <c r="I1209" s="25"/>
      <c r="J1209" s="25"/>
      <c r="K1209" s="25"/>
      <c r="L1209" s="25"/>
      <c r="M1209" s="22" t="s">
        <v>86</v>
      </c>
      <c r="N1209" s="23">
        <v>46083</v>
      </c>
      <c r="O1209" s="26" t="str">
        <f t="shared" si="57"/>
        <v/>
      </c>
      <c r="P1209" s="26" t="str">
        <f t="shared" si="58"/>
        <v/>
      </c>
      <c r="Q1209" s="26" t="str">
        <f t="shared" si="59"/>
        <v/>
      </c>
    </row>
    <row r="1210" spans="1:17" x14ac:dyDescent="0.3">
      <c r="A1210" s="35"/>
      <c r="B1210" s="25"/>
      <c r="C1210" s="25"/>
      <c r="D1210" s="25"/>
      <c r="E1210" s="25"/>
      <c r="F1210" s="25"/>
      <c r="G1210" s="25"/>
      <c r="H1210" s="25"/>
      <c r="I1210" s="25"/>
      <c r="J1210" s="25"/>
      <c r="K1210" s="25"/>
      <c r="L1210" s="25"/>
      <c r="M1210" s="22" t="s">
        <v>86</v>
      </c>
      <c r="N1210" s="23">
        <v>46083</v>
      </c>
      <c r="O1210" s="26" t="str">
        <f t="shared" si="57"/>
        <v/>
      </c>
      <c r="P1210" s="26" t="str">
        <f t="shared" si="58"/>
        <v/>
      </c>
      <c r="Q1210" s="26" t="str">
        <f t="shared" si="59"/>
        <v/>
      </c>
    </row>
    <row r="1211" spans="1:17" x14ac:dyDescent="0.3">
      <c r="A1211" s="35"/>
      <c r="B1211" s="25"/>
      <c r="C1211" s="25"/>
      <c r="D1211" s="25"/>
      <c r="E1211" s="25"/>
      <c r="F1211" s="25"/>
      <c r="G1211" s="25"/>
      <c r="H1211" s="25"/>
      <c r="I1211" s="25"/>
      <c r="J1211" s="25"/>
      <c r="K1211" s="25"/>
      <c r="L1211" s="25"/>
      <c r="M1211" s="22" t="s">
        <v>86</v>
      </c>
      <c r="N1211" s="23">
        <v>46083</v>
      </c>
      <c r="O1211" s="26" t="str">
        <f t="shared" si="57"/>
        <v/>
      </c>
      <c r="P1211" s="26" t="str">
        <f t="shared" si="58"/>
        <v/>
      </c>
      <c r="Q1211" s="26" t="str">
        <f t="shared" si="59"/>
        <v/>
      </c>
    </row>
    <row r="1212" spans="1:17" x14ac:dyDescent="0.3">
      <c r="A1212" s="35"/>
      <c r="B1212" s="25"/>
      <c r="C1212" s="25"/>
      <c r="D1212" s="25"/>
      <c r="E1212" s="25"/>
      <c r="F1212" s="25"/>
      <c r="G1212" s="25"/>
      <c r="H1212" s="25"/>
      <c r="I1212" s="25"/>
      <c r="J1212" s="25"/>
      <c r="K1212" s="25"/>
      <c r="L1212" s="25"/>
      <c r="M1212" s="22" t="s">
        <v>86</v>
      </c>
      <c r="N1212" s="23">
        <v>46083</v>
      </c>
      <c r="O1212" s="26" t="str">
        <f t="shared" si="57"/>
        <v/>
      </c>
      <c r="P1212" s="26" t="str">
        <f t="shared" si="58"/>
        <v/>
      </c>
      <c r="Q1212" s="26" t="str">
        <f t="shared" si="59"/>
        <v/>
      </c>
    </row>
    <row r="1213" spans="1:17" x14ac:dyDescent="0.3">
      <c r="A1213" s="35"/>
      <c r="B1213" s="25"/>
      <c r="C1213" s="25"/>
      <c r="D1213" s="25"/>
      <c r="E1213" s="25"/>
      <c r="F1213" s="25"/>
      <c r="G1213" s="25"/>
      <c r="H1213" s="25"/>
      <c r="I1213" s="25"/>
      <c r="J1213" s="25"/>
      <c r="K1213" s="25"/>
      <c r="L1213" s="25"/>
      <c r="M1213" s="22" t="s">
        <v>86</v>
      </c>
      <c r="N1213" s="23">
        <v>46083</v>
      </c>
      <c r="O1213" s="26" t="str">
        <f t="shared" si="57"/>
        <v/>
      </c>
      <c r="P1213" s="26" t="str">
        <f t="shared" si="58"/>
        <v/>
      </c>
      <c r="Q1213" s="26" t="str">
        <f t="shared" si="59"/>
        <v/>
      </c>
    </row>
    <row r="1214" spans="1:17" x14ac:dyDescent="0.3">
      <c r="A1214" s="35"/>
      <c r="B1214" s="25"/>
      <c r="C1214" s="25"/>
      <c r="D1214" s="25"/>
      <c r="E1214" s="25"/>
      <c r="F1214" s="25"/>
      <c r="G1214" s="25"/>
      <c r="H1214" s="25"/>
      <c r="I1214" s="25"/>
      <c r="J1214" s="25"/>
      <c r="K1214" s="25"/>
      <c r="L1214" s="25"/>
      <c r="M1214" s="22" t="s">
        <v>86</v>
      </c>
      <c r="N1214" s="23">
        <v>46083</v>
      </c>
      <c r="O1214" s="26" t="str">
        <f t="shared" si="57"/>
        <v/>
      </c>
      <c r="P1214" s="26" t="str">
        <f t="shared" si="58"/>
        <v/>
      </c>
      <c r="Q1214" s="26" t="str">
        <f t="shared" si="59"/>
        <v/>
      </c>
    </row>
    <row r="1215" spans="1:17" x14ac:dyDescent="0.3">
      <c r="A1215" s="35"/>
      <c r="B1215" s="25"/>
      <c r="C1215" s="25"/>
      <c r="D1215" s="25"/>
      <c r="E1215" s="25"/>
      <c r="F1215" s="25"/>
      <c r="G1215" s="25"/>
      <c r="H1215" s="25"/>
      <c r="I1215" s="25"/>
      <c r="J1215" s="25"/>
      <c r="K1215" s="25"/>
      <c r="L1215" s="25"/>
      <c r="M1215" s="22" t="s">
        <v>86</v>
      </c>
      <c r="N1215" s="23">
        <v>46083</v>
      </c>
      <c r="O1215" s="26" t="str">
        <f t="shared" si="57"/>
        <v/>
      </c>
      <c r="P1215" s="26" t="str">
        <f t="shared" si="58"/>
        <v/>
      </c>
      <c r="Q1215" s="26" t="str">
        <f t="shared" si="59"/>
        <v/>
      </c>
    </row>
    <row r="1216" spans="1:17" x14ac:dyDescent="0.3">
      <c r="A1216" s="35"/>
      <c r="B1216" s="25"/>
      <c r="C1216" s="25"/>
      <c r="D1216" s="25"/>
      <c r="E1216" s="25"/>
      <c r="F1216" s="25"/>
      <c r="G1216" s="25"/>
      <c r="H1216" s="25"/>
      <c r="I1216" s="25"/>
      <c r="J1216" s="25"/>
      <c r="K1216" s="25"/>
      <c r="L1216" s="25"/>
      <c r="M1216" s="22" t="s">
        <v>86</v>
      </c>
      <c r="N1216" s="23">
        <v>46083</v>
      </c>
      <c r="O1216" s="26" t="str">
        <f t="shared" si="57"/>
        <v/>
      </c>
      <c r="P1216" s="26" t="str">
        <f t="shared" si="58"/>
        <v/>
      </c>
      <c r="Q1216" s="26" t="str">
        <f t="shared" si="59"/>
        <v/>
      </c>
    </row>
    <row r="1217" spans="1:17" x14ac:dyDescent="0.3">
      <c r="A1217" s="35"/>
      <c r="B1217" s="25"/>
      <c r="C1217" s="25"/>
      <c r="D1217" s="25"/>
      <c r="E1217" s="25"/>
      <c r="F1217" s="25"/>
      <c r="G1217" s="25"/>
      <c r="H1217" s="25"/>
      <c r="I1217" s="25"/>
      <c r="J1217" s="25"/>
      <c r="K1217" s="25"/>
      <c r="L1217" s="25"/>
      <c r="M1217" s="22" t="s">
        <v>86</v>
      </c>
      <c r="N1217" s="23">
        <v>46083</v>
      </c>
      <c r="O1217" s="26" t="str">
        <f t="shared" si="57"/>
        <v/>
      </c>
      <c r="P1217" s="26" t="str">
        <f t="shared" si="58"/>
        <v/>
      </c>
      <c r="Q1217" s="26" t="str">
        <f t="shared" si="59"/>
        <v/>
      </c>
    </row>
    <row r="1218" spans="1:17" x14ac:dyDescent="0.3">
      <c r="A1218" s="35"/>
      <c r="B1218" s="25"/>
      <c r="C1218" s="25"/>
      <c r="D1218" s="25"/>
      <c r="E1218" s="25"/>
      <c r="F1218" s="25"/>
      <c r="G1218" s="25"/>
      <c r="H1218" s="25"/>
      <c r="I1218" s="25"/>
      <c r="J1218" s="25"/>
      <c r="K1218" s="25"/>
      <c r="L1218" s="25"/>
      <c r="M1218" s="22" t="s">
        <v>86</v>
      </c>
      <c r="N1218" s="23">
        <v>46083</v>
      </c>
      <c r="O1218" s="26" t="str">
        <f t="shared" ref="O1218:O1281" si="60">IF(A1218="","",IFERROR(IF(AND(LEN(A1218)=10,NOT(ISERROR(VALUE(A1218)))),"OK","확인"),"확인"))</f>
        <v/>
      </c>
      <c r="P1218" s="26" t="str">
        <f t="shared" ref="P1218:P1281" si="61">IF(A1218="","",IF(COUNTIF($A$2:$A$1946,A1218)&gt;1,"중복",""))</f>
        <v/>
      </c>
      <c r="Q1218" s="26" t="str">
        <f t="shared" ref="Q1218:Q1281" si="62">IF(G1218="","",IF(ISNUMBER(SEARCH("@",G1218)),"","확인"))</f>
        <v/>
      </c>
    </row>
    <row r="1219" spans="1:17" x14ac:dyDescent="0.3">
      <c r="A1219" s="35"/>
      <c r="B1219" s="25"/>
      <c r="C1219" s="25"/>
      <c r="D1219" s="25"/>
      <c r="E1219" s="25"/>
      <c r="F1219" s="25"/>
      <c r="G1219" s="25"/>
      <c r="H1219" s="25"/>
      <c r="I1219" s="25"/>
      <c r="J1219" s="25"/>
      <c r="K1219" s="25"/>
      <c r="L1219" s="25"/>
      <c r="M1219" s="22" t="s">
        <v>86</v>
      </c>
      <c r="N1219" s="23">
        <v>46083</v>
      </c>
      <c r="O1219" s="26" t="str">
        <f t="shared" si="60"/>
        <v/>
      </c>
      <c r="P1219" s="26" t="str">
        <f t="shared" si="61"/>
        <v/>
      </c>
      <c r="Q1219" s="26" t="str">
        <f t="shared" si="62"/>
        <v/>
      </c>
    </row>
    <row r="1220" spans="1:17" x14ac:dyDescent="0.3">
      <c r="A1220" s="35"/>
      <c r="B1220" s="25"/>
      <c r="C1220" s="25"/>
      <c r="D1220" s="25"/>
      <c r="E1220" s="25"/>
      <c r="F1220" s="25"/>
      <c r="G1220" s="25"/>
      <c r="H1220" s="25"/>
      <c r="I1220" s="25"/>
      <c r="J1220" s="25"/>
      <c r="K1220" s="25"/>
      <c r="L1220" s="25"/>
      <c r="M1220" s="22" t="s">
        <v>86</v>
      </c>
      <c r="N1220" s="23">
        <v>46083</v>
      </c>
      <c r="O1220" s="26" t="str">
        <f t="shared" si="60"/>
        <v/>
      </c>
      <c r="P1220" s="26" t="str">
        <f t="shared" si="61"/>
        <v/>
      </c>
      <c r="Q1220" s="26" t="str">
        <f t="shared" si="62"/>
        <v/>
      </c>
    </row>
    <row r="1221" spans="1:17" x14ac:dyDescent="0.3">
      <c r="A1221" s="35"/>
      <c r="B1221" s="25"/>
      <c r="C1221" s="25"/>
      <c r="D1221" s="25"/>
      <c r="E1221" s="25"/>
      <c r="F1221" s="25"/>
      <c r="G1221" s="25"/>
      <c r="H1221" s="25"/>
      <c r="I1221" s="25"/>
      <c r="J1221" s="25"/>
      <c r="K1221" s="25"/>
      <c r="L1221" s="25"/>
      <c r="M1221" s="22" t="s">
        <v>86</v>
      </c>
      <c r="N1221" s="23">
        <v>46083</v>
      </c>
      <c r="O1221" s="26" t="str">
        <f t="shared" si="60"/>
        <v/>
      </c>
      <c r="P1221" s="26" t="str">
        <f t="shared" si="61"/>
        <v/>
      </c>
      <c r="Q1221" s="26" t="str">
        <f t="shared" si="62"/>
        <v/>
      </c>
    </row>
    <row r="1222" spans="1:17" x14ac:dyDescent="0.3">
      <c r="A1222" s="35"/>
      <c r="B1222" s="25"/>
      <c r="C1222" s="25"/>
      <c r="D1222" s="25"/>
      <c r="E1222" s="25"/>
      <c r="F1222" s="25"/>
      <c r="G1222" s="25"/>
      <c r="H1222" s="25"/>
      <c r="I1222" s="25"/>
      <c r="J1222" s="25"/>
      <c r="K1222" s="25"/>
      <c r="L1222" s="25"/>
      <c r="M1222" s="22" t="s">
        <v>86</v>
      </c>
      <c r="N1222" s="23">
        <v>46083</v>
      </c>
      <c r="O1222" s="26" t="str">
        <f t="shared" si="60"/>
        <v/>
      </c>
      <c r="P1222" s="26" t="str">
        <f t="shared" si="61"/>
        <v/>
      </c>
      <c r="Q1222" s="26" t="str">
        <f t="shared" si="62"/>
        <v/>
      </c>
    </row>
    <row r="1223" spans="1:17" x14ac:dyDescent="0.3">
      <c r="A1223" s="35"/>
      <c r="B1223" s="25"/>
      <c r="C1223" s="25"/>
      <c r="D1223" s="25"/>
      <c r="E1223" s="25"/>
      <c r="F1223" s="25"/>
      <c r="G1223" s="25"/>
      <c r="H1223" s="25"/>
      <c r="I1223" s="25"/>
      <c r="J1223" s="25"/>
      <c r="K1223" s="25"/>
      <c r="L1223" s="25"/>
      <c r="M1223" s="22" t="s">
        <v>86</v>
      </c>
      <c r="N1223" s="23">
        <v>46083</v>
      </c>
      <c r="O1223" s="26" t="str">
        <f t="shared" si="60"/>
        <v/>
      </c>
      <c r="P1223" s="26" t="str">
        <f t="shared" si="61"/>
        <v/>
      </c>
      <c r="Q1223" s="26" t="str">
        <f t="shared" si="62"/>
        <v/>
      </c>
    </row>
    <row r="1224" spans="1:17" x14ac:dyDescent="0.3">
      <c r="A1224" s="35"/>
      <c r="B1224" s="25"/>
      <c r="C1224" s="25"/>
      <c r="D1224" s="25"/>
      <c r="E1224" s="25"/>
      <c r="F1224" s="25"/>
      <c r="G1224" s="25"/>
      <c r="H1224" s="25"/>
      <c r="I1224" s="25"/>
      <c r="J1224" s="25"/>
      <c r="K1224" s="25"/>
      <c r="L1224" s="25"/>
      <c r="M1224" s="22" t="s">
        <v>86</v>
      </c>
      <c r="N1224" s="23">
        <v>46083</v>
      </c>
      <c r="O1224" s="26" t="str">
        <f t="shared" si="60"/>
        <v/>
      </c>
      <c r="P1224" s="26" t="str">
        <f t="shared" si="61"/>
        <v/>
      </c>
      <c r="Q1224" s="26" t="str">
        <f t="shared" si="62"/>
        <v/>
      </c>
    </row>
    <row r="1225" spans="1:17" x14ac:dyDescent="0.3">
      <c r="A1225" s="35"/>
      <c r="B1225" s="25"/>
      <c r="C1225" s="25"/>
      <c r="D1225" s="25"/>
      <c r="E1225" s="25"/>
      <c r="F1225" s="25"/>
      <c r="G1225" s="25"/>
      <c r="H1225" s="25"/>
      <c r="I1225" s="25"/>
      <c r="J1225" s="25"/>
      <c r="K1225" s="25"/>
      <c r="L1225" s="25"/>
      <c r="M1225" s="22" t="s">
        <v>86</v>
      </c>
      <c r="N1225" s="23">
        <v>46083</v>
      </c>
      <c r="O1225" s="26" t="str">
        <f t="shared" si="60"/>
        <v/>
      </c>
      <c r="P1225" s="26" t="str">
        <f t="shared" si="61"/>
        <v/>
      </c>
      <c r="Q1225" s="26" t="str">
        <f t="shared" si="62"/>
        <v/>
      </c>
    </row>
    <row r="1226" spans="1:17" x14ac:dyDescent="0.3">
      <c r="A1226" s="35"/>
      <c r="B1226" s="25"/>
      <c r="C1226" s="25"/>
      <c r="D1226" s="25"/>
      <c r="E1226" s="25"/>
      <c r="F1226" s="25"/>
      <c r="G1226" s="25"/>
      <c r="H1226" s="25"/>
      <c r="I1226" s="25"/>
      <c r="J1226" s="25"/>
      <c r="K1226" s="25"/>
      <c r="L1226" s="25"/>
      <c r="M1226" s="22" t="s">
        <v>86</v>
      </c>
      <c r="N1226" s="23">
        <v>46083</v>
      </c>
      <c r="O1226" s="26" t="str">
        <f t="shared" si="60"/>
        <v/>
      </c>
      <c r="P1226" s="26" t="str">
        <f t="shared" si="61"/>
        <v/>
      </c>
      <c r="Q1226" s="26" t="str">
        <f t="shared" si="62"/>
        <v/>
      </c>
    </row>
    <row r="1227" spans="1:17" x14ac:dyDescent="0.3">
      <c r="A1227" s="35"/>
      <c r="B1227" s="25"/>
      <c r="C1227" s="25"/>
      <c r="D1227" s="25"/>
      <c r="E1227" s="25"/>
      <c r="F1227" s="25"/>
      <c r="G1227" s="25"/>
      <c r="H1227" s="25"/>
      <c r="I1227" s="25"/>
      <c r="J1227" s="25"/>
      <c r="K1227" s="25"/>
      <c r="L1227" s="25"/>
      <c r="M1227" s="22" t="s">
        <v>86</v>
      </c>
      <c r="N1227" s="23">
        <v>46083</v>
      </c>
      <c r="O1227" s="26" t="str">
        <f t="shared" si="60"/>
        <v/>
      </c>
      <c r="P1227" s="26" t="str">
        <f t="shared" si="61"/>
        <v/>
      </c>
      <c r="Q1227" s="26" t="str">
        <f t="shared" si="62"/>
        <v/>
      </c>
    </row>
    <row r="1228" spans="1:17" x14ac:dyDescent="0.3">
      <c r="A1228" s="35"/>
      <c r="B1228" s="25"/>
      <c r="C1228" s="25"/>
      <c r="D1228" s="25"/>
      <c r="E1228" s="25"/>
      <c r="F1228" s="25"/>
      <c r="G1228" s="25"/>
      <c r="H1228" s="25"/>
      <c r="I1228" s="25"/>
      <c r="J1228" s="25"/>
      <c r="K1228" s="25"/>
      <c r="L1228" s="25"/>
      <c r="M1228" s="22" t="s">
        <v>86</v>
      </c>
      <c r="N1228" s="23">
        <v>46083</v>
      </c>
      <c r="O1228" s="26" t="str">
        <f t="shared" si="60"/>
        <v/>
      </c>
      <c r="P1228" s="26" t="str">
        <f t="shared" si="61"/>
        <v/>
      </c>
      <c r="Q1228" s="26" t="str">
        <f t="shared" si="62"/>
        <v/>
      </c>
    </row>
    <row r="1229" spans="1:17" x14ac:dyDescent="0.3">
      <c r="A1229" s="35"/>
      <c r="B1229" s="25"/>
      <c r="C1229" s="25"/>
      <c r="D1229" s="25"/>
      <c r="E1229" s="25"/>
      <c r="F1229" s="25"/>
      <c r="G1229" s="25"/>
      <c r="H1229" s="25"/>
      <c r="I1229" s="25"/>
      <c r="J1229" s="25"/>
      <c r="K1229" s="25"/>
      <c r="L1229" s="25"/>
      <c r="M1229" s="22" t="s">
        <v>86</v>
      </c>
      <c r="N1229" s="23">
        <v>46083</v>
      </c>
      <c r="O1229" s="26" t="str">
        <f t="shared" si="60"/>
        <v/>
      </c>
      <c r="P1229" s="26" t="str">
        <f t="shared" si="61"/>
        <v/>
      </c>
      <c r="Q1229" s="26" t="str">
        <f t="shared" si="62"/>
        <v/>
      </c>
    </row>
    <row r="1230" spans="1:17" x14ac:dyDescent="0.3">
      <c r="A1230" s="35"/>
      <c r="B1230" s="25"/>
      <c r="C1230" s="25"/>
      <c r="D1230" s="25"/>
      <c r="E1230" s="25"/>
      <c r="F1230" s="25"/>
      <c r="G1230" s="25"/>
      <c r="H1230" s="25"/>
      <c r="I1230" s="25"/>
      <c r="J1230" s="25"/>
      <c r="K1230" s="25"/>
      <c r="L1230" s="25"/>
      <c r="M1230" s="22" t="s">
        <v>86</v>
      </c>
      <c r="N1230" s="23">
        <v>46083</v>
      </c>
      <c r="O1230" s="26" t="str">
        <f t="shared" si="60"/>
        <v/>
      </c>
      <c r="P1230" s="26" t="str">
        <f t="shared" si="61"/>
        <v/>
      </c>
      <c r="Q1230" s="26" t="str">
        <f t="shared" si="62"/>
        <v/>
      </c>
    </row>
    <row r="1231" spans="1:17" x14ac:dyDescent="0.3">
      <c r="A1231" s="35"/>
      <c r="B1231" s="25"/>
      <c r="C1231" s="25"/>
      <c r="D1231" s="25"/>
      <c r="E1231" s="25"/>
      <c r="F1231" s="25"/>
      <c r="G1231" s="25"/>
      <c r="H1231" s="25"/>
      <c r="I1231" s="25"/>
      <c r="J1231" s="25"/>
      <c r="K1231" s="25"/>
      <c r="L1231" s="25"/>
      <c r="M1231" s="22" t="s">
        <v>86</v>
      </c>
      <c r="N1231" s="23">
        <v>46083</v>
      </c>
      <c r="O1231" s="26" t="str">
        <f t="shared" si="60"/>
        <v/>
      </c>
      <c r="P1231" s="26" t="str">
        <f t="shared" si="61"/>
        <v/>
      </c>
      <c r="Q1231" s="26" t="str">
        <f t="shared" si="62"/>
        <v/>
      </c>
    </row>
    <row r="1232" spans="1:17" x14ac:dyDescent="0.3">
      <c r="A1232" s="35"/>
      <c r="B1232" s="25"/>
      <c r="C1232" s="25"/>
      <c r="D1232" s="25"/>
      <c r="E1232" s="25"/>
      <c r="F1232" s="25"/>
      <c r="G1232" s="25"/>
      <c r="H1232" s="25"/>
      <c r="I1232" s="25"/>
      <c r="J1232" s="25"/>
      <c r="K1232" s="25"/>
      <c r="L1232" s="25"/>
      <c r="M1232" s="22" t="s">
        <v>86</v>
      </c>
      <c r="N1232" s="23">
        <v>46083</v>
      </c>
      <c r="O1232" s="26" t="str">
        <f t="shared" si="60"/>
        <v/>
      </c>
      <c r="P1232" s="26" t="str">
        <f t="shared" si="61"/>
        <v/>
      </c>
      <c r="Q1232" s="26" t="str">
        <f t="shared" si="62"/>
        <v/>
      </c>
    </row>
    <row r="1233" spans="1:17" x14ac:dyDescent="0.3">
      <c r="A1233" s="35"/>
      <c r="B1233" s="25"/>
      <c r="C1233" s="25"/>
      <c r="D1233" s="25"/>
      <c r="E1233" s="25"/>
      <c r="F1233" s="25"/>
      <c r="G1233" s="25"/>
      <c r="H1233" s="25"/>
      <c r="I1233" s="25"/>
      <c r="J1233" s="25"/>
      <c r="K1233" s="25"/>
      <c r="L1233" s="25"/>
      <c r="M1233" s="22" t="s">
        <v>86</v>
      </c>
      <c r="N1233" s="23">
        <v>46083</v>
      </c>
      <c r="O1233" s="26" t="str">
        <f t="shared" si="60"/>
        <v/>
      </c>
      <c r="P1233" s="26" t="str">
        <f t="shared" si="61"/>
        <v/>
      </c>
      <c r="Q1233" s="26" t="str">
        <f t="shared" si="62"/>
        <v/>
      </c>
    </row>
    <row r="1234" spans="1:17" x14ac:dyDescent="0.3">
      <c r="A1234" s="35"/>
      <c r="B1234" s="25"/>
      <c r="C1234" s="25"/>
      <c r="D1234" s="25"/>
      <c r="E1234" s="25"/>
      <c r="F1234" s="25"/>
      <c r="G1234" s="25"/>
      <c r="H1234" s="25"/>
      <c r="I1234" s="25"/>
      <c r="J1234" s="25"/>
      <c r="K1234" s="25"/>
      <c r="L1234" s="25"/>
      <c r="M1234" s="22" t="s">
        <v>86</v>
      </c>
      <c r="N1234" s="23">
        <v>46083</v>
      </c>
      <c r="O1234" s="26" t="str">
        <f t="shared" si="60"/>
        <v/>
      </c>
      <c r="P1234" s="26" t="str">
        <f t="shared" si="61"/>
        <v/>
      </c>
      <c r="Q1234" s="26" t="str">
        <f t="shared" si="62"/>
        <v/>
      </c>
    </row>
    <row r="1235" spans="1:17" x14ac:dyDescent="0.3">
      <c r="A1235" s="35"/>
      <c r="B1235" s="25"/>
      <c r="C1235" s="25"/>
      <c r="D1235" s="25"/>
      <c r="E1235" s="25"/>
      <c r="F1235" s="25"/>
      <c r="G1235" s="25"/>
      <c r="H1235" s="25"/>
      <c r="I1235" s="25"/>
      <c r="J1235" s="25"/>
      <c r="K1235" s="25"/>
      <c r="L1235" s="25"/>
      <c r="M1235" s="22" t="s">
        <v>86</v>
      </c>
      <c r="N1235" s="23">
        <v>46083</v>
      </c>
      <c r="O1235" s="26" t="str">
        <f t="shared" si="60"/>
        <v/>
      </c>
      <c r="P1235" s="26" t="str">
        <f t="shared" si="61"/>
        <v/>
      </c>
      <c r="Q1235" s="26" t="str">
        <f t="shared" si="62"/>
        <v/>
      </c>
    </row>
    <row r="1236" spans="1:17" x14ac:dyDescent="0.3">
      <c r="A1236" s="35"/>
      <c r="B1236" s="25"/>
      <c r="C1236" s="25"/>
      <c r="D1236" s="25"/>
      <c r="E1236" s="25"/>
      <c r="F1236" s="25"/>
      <c r="G1236" s="25"/>
      <c r="H1236" s="25"/>
      <c r="I1236" s="25"/>
      <c r="J1236" s="25"/>
      <c r="K1236" s="25"/>
      <c r="L1236" s="25"/>
      <c r="M1236" s="22" t="s">
        <v>86</v>
      </c>
      <c r="N1236" s="23">
        <v>46083</v>
      </c>
      <c r="O1236" s="26" t="str">
        <f t="shared" si="60"/>
        <v/>
      </c>
      <c r="P1236" s="26" t="str">
        <f t="shared" si="61"/>
        <v/>
      </c>
      <c r="Q1236" s="26" t="str">
        <f t="shared" si="62"/>
        <v/>
      </c>
    </row>
    <row r="1237" spans="1:17" x14ac:dyDescent="0.3">
      <c r="A1237" s="35"/>
      <c r="B1237" s="25"/>
      <c r="C1237" s="25"/>
      <c r="D1237" s="25"/>
      <c r="E1237" s="25"/>
      <c r="F1237" s="25"/>
      <c r="G1237" s="25"/>
      <c r="H1237" s="25"/>
      <c r="I1237" s="25"/>
      <c r="J1237" s="25"/>
      <c r="K1237" s="25"/>
      <c r="L1237" s="25"/>
      <c r="M1237" s="22" t="s">
        <v>86</v>
      </c>
      <c r="N1237" s="23">
        <v>46083</v>
      </c>
      <c r="O1237" s="26" t="str">
        <f t="shared" si="60"/>
        <v/>
      </c>
      <c r="P1237" s="26" t="str">
        <f t="shared" si="61"/>
        <v/>
      </c>
      <c r="Q1237" s="26" t="str">
        <f t="shared" si="62"/>
        <v/>
      </c>
    </row>
    <row r="1238" spans="1:17" x14ac:dyDescent="0.3">
      <c r="A1238" s="35"/>
      <c r="B1238" s="25"/>
      <c r="C1238" s="25"/>
      <c r="D1238" s="25"/>
      <c r="E1238" s="25"/>
      <c r="F1238" s="25"/>
      <c r="G1238" s="25"/>
      <c r="H1238" s="25"/>
      <c r="I1238" s="25"/>
      <c r="J1238" s="25"/>
      <c r="K1238" s="25"/>
      <c r="L1238" s="25"/>
      <c r="M1238" s="22" t="s">
        <v>86</v>
      </c>
      <c r="N1238" s="23">
        <v>46083</v>
      </c>
      <c r="O1238" s="26" t="str">
        <f t="shared" si="60"/>
        <v/>
      </c>
      <c r="P1238" s="26" t="str">
        <f t="shared" si="61"/>
        <v/>
      </c>
      <c r="Q1238" s="26" t="str">
        <f t="shared" si="62"/>
        <v/>
      </c>
    </row>
    <row r="1239" spans="1:17" x14ac:dyDescent="0.3">
      <c r="A1239" s="35"/>
      <c r="B1239" s="25"/>
      <c r="C1239" s="25"/>
      <c r="D1239" s="25"/>
      <c r="E1239" s="25"/>
      <c r="F1239" s="25"/>
      <c r="G1239" s="25"/>
      <c r="H1239" s="25"/>
      <c r="I1239" s="25"/>
      <c r="J1239" s="25"/>
      <c r="K1239" s="25"/>
      <c r="L1239" s="25"/>
      <c r="M1239" s="22" t="s">
        <v>86</v>
      </c>
      <c r="N1239" s="23">
        <v>46083</v>
      </c>
      <c r="O1239" s="26" t="str">
        <f t="shared" si="60"/>
        <v/>
      </c>
      <c r="P1239" s="26" t="str">
        <f t="shared" si="61"/>
        <v/>
      </c>
      <c r="Q1239" s="26" t="str">
        <f t="shared" si="62"/>
        <v/>
      </c>
    </row>
    <row r="1240" spans="1:17" x14ac:dyDescent="0.3">
      <c r="A1240" s="35"/>
      <c r="B1240" s="25"/>
      <c r="C1240" s="25"/>
      <c r="D1240" s="25"/>
      <c r="E1240" s="25"/>
      <c r="F1240" s="25"/>
      <c r="G1240" s="25"/>
      <c r="H1240" s="25"/>
      <c r="I1240" s="25"/>
      <c r="J1240" s="25"/>
      <c r="K1240" s="25"/>
      <c r="L1240" s="25"/>
      <c r="M1240" s="22" t="s">
        <v>86</v>
      </c>
      <c r="N1240" s="23">
        <v>46083</v>
      </c>
      <c r="O1240" s="26" t="str">
        <f t="shared" si="60"/>
        <v/>
      </c>
      <c r="P1240" s="26" t="str">
        <f t="shared" si="61"/>
        <v/>
      </c>
      <c r="Q1240" s="26" t="str">
        <f t="shared" si="62"/>
        <v/>
      </c>
    </row>
    <row r="1241" spans="1:17" x14ac:dyDescent="0.3">
      <c r="A1241" s="35"/>
      <c r="B1241" s="25"/>
      <c r="C1241" s="25"/>
      <c r="D1241" s="25"/>
      <c r="E1241" s="25"/>
      <c r="F1241" s="25"/>
      <c r="G1241" s="25"/>
      <c r="H1241" s="25"/>
      <c r="I1241" s="25"/>
      <c r="J1241" s="25"/>
      <c r="K1241" s="25"/>
      <c r="L1241" s="25"/>
      <c r="M1241" s="22" t="s">
        <v>86</v>
      </c>
      <c r="N1241" s="23">
        <v>46083</v>
      </c>
      <c r="O1241" s="26" t="str">
        <f t="shared" si="60"/>
        <v/>
      </c>
      <c r="P1241" s="26" t="str">
        <f t="shared" si="61"/>
        <v/>
      </c>
      <c r="Q1241" s="26" t="str">
        <f t="shared" si="62"/>
        <v/>
      </c>
    </row>
    <row r="1242" spans="1:17" x14ac:dyDescent="0.3">
      <c r="A1242" s="35"/>
      <c r="B1242" s="25"/>
      <c r="C1242" s="25"/>
      <c r="D1242" s="25"/>
      <c r="E1242" s="25"/>
      <c r="F1242" s="25"/>
      <c r="G1242" s="25"/>
      <c r="H1242" s="25"/>
      <c r="I1242" s="25"/>
      <c r="J1242" s="25"/>
      <c r="K1242" s="25"/>
      <c r="L1242" s="25"/>
      <c r="M1242" s="22" t="s">
        <v>86</v>
      </c>
      <c r="N1242" s="23">
        <v>46083</v>
      </c>
      <c r="O1242" s="26" t="str">
        <f t="shared" si="60"/>
        <v/>
      </c>
      <c r="P1242" s="26" t="str">
        <f t="shared" si="61"/>
        <v/>
      </c>
      <c r="Q1242" s="26" t="str">
        <f t="shared" si="62"/>
        <v/>
      </c>
    </row>
    <row r="1243" spans="1:17" x14ac:dyDescent="0.3">
      <c r="A1243" s="35"/>
      <c r="B1243" s="25"/>
      <c r="C1243" s="25"/>
      <c r="D1243" s="25"/>
      <c r="E1243" s="25"/>
      <c r="F1243" s="25"/>
      <c r="G1243" s="25"/>
      <c r="H1243" s="25"/>
      <c r="I1243" s="25"/>
      <c r="J1243" s="25"/>
      <c r="K1243" s="25"/>
      <c r="L1243" s="25"/>
      <c r="M1243" s="22" t="s">
        <v>86</v>
      </c>
      <c r="N1243" s="23">
        <v>46083</v>
      </c>
      <c r="O1243" s="26" t="str">
        <f t="shared" si="60"/>
        <v/>
      </c>
      <c r="P1243" s="26" t="str">
        <f t="shared" si="61"/>
        <v/>
      </c>
      <c r="Q1243" s="26" t="str">
        <f t="shared" si="62"/>
        <v/>
      </c>
    </row>
    <row r="1244" spans="1:17" x14ac:dyDescent="0.3">
      <c r="A1244" s="35"/>
      <c r="B1244" s="25"/>
      <c r="C1244" s="25"/>
      <c r="D1244" s="25"/>
      <c r="E1244" s="25"/>
      <c r="F1244" s="25"/>
      <c r="G1244" s="25"/>
      <c r="H1244" s="25"/>
      <c r="I1244" s="25"/>
      <c r="J1244" s="25"/>
      <c r="K1244" s="25"/>
      <c r="L1244" s="25"/>
      <c r="M1244" s="22" t="s">
        <v>86</v>
      </c>
      <c r="N1244" s="23">
        <v>46083</v>
      </c>
      <c r="O1244" s="26" t="str">
        <f t="shared" si="60"/>
        <v/>
      </c>
      <c r="P1244" s="26" t="str">
        <f t="shared" si="61"/>
        <v/>
      </c>
      <c r="Q1244" s="26" t="str">
        <f t="shared" si="62"/>
        <v/>
      </c>
    </row>
    <row r="1245" spans="1:17" x14ac:dyDescent="0.3">
      <c r="A1245" s="35"/>
      <c r="B1245" s="25"/>
      <c r="C1245" s="25"/>
      <c r="D1245" s="25"/>
      <c r="E1245" s="25"/>
      <c r="F1245" s="25"/>
      <c r="G1245" s="25"/>
      <c r="H1245" s="25"/>
      <c r="I1245" s="25"/>
      <c r="J1245" s="25"/>
      <c r="K1245" s="25"/>
      <c r="L1245" s="25"/>
      <c r="M1245" s="22" t="s">
        <v>86</v>
      </c>
      <c r="N1245" s="23">
        <v>46083</v>
      </c>
      <c r="O1245" s="26" t="str">
        <f t="shared" si="60"/>
        <v/>
      </c>
      <c r="P1245" s="26" t="str">
        <f t="shared" si="61"/>
        <v/>
      </c>
      <c r="Q1245" s="26" t="str">
        <f t="shared" si="62"/>
        <v/>
      </c>
    </row>
    <row r="1246" spans="1:17" x14ac:dyDescent="0.3">
      <c r="A1246" s="35"/>
      <c r="B1246" s="25"/>
      <c r="C1246" s="25"/>
      <c r="D1246" s="25"/>
      <c r="E1246" s="25"/>
      <c r="F1246" s="25"/>
      <c r="G1246" s="25"/>
      <c r="H1246" s="25"/>
      <c r="I1246" s="25"/>
      <c r="J1246" s="25"/>
      <c r="K1246" s="25"/>
      <c r="L1246" s="25"/>
      <c r="M1246" s="22" t="s">
        <v>86</v>
      </c>
      <c r="N1246" s="23">
        <v>46083</v>
      </c>
      <c r="O1246" s="26" t="str">
        <f t="shared" si="60"/>
        <v/>
      </c>
      <c r="P1246" s="26" t="str">
        <f t="shared" si="61"/>
        <v/>
      </c>
      <c r="Q1246" s="26" t="str">
        <f t="shared" si="62"/>
        <v/>
      </c>
    </row>
    <row r="1247" spans="1:17" x14ac:dyDescent="0.3">
      <c r="A1247" s="35"/>
      <c r="B1247" s="25"/>
      <c r="C1247" s="25"/>
      <c r="D1247" s="25"/>
      <c r="E1247" s="25"/>
      <c r="F1247" s="25"/>
      <c r="G1247" s="25"/>
      <c r="H1247" s="25"/>
      <c r="I1247" s="25"/>
      <c r="J1247" s="25"/>
      <c r="K1247" s="25"/>
      <c r="L1247" s="25"/>
      <c r="M1247" s="22" t="s">
        <v>86</v>
      </c>
      <c r="N1247" s="23">
        <v>46083</v>
      </c>
      <c r="O1247" s="26" t="str">
        <f t="shared" si="60"/>
        <v/>
      </c>
      <c r="P1247" s="26" t="str">
        <f t="shared" si="61"/>
        <v/>
      </c>
      <c r="Q1247" s="26" t="str">
        <f t="shared" si="62"/>
        <v/>
      </c>
    </row>
    <row r="1248" spans="1:17" x14ac:dyDescent="0.3">
      <c r="A1248" s="35"/>
      <c r="B1248" s="25"/>
      <c r="C1248" s="25"/>
      <c r="D1248" s="25"/>
      <c r="E1248" s="25"/>
      <c r="F1248" s="25"/>
      <c r="G1248" s="25"/>
      <c r="H1248" s="25"/>
      <c r="I1248" s="25"/>
      <c r="J1248" s="25"/>
      <c r="K1248" s="25"/>
      <c r="L1248" s="25"/>
      <c r="M1248" s="22" t="s">
        <v>86</v>
      </c>
      <c r="N1248" s="23">
        <v>46083</v>
      </c>
      <c r="O1248" s="26" t="str">
        <f t="shared" si="60"/>
        <v/>
      </c>
      <c r="P1248" s="26" t="str">
        <f t="shared" si="61"/>
        <v/>
      </c>
      <c r="Q1248" s="26" t="str">
        <f t="shared" si="62"/>
        <v/>
      </c>
    </row>
    <row r="1249" spans="1:17" x14ac:dyDescent="0.3">
      <c r="A1249" s="35"/>
      <c r="B1249" s="25"/>
      <c r="C1249" s="25"/>
      <c r="D1249" s="25"/>
      <c r="E1249" s="25"/>
      <c r="F1249" s="25"/>
      <c r="G1249" s="25"/>
      <c r="H1249" s="25"/>
      <c r="I1249" s="25"/>
      <c r="J1249" s="25"/>
      <c r="K1249" s="25"/>
      <c r="L1249" s="25"/>
      <c r="M1249" s="22" t="s">
        <v>86</v>
      </c>
      <c r="N1249" s="23">
        <v>46083</v>
      </c>
      <c r="O1249" s="26" t="str">
        <f t="shared" si="60"/>
        <v/>
      </c>
      <c r="P1249" s="26" t="str">
        <f t="shared" si="61"/>
        <v/>
      </c>
      <c r="Q1249" s="26" t="str">
        <f t="shared" si="62"/>
        <v/>
      </c>
    </row>
    <row r="1250" spans="1:17" x14ac:dyDescent="0.3">
      <c r="A1250" s="35"/>
      <c r="B1250" s="25"/>
      <c r="C1250" s="25"/>
      <c r="D1250" s="25"/>
      <c r="E1250" s="25"/>
      <c r="F1250" s="25"/>
      <c r="G1250" s="25"/>
      <c r="H1250" s="25"/>
      <c r="I1250" s="25"/>
      <c r="J1250" s="25"/>
      <c r="K1250" s="25"/>
      <c r="L1250" s="25"/>
      <c r="M1250" s="22" t="s">
        <v>86</v>
      </c>
      <c r="N1250" s="23">
        <v>46083</v>
      </c>
      <c r="O1250" s="26" t="str">
        <f t="shared" si="60"/>
        <v/>
      </c>
      <c r="P1250" s="26" t="str">
        <f t="shared" si="61"/>
        <v/>
      </c>
      <c r="Q1250" s="26" t="str">
        <f t="shared" si="62"/>
        <v/>
      </c>
    </row>
    <row r="1251" spans="1:17" x14ac:dyDescent="0.3">
      <c r="A1251" s="35"/>
      <c r="B1251" s="25"/>
      <c r="C1251" s="25"/>
      <c r="D1251" s="25"/>
      <c r="E1251" s="25"/>
      <c r="F1251" s="25"/>
      <c r="G1251" s="25"/>
      <c r="H1251" s="25"/>
      <c r="I1251" s="25"/>
      <c r="J1251" s="25"/>
      <c r="K1251" s="25"/>
      <c r="L1251" s="25"/>
      <c r="M1251" s="22" t="s">
        <v>86</v>
      </c>
      <c r="N1251" s="23">
        <v>46083</v>
      </c>
      <c r="O1251" s="26" t="str">
        <f t="shared" si="60"/>
        <v/>
      </c>
      <c r="P1251" s="26" t="str">
        <f t="shared" si="61"/>
        <v/>
      </c>
      <c r="Q1251" s="26" t="str">
        <f t="shared" si="62"/>
        <v/>
      </c>
    </row>
    <row r="1252" spans="1:17" x14ac:dyDescent="0.3">
      <c r="A1252" s="35"/>
      <c r="B1252" s="25"/>
      <c r="C1252" s="25"/>
      <c r="D1252" s="25"/>
      <c r="E1252" s="25"/>
      <c r="F1252" s="25"/>
      <c r="G1252" s="25"/>
      <c r="H1252" s="25"/>
      <c r="I1252" s="25"/>
      <c r="J1252" s="25"/>
      <c r="K1252" s="25"/>
      <c r="L1252" s="25"/>
      <c r="M1252" s="22" t="s">
        <v>86</v>
      </c>
      <c r="N1252" s="23">
        <v>46083</v>
      </c>
      <c r="O1252" s="26" t="str">
        <f t="shared" si="60"/>
        <v/>
      </c>
      <c r="P1252" s="26" t="str">
        <f t="shared" si="61"/>
        <v/>
      </c>
      <c r="Q1252" s="26" t="str">
        <f t="shared" si="62"/>
        <v/>
      </c>
    </row>
    <row r="1253" spans="1:17" x14ac:dyDescent="0.3">
      <c r="A1253" s="35"/>
      <c r="B1253" s="25"/>
      <c r="C1253" s="25"/>
      <c r="D1253" s="25"/>
      <c r="E1253" s="25"/>
      <c r="F1253" s="25"/>
      <c r="G1253" s="25"/>
      <c r="H1253" s="25"/>
      <c r="I1253" s="25"/>
      <c r="J1253" s="25"/>
      <c r="K1253" s="25"/>
      <c r="L1253" s="25"/>
      <c r="M1253" s="22" t="s">
        <v>86</v>
      </c>
      <c r="N1253" s="23">
        <v>46083</v>
      </c>
      <c r="O1253" s="26" t="str">
        <f t="shared" si="60"/>
        <v/>
      </c>
      <c r="P1253" s="26" t="str">
        <f t="shared" si="61"/>
        <v/>
      </c>
      <c r="Q1253" s="26" t="str">
        <f t="shared" si="62"/>
        <v/>
      </c>
    </row>
    <row r="1254" spans="1:17" x14ac:dyDescent="0.3">
      <c r="A1254" s="35"/>
      <c r="B1254" s="25"/>
      <c r="C1254" s="25"/>
      <c r="D1254" s="25"/>
      <c r="E1254" s="25"/>
      <c r="F1254" s="25"/>
      <c r="G1254" s="25"/>
      <c r="H1254" s="25"/>
      <c r="I1254" s="25"/>
      <c r="J1254" s="25"/>
      <c r="K1254" s="25"/>
      <c r="L1254" s="25"/>
      <c r="M1254" s="22" t="s">
        <v>86</v>
      </c>
      <c r="N1254" s="23">
        <v>46083</v>
      </c>
      <c r="O1254" s="26" t="str">
        <f t="shared" si="60"/>
        <v/>
      </c>
      <c r="P1254" s="26" t="str">
        <f t="shared" si="61"/>
        <v/>
      </c>
      <c r="Q1254" s="26" t="str">
        <f t="shared" si="62"/>
        <v/>
      </c>
    </row>
    <row r="1255" spans="1:17" x14ac:dyDescent="0.3">
      <c r="A1255" s="35"/>
      <c r="B1255" s="25"/>
      <c r="C1255" s="25"/>
      <c r="D1255" s="25"/>
      <c r="E1255" s="25"/>
      <c r="F1255" s="25"/>
      <c r="G1255" s="25"/>
      <c r="H1255" s="25"/>
      <c r="I1255" s="25"/>
      <c r="J1255" s="25"/>
      <c r="K1255" s="25"/>
      <c r="L1255" s="25"/>
      <c r="M1255" s="22" t="s">
        <v>86</v>
      </c>
      <c r="N1255" s="23">
        <v>46083</v>
      </c>
      <c r="O1255" s="26" t="str">
        <f t="shared" si="60"/>
        <v/>
      </c>
      <c r="P1255" s="26" t="str">
        <f t="shared" si="61"/>
        <v/>
      </c>
      <c r="Q1255" s="26" t="str">
        <f t="shared" si="62"/>
        <v/>
      </c>
    </row>
    <row r="1256" spans="1:17" x14ac:dyDescent="0.3">
      <c r="A1256" s="35"/>
      <c r="B1256" s="25"/>
      <c r="C1256" s="25"/>
      <c r="D1256" s="25"/>
      <c r="E1256" s="25"/>
      <c r="F1256" s="25"/>
      <c r="G1256" s="25"/>
      <c r="H1256" s="25"/>
      <c r="I1256" s="25"/>
      <c r="J1256" s="25"/>
      <c r="K1256" s="25"/>
      <c r="L1256" s="25"/>
      <c r="M1256" s="22" t="s">
        <v>86</v>
      </c>
      <c r="N1256" s="23">
        <v>46083</v>
      </c>
      <c r="O1256" s="26" t="str">
        <f t="shared" si="60"/>
        <v/>
      </c>
      <c r="P1256" s="26" t="str">
        <f t="shared" si="61"/>
        <v/>
      </c>
      <c r="Q1256" s="26" t="str">
        <f t="shared" si="62"/>
        <v/>
      </c>
    </row>
    <row r="1257" spans="1:17" x14ac:dyDescent="0.3">
      <c r="A1257" s="35"/>
      <c r="B1257" s="25"/>
      <c r="C1257" s="25"/>
      <c r="D1257" s="25"/>
      <c r="E1257" s="25"/>
      <c r="F1257" s="25"/>
      <c r="G1257" s="25"/>
      <c r="H1257" s="25"/>
      <c r="I1257" s="25"/>
      <c r="J1257" s="25"/>
      <c r="K1257" s="25"/>
      <c r="L1257" s="25"/>
      <c r="M1257" s="22" t="s">
        <v>86</v>
      </c>
      <c r="N1257" s="23">
        <v>46083</v>
      </c>
      <c r="O1257" s="26" t="str">
        <f t="shared" si="60"/>
        <v/>
      </c>
      <c r="P1257" s="26" t="str">
        <f t="shared" si="61"/>
        <v/>
      </c>
      <c r="Q1257" s="26" t="str">
        <f t="shared" si="62"/>
        <v/>
      </c>
    </row>
    <row r="1258" spans="1:17" x14ac:dyDescent="0.3">
      <c r="A1258" s="35"/>
      <c r="B1258" s="25"/>
      <c r="C1258" s="25"/>
      <c r="D1258" s="25"/>
      <c r="E1258" s="25"/>
      <c r="F1258" s="25"/>
      <c r="G1258" s="25"/>
      <c r="H1258" s="25"/>
      <c r="I1258" s="25"/>
      <c r="J1258" s="25"/>
      <c r="K1258" s="25"/>
      <c r="L1258" s="25"/>
      <c r="M1258" s="22" t="s">
        <v>86</v>
      </c>
      <c r="N1258" s="23">
        <v>46083</v>
      </c>
      <c r="O1258" s="26" t="str">
        <f t="shared" si="60"/>
        <v/>
      </c>
      <c r="P1258" s="26" t="str">
        <f t="shared" si="61"/>
        <v/>
      </c>
      <c r="Q1258" s="26" t="str">
        <f t="shared" si="62"/>
        <v/>
      </c>
    </row>
    <row r="1259" spans="1:17" x14ac:dyDescent="0.3">
      <c r="A1259" s="35"/>
      <c r="B1259" s="25"/>
      <c r="C1259" s="25"/>
      <c r="D1259" s="25"/>
      <c r="E1259" s="25"/>
      <c r="F1259" s="25"/>
      <c r="G1259" s="25"/>
      <c r="H1259" s="25"/>
      <c r="I1259" s="25"/>
      <c r="J1259" s="25"/>
      <c r="K1259" s="25"/>
      <c r="L1259" s="25"/>
      <c r="M1259" s="22" t="s">
        <v>86</v>
      </c>
      <c r="N1259" s="23">
        <v>46083</v>
      </c>
      <c r="O1259" s="26" t="str">
        <f t="shared" si="60"/>
        <v/>
      </c>
      <c r="P1259" s="26" t="str">
        <f t="shared" si="61"/>
        <v/>
      </c>
      <c r="Q1259" s="26" t="str">
        <f t="shared" si="62"/>
        <v/>
      </c>
    </row>
    <row r="1260" spans="1:17" x14ac:dyDescent="0.3">
      <c r="A1260" s="35"/>
      <c r="B1260" s="25"/>
      <c r="C1260" s="25"/>
      <c r="D1260" s="25"/>
      <c r="E1260" s="25"/>
      <c r="F1260" s="25"/>
      <c r="G1260" s="25"/>
      <c r="H1260" s="25"/>
      <c r="I1260" s="25"/>
      <c r="J1260" s="25"/>
      <c r="K1260" s="25"/>
      <c r="L1260" s="25"/>
      <c r="M1260" s="22" t="s">
        <v>86</v>
      </c>
      <c r="N1260" s="23">
        <v>46083</v>
      </c>
      <c r="O1260" s="26" t="str">
        <f t="shared" si="60"/>
        <v/>
      </c>
      <c r="P1260" s="26" t="str">
        <f t="shared" si="61"/>
        <v/>
      </c>
      <c r="Q1260" s="26" t="str">
        <f t="shared" si="62"/>
        <v/>
      </c>
    </row>
    <row r="1261" spans="1:17" x14ac:dyDescent="0.3">
      <c r="A1261" s="35"/>
      <c r="B1261" s="25"/>
      <c r="C1261" s="25"/>
      <c r="D1261" s="25"/>
      <c r="E1261" s="25"/>
      <c r="F1261" s="25"/>
      <c r="G1261" s="25"/>
      <c r="H1261" s="25"/>
      <c r="I1261" s="25"/>
      <c r="J1261" s="25"/>
      <c r="K1261" s="25"/>
      <c r="L1261" s="25"/>
      <c r="M1261" s="22" t="s">
        <v>86</v>
      </c>
      <c r="N1261" s="23">
        <v>46083</v>
      </c>
      <c r="O1261" s="26" t="str">
        <f t="shared" si="60"/>
        <v/>
      </c>
      <c r="P1261" s="26" t="str">
        <f t="shared" si="61"/>
        <v/>
      </c>
      <c r="Q1261" s="26" t="str">
        <f t="shared" si="62"/>
        <v/>
      </c>
    </row>
    <row r="1262" spans="1:17" x14ac:dyDescent="0.3">
      <c r="A1262" s="35"/>
      <c r="B1262" s="25"/>
      <c r="C1262" s="25"/>
      <c r="D1262" s="25"/>
      <c r="E1262" s="25"/>
      <c r="F1262" s="25"/>
      <c r="G1262" s="25"/>
      <c r="H1262" s="25"/>
      <c r="I1262" s="25"/>
      <c r="J1262" s="25"/>
      <c r="K1262" s="25"/>
      <c r="L1262" s="25"/>
      <c r="M1262" s="22" t="s">
        <v>86</v>
      </c>
      <c r="N1262" s="23">
        <v>46083</v>
      </c>
      <c r="O1262" s="26" t="str">
        <f t="shared" si="60"/>
        <v/>
      </c>
      <c r="P1262" s="26" t="str">
        <f t="shared" si="61"/>
        <v/>
      </c>
      <c r="Q1262" s="26" t="str">
        <f t="shared" si="62"/>
        <v/>
      </c>
    </row>
    <row r="1263" spans="1:17" x14ac:dyDescent="0.3">
      <c r="A1263" s="35"/>
      <c r="B1263" s="25"/>
      <c r="C1263" s="25"/>
      <c r="D1263" s="25"/>
      <c r="E1263" s="25"/>
      <c r="F1263" s="25"/>
      <c r="G1263" s="25"/>
      <c r="H1263" s="25"/>
      <c r="I1263" s="25"/>
      <c r="J1263" s="25"/>
      <c r="K1263" s="25"/>
      <c r="L1263" s="25"/>
      <c r="M1263" s="22" t="s">
        <v>86</v>
      </c>
      <c r="N1263" s="23">
        <v>46083</v>
      </c>
      <c r="O1263" s="26" t="str">
        <f t="shared" si="60"/>
        <v/>
      </c>
      <c r="P1263" s="26" t="str">
        <f t="shared" si="61"/>
        <v/>
      </c>
      <c r="Q1263" s="26" t="str">
        <f t="shared" si="62"/>
        <v/>
      </c>
    </row>
    <row r="1264" spans="1:17" x14ac:dyDescent="0.3">
      <c r="A1264" s="35"/>
      <c r="B1264" s="25"/>
      <c r="C1264" s="25"/>
      <c r="D1264" s="25"/>
      <c r="E1264" s="25"/>
      <c r="F1264" s="25"/>
      <c r="G1264" s="25"/>
      <c r="H1264" s="25"/>
      <c r="I1264" s="25"/>
      <c r="J1264" s="25"/>
      <c r="K1264" s="25"/>
      <c r="L1264" s="25"/>
      <c r="M1264" s="22" t="s">
        <v>86</v>
      </c>
      <c r="N1264" s="23">
        <v>46083</v>
      </c>
      <c r="O1264" s="26" t="str">
        <f t="shared" si="60"/>
        <v/>
      </c>
      <c r="P1264" s="26" t="str">
        <f t="shared" si="61"/>
        <v/>
      </c>
      <c r="Q1264" s="26" t="str">
        <f t="shared" si="62"/>
        <v/>
      </c>
    </row>
    <row r="1265" spans="1:17" x14ac:dyDescent="0.3">
      <c r="A1265" s="35"/>
      <c r="B1265" s="25"/>
      <c r="C1265" s="25"/>
      <c r="D1265" s="25"/>
      <c r="E1265" s="25"/>
      <c r="F1265" s="25"/>
      <c r="G1265" s="25"/>
      <c r="H1265" s="25"/>
      <c r="I1265" s="25"/>
      <c r="J1265" s="25"/>
      <c r="K1265" s="25"/>
      <c r="L1265" s="25"/>
      <c r="M1265" s="22" t="s">
        <v>86</v>
      </c>
      <c r="N1265" s="23">
        <v>46083</v>
      </c>
      <c r="O1265" s="26" t="str">
        <f t="shared" si="60"/>
        <v/>
      </c>
      <c r="P1265" s="26" t="str">
        <f t="shared" si="61"/>
        <v/>
      </c>
      <c r="Q1265" s="26" t="str">
        <f t="shared" si="62"/>
        <v/>
      </c>
    </row>
    <row r="1266" spans="1:17" x14ac:dyDescent="0.3">
      <c r="A1266" s="35"/>
      <c r="B1266" s="25"/>
      <c r="C1266" s="25"/>
      <c r="D1266" s="25"/>
      <c r="E1266" s="25"/>
      <c r="F1266" s="25"/>
      <c r="G1266" s="25"/>
      <c r="H1266" s="25"/>
      <c r="I1266" s="25"/>
      <c r="J1266" s="25"/>
      <c r="K1266" s="25"/>
      <c r="L1266" s="25"/>
      <c r="M1266" s="22" t="s">
        <v>86</v>
      </c>
      <c r="N1266" s="23">
        <v>46083</v>
      </c>
      <c r="O1266" s="26" t="str">
        <f t="shared" si="60"/>
        <v/>
      </c>
      <c r="P1266" s="26" t="str">
        <f t="shared" si="61"/>
        <v/>
      </c>
      <c r="Q1266" s="26" t="str">
        <f t="shared" si="62"/>
        <v/>
      </c>
    </row>
    <row r="1267" spans="1:17" x14ac:dyDescent="0.3">
      <c r="A1267" s="35"/>
      <c r="B1267" s="25"/>
      <c r="C1267" s="25"/>
      <c r="D1267" s="25"/>
      <c r="E1267" s="25"/>
      <c r="F1267" s="25"/>
      <c r="G1267" s="25"/>
      <c r="H1267" s="25"/>
      <c r="I1267" s="25"/>
      <c r="J1267" s="25"/>
      <c r="K1267" s="25"/>
      <c r="L1267" s="25"/>
      <c r="M1267" s="22" t="s">
        <v>86</v>
      </c>
      <c r="N1267" s="23">
        <v>46083</v>
      </c>
      <c r="O1267" s="26" t="str">
        <f t="shared" si="60"/>
        <v/>
      </c>
      <c r="P1267" s="26" t="str">
        <f t="shared" si="61"/>
        <v/>
      </c>
      <c r="Q1267" s="26" t="str">
        <f t="shared" si="62"/>
        <v/>
      </c>
    </row>
    <row r="1268" spans="1:17" x14ac:dyDescent="0.3">
      <c r="A1268" s="35"/>
      <c r="B1268" s="25"/>
      <c r="C1268" s="25"/>
      <c r="D1268" s="25"/>
      <c r="E1268" s="25"/>
      <c r="F1268" s="25"/>
      <c r="G1268" s="25"/>
      <c r="H1268" s="25"/>
      <c r="I1268" s="25"/>
      <c r="J1268" s="25"/>
      <c r="K1268" s="25"/>
      <c r="L1268" s="25"/>
      <c r="M1268" s="22" t="s">
        <v>86</v>
      </c>
      <c r="N1268" s="23">
        <v>46083</v>
      </c>
      <c r="O1268" s="26" t="str">
        <f t="shared" si="60"/>
        <v/>
      </c>
      <c r="P1268" s="26" t="str">
        <f t="shared" si="61"/>
        <v/>
      </c>
      <c r="Q1268" s="26" t="str">
        <f t="shared" si="62"/>
        <v/>
      </c>
    </row>
    <row r="1269" spans="1:17" x14ac:dyDescent="0.3">
      <c r="A1269" s="35"/>
      <c r="B1269" s="25"/>
      <c r="C1269" s="25"/>
      <c r="D1269" s="25"/>
      <c r="E1269" s="25"/>
      <c r="F1269" s="25"/>
      <c r="G1269" s="25"/>
      <c r="H1269" s="25"/>
      <c r="I1269" s="25"/>
      <c r="J1269" s="25"/>
      <c r="K1269" s="25"/>
      <c r="L1269" s="25"/>
      <c r="M1269" s="22" t="s">
        <v>86</v>
      </c>
      <c r="N1269" s="23">
        <v>46083</v>
      </c>
      <c r="O1269" s="26" t="str">
        <f t="shared" si="60"/>
        <v/>
      </c>
      <c r="P1269" s="26" t="str">
        <f t="shared" si="61"/>
        <v/>
      </c>
      <c r="Q1269" s="26" t="str">
        <f t="shared" si="62"/>
        <v/>
      </c>
    </row>
    <row r="1270" spans="1:17" x14ac:dyDescent="0.3">
      <c r="A1270" s="35"/>
      <c r="B1270" s="25"/>
      <c r="C1270" s="25"/>
      <c r="D1270" s="25"/>
      <c r="E1270" s="25"/>
      <c r="F1270" s="25"/>
      <c r="G1270" s="25"/>
      <c r="H1270" s="25"/>
      <c r="I1270" s="25"/>
      <c r="J1270" s="25"/>
      <c r="K1270" s="25"/>
      <c r="L1270" s="25"/>
      <c r="M1270" s="22" t="s">
        <v>86</v>
      </c>
      <c r="N1270" s="23">
        <v>46083</v>
      </c>
      <c r="O1270" s="26" t="str">
        <f t="shared" si="60"/>
        <v/>
      </c>
      <c r="P1270" s="26" t="str">
        <f t="shared" si="61"/>
        <v/>
      </c>
      <c r="Q1270" s="26" t="str">
        <f t="shared" si="62"/>
        <v/>
      </c>
    </row>
    <row r="1271" spans="1:17" x14ac:dyDescent="0.3">
      <c r="A1271" s="35"/>
      <c r="B1271" s="25"/>
      <c r="C1271" s="25"/>
      <c r="D1271" s="25"/>
      <c r="E1271" s="25"/>
      <c r="F1271" s="25"/>
      <c r="G1271" s="25"/>
      <c r="H1271" s="25"/>
      <c r="I1271" s="25"/>
      <c r="J1271" s="25"/>
      <c r="K1271" s="25"/>
      <c r="L1271" s="25"/>
      <c r="M1271" s="22" t="s">
        <v>86</v>
      </c>
      <c r="N1271" s="23">
        <v>46083</v>
      </c>
      <c r="O1271" s="26" t="str">
        <f t="shared" si="60"/>
        <v/>
      </c>
      <c r="P1271" s="26" t="str">
        <f t="shared" si="61"/>
        <v/>
      </c>
      <c r="Q1271" s="26" t="str">
        <f t="shared" si="62"/>
        <v/>
      </c>
    </row>
    <row r="1272" spans="1:17" x14ac:dyDescent="0.3">
      <c r="A1272" s="35"/>
      <c r="B1272" s="25"/>
      <c r="C1272" s="25"/>
      <c r="D1272" s="25"/>
      <c r="E1272" s="25"/>
      <c r="F1272" s="25"/>
      <c r="G1272" s="25"/>
      <c r="H1272" s="25"/>
      <c r="I1272" s="25"/>
      <c r="J1272" s="25"/>
      <c r="K1272" s="25"/>
      <c r="L1272" s="25"/>
      <c r="M1272" s="22" t="s">
        <v>86</v>
      </c>
      <c r="N1272" s="23">
        <v>46083</v>
      </c>
      <c r="O1272" s="26" t="str">
        <f t="shared" si="60"/>
        <v/>
      </c>
      <c r="P1272" s="26" t="str">
        <f t="shared" si="61"/>
        <v/>
      </c>
      <c r="Q1272" s="26" t="str">
        <f t="shared" si="62"/>
        <v/>
      </c>
    </row>
    <row r="1273" spans="1:17" x14ac:dyDescent="0.3">
      <c r="A1273" s="35"/>
      <c r="B1273" s="25"/>
      <c r="C1273" s="25"/>
      <c r="D1273" s="25"/>
      <c r="E1273" s="25"/>
      <c r="F1273" s="25"/>
      <c r="G1273" s="25"/>
      <c r="H1273" s="25"/>
      <c r="I1273" s="25"/>
      <c r="J1273" s="25"/>
      <c r="K1273" s="25"/>
      <c r="L1273" s="25"/>
      <c r="M1273" s="22" t="s">
        <v>86</v>
      </c>
      <c r="N1273" s="23">
        <v>46083</v>
      </c>
      <c r="O1273" s="26" t="str">
        <f t="shared" si="60"/>
        <v/>
      </c>
      <c r="P1273" s="26" t="str">
        <f t="shared" si="61"/>
        <v/>
      </c>
      <c r="Q1273" s="26" t="str">
        <f t="shared" si="62"/>
        <v/>
      </c>
    </row>
    <row r="1274" spans="1:17" x14ac:dyDescent="0.3">
      <c r="A1274" s="35"/>
      <c r="B1274" s="25"/>
      <c r="C1274" s="25"/>
      <c r="D1274" s="25"/>
      <c r="E1274" s="25"/>
      <c r="F1274" s="25"/>
      <c r="G1274" s="25"/>
      <c r="H1274" s="25"/>
      <c r="I1274" s="25"/>
      <c r="J1274" s="25"/>
      <c r="K1274" s="25"/>
      <c r="L1274" s="25"/>
      <c r="M1274" s="22" t="s">
        <v>86</v>
      </c>
      <c r="N1274" s="23">
        <v>46083</v>
      </c>
      <c r="O1274" s="26" t="str">
        <f t="shared" si="60"/>
        <v/>
      </c>
      <c r="P1274" s="26" t="str">
        <f t="shared" si="61"/>
        <v/>
      </c>
      <c r="Q1274" s="26" t="str">
        <f t="shared" si="62"/>
        <v/>
      </c>
    </row>
    <row r="1275" spans="1:17" x14ac:dyDescent="0.3">
      <c r="A1275" s="35"/>
      <c r="B1275" s="25"/>
      <c r="C1275" s="25"/>
      <c r="D1275" s="25"/>
      <c r="E1275" s="25"/>
      <c r="F1275" s="25"/>
      <c r="G1275" s="25"/>
      <c r="H1275" s="25"/>
      <c r="I1275" s="25"/>
      <c r="J1275" s="25"/>
      <c r="K1275" s="25"/>
      <c r="L1275" s="25"/>
      <c r="M1275" s="22" t="s">
        <v>86</v>
      </c>
      <c r="N1275" s="23">
        <v>46083</v>
      </c>
      <c r="O1275" s="26" t="str">
        <f t="shared" si="60"/>
        <v/>
      </c>
      <c r="P1275" s="26" t="str">
        <f t="shared" si="61"/>
        <v/>
      </c>
      <c r="Q1275" s="26" t="str">
        <f t="shared" si="62"/>
        <v/>
      </c>
    </row>
    <row r="1276" spans="1:17" x14ac:dyDescent="0.3">
      <c r="A1276" s="35"/>
      <c r="B1276" s="25"/>
      <c r="C1276" s="25"/>
      <c r="D1276" s="25"/>
      <c r="E1276" s="25"/>
      <c r="F1276" s="25"/>
      <c r="G1276" s="25"/>
      <c r="H1276" s="25"/>
      <c r="I1276" s="25"/>
      <c r="J1276" s="25"/>
      <c r="K1276" s="25"/>
      <c r="L1276" s="25"/>
      <c r="M1276" s="22" t="s">
        <v>86</v>
      </c>
      <c r="N1276" s="23">
        <v>46083</v>
      </c>
      <c r="O1276" s="26" t="str">
        <f t="shared" si="60"/>
        <v/>
      </c>
      <c r="P1276" s="26" t="str">
        <f t="shared" si="61"/>
        <v/>
      </c>
      <c r="Q1276" s="26" t="str">
        <f t="shared" si="62"/>
        <v/>
      </c>
    </row>
    <row r="1277" spans="1:17" x14ac:dyDescent="0.3">
      <c r="A1277" s="35"/>
      <c r="B1277" s="25"/>
      <c r="C1277" s="25"/>
      <c r="D1277" s="25"/>
      <c r="E1277" s="25"/>
      <c r="F1277" s="25"/>
      <c r="G1277" s="25"/>
      <c r="H1277" s="25"/>
      <c r="I1277" s="25"/>
      <c r="J1277" s="25"/>
      <c r="K1277" s="25"/>
      <c r="L1277" s="25"/>
      <c r="M1277" s="22" t="s">
        <v>86</v>
      </c>
      <c r="N1277" s="23">
        <v>46083</v>
      </c>
      <c r="O1277" s="26" t="str">
        <f t="shared" si="60"/>
        <v/>
      </c>
      <c r="P1277" s="26" t="str">
        <f t="shared" si="61"/>
        <v/>
      </c>
      <c r="Q1277" s="26" t="str">
        <f t="shared" si="62"/>
        <v/>
      </c>
    </row>
    <row r="1278" spans="1:17" x14ac:dyDescent="0.3">
      <c r="A1278" s="35"/>
      <c r="B1278" s="25"/>
      <c r="C1278" s="25"/>
      <c r="D1278" s="25"/>
      <c r="E1278" s="25"/>
      <c r="F1278" s="25"/>
      <c r="G1278" s="25"/>
      <c r="H1278" s="25"/>
      <c r="I1278" s="25"/>
      <c r="J1278" s="25"/>
      <c r="K1278" s="25"/>
      <c r="L1278" s="25"/>
      <c r="M1278" s="22" t="s">
        <v>86</v>
      </c>
      <c r="N1278" s="23">
        <v>46083</v>
      </c>
      <c r="O1278" s="26" t="str">
        <f t="shared" si="60"/>
        <v/>
      </c>
      <c r="P1278" s="26" t="str">
        <f t="shared" si="61"/>
        <v/>
      </c>
      <c r="Q1278" s="26" t="str">
        <f t="shared" si="62"/>
        <v/>
      </c>
    </row>
    <row r="1279" spans="1:17" x14ac:dyDescent="0.3">
      <c r="A1279" s="35"/>
      <c r="B1279" s="25"/>
      <c r="C1279" s="25"/>
      <c r="D1279" s="25"/>
      <c r="E1279" s="25"/>
      <c r="F1279" s="25"/>
      <c r="G1279" s="25"/>
      <c r="H1279" s="25"/>
      <c r="I1279" s="25"/>
      <c r="J1279" s="25"/>
      <c r="K1279" s="25"/>
      <c r="L1279" s="25"/>
      <c r="M1279" s="22" t="s">
        <v>86</v>
      </c>
      <c r="N1279" s="23">
        <v>46083</v>
      </c>
      <c r="O1279" s="26" t="str">
        <f t="shared" si="60"/>
        <v/>
      </c>
      <c r="P1279" s="26" t="str">
        <f t="shared" si="61"/>
        <v/>
      </c>
      <c r="Q1279" s="26" t="str">
        <f t="shared" si="62"/>
        <v/>
      </c>
    </row>
    <row r="1280" spans="1:17" x14ac:dyDescent="0.3">
      <c r="A1280" s="35"/>
      <c r="B1280" s="25"/>
      <c r="C1280" s="25"/>
      <c r="D1280" s="25"/>
      <c r="E1280" s="25"/>
      <c r="F1280" s="25"/>
      <c r="G1280" s="25"/>
      <c r="H1280" s="25"/>
      <c r="I1280" s="25"/>
      <c r="J1280" s="25"/>
      <c r="K1280" s="25"/>
      <c r="L1280" s="25"/>
      <c r="M1280" s="22" t="s">
        <v>86</v>
      </c>
      <c r="N1280" s="23">
        <v>46083</v>
      </c>
      <c r="O1280" s="26" t="str">
        <f t="shared" si="60"/>
        <v/>
      </c>
      <c r="P1280" s="26" t="str">
        <f t="shared" si="61"/>
        <v/>
      </c>
      <c r="Q1280" s="26" t="str">
        <f t="shared" si="62"/>
        <v/>
      </c>
    </row>
    <row r="1281" spans="1:17" x14ac:dyDescent="0.3">
      <c r="A1281" s="35"/>
      <c r="B1281" s="25"/>
      <c r="C1281" s="25"/>
      <c r="D1281" s="25"/>
      <c r="E1281" s="25"/>
      <c r="F1281" s="25"/>
      <c r="G1281" s="25"/>
      <c r="H1281" s="25"/>
      <c r="I1281" s="25"/>
      <c r="J1281" s="25"/>
      <c r="K1281" s="25"/>
      <c r="L1281" s="25"/>
      <c r="M1281" s="22" t="s">
        <v>86</v>
      </c>
      <c r="N1281" s="23">
        <v>46083</v>
      </c>
      <c r="O1281" s="26" t="str">
        <f t="shared" si="60"/>
        <v/>
      </c>
      <c r="P1281" s="26" t="str">
        <f t="shared" si="61"/>
        <v/>
      </c>
      <c r="Q1281" s="26" t="str">
        <f t="shared" si="62"/>
        <v/>
      </c>
    </row>
    <row r="1282" spans="1:17" x14ac:dyDescent="0.3">
      <c r="A1282" s="35"/>
      <c r="B1282" s="25"/>
      <c r="C1282" s="25"/>
      <c r="D1282" s="25"/>
      <c r="E1282" s="25"/>
      <c r="F1282" s="25"/>
      <c r="G1282" s="25"/>
      <c r="H1282" s="25"/>
      <c r="I1282" s="25"/>
      <c r="J1282" s="25"/>
      <c r="K1282" s="25"/>
      <c r="L1282" s="25"/>
      <c r="M1282" s="22" t="s">
        <v>86</v>
      </c>
      <c r="N1282" s="23">
        <v>46083</v>
      </c>
      <c r="O1282" s="26" t="str">
        <f t="shared" ref="O1282:O1345" si="63">IF(A1282="","",IFERROR(IF(AND(LEN(A1282)=10,NOT(ISERROR(VALUE(A1282)))),"OK","확인"),"확인"))</f>
        <v/>
      </c>
      <c r="P1282" s="26" t="str">
        <f t="shared" ref="P1282:P1345" si="64">IF(A1282="","",IF(COUNTIF($A$2:$A$1946,A1282)&gt;1,"중복",""))</f>
        <v/>
      </c>
      <c r="Q1282" s="26" t="str">
        <f t="shared" ref="Q1282:Q1345" si="65">IF(G1282="","",IF(ISNUMBER(SEARCH("@",G1282)),"","확인"))</f>
        <v/>
      </c>
    </row>
    <row r="1283" spans="1:17" x14ac:dyDescent="0.3">
      <c r="A1283" s="35"/>
      <c r="B1283" s="25"/>
      <c r="C1283" s="25"/>
      <c r="D1283" s="25"/>
      <c r="E1283" s="25"/>
      <c r="F1283" s="25"/>
      <c r="G1283" s="25"/>
      <c r="H1283" s="25"/>
      <c r="I1283" s="25"/>
      <c r="J1283" s="25"/>
      <c r="K1283" s="25"/>
      <c r="L1283" s="25"/>
      <c r="M1283" s="22" t="s">
        <v>86</v>
      </c>
      <c r="N1283" s="23">
        <v>46083</v>
      </c>
      <c r="O1283" s="26" t="str">
        <f t="shared" si="63"/>
        <v/>
      </c>
      <c r="P1283" s="26" t="str">
        <f t="shared" si="64"/>
        <v/>
      </c>
      <c r="Q1283" s="26" t="str">
        <f t="shared" si="65"/>
        <v/>
      </c>
    </row>
    <row r="1284" spans="1:17" x14ac:dyDescent="0.3">
      <c r="A1284" s="35"/>
      <c r="B1284" s="25"/>
      <c r="C1284" s="25"/>
      <c r="D1284" s="25"/>
      <c r="E1284" s="25"/>
      <c r="F1284" s="25"/>
      <c r="G1284" s="25"/>
      <c r="H1284" s="25"/>
      <c r="I1284" s="25"/>
      <c r="J1284" s="25"/>
      <c r="K1284" s="25"/>
      <c r="L1284" s="25"/>
      <c r="M1284" s="22" t="s">
        <v>86</v>
      </c>
      <c r="N1284" s="23">
        <v>46083</v>
      </c>
      <c r="O1284" s="26" t="str">
        <f t="shared" si="63"/>
        <v/>
      </c>
      <c r="P1284" s="26" t="str">
        <f t="shared" si="64"/>
        <v/>
      </c>
      <c r="Q1284" s="26" t="str">
        <f t="shared" si="65"/>
        <v/>
      </c>
    </row>
    <row r="1285" spans="1:17" x14ac:dyDescent="0.3">
      <c r="A1285" s="35"/>
      <c r="B1285" s="25"/>
      <c r="C1285" s="25"/>
      <c r="D1285" s="25"/>
      <c r="E1285" s="25"/>
      <c r="F1285" s="25"/>
      <c r="G1285" s="25"/>
      <c r="H1285" s="25"/>
      <c r="I1285" s="25"/>
      <c r="J1285" s="25"/>
      <c r="K1285" s="25"/>
      <c r="L1285" s="25"/>
      <c r="M1285" s="22" t="s">
        <v>86</v>
      </c>
      <c r="N1285" s="23">
        <v>46083</v>
      </c>
      <c r="O1285" s="26" t="str">
        <f t="shared" si="63"/>
        <v/>
      </c>
      <c r="P1285" s="26" t="str">
        <f t="shared" si="64"/>
        <v/>
      </c>
      <c r="Q1285" s="26" t="str">
        <f t="shared" si="65"/>
        <v/>
      </c>
    </row>
    <row r="1286" spans="1:17" x14ac:dyDescent="0.3">
      <c r="A1286" s="35"/>
      <c r="B1286" s="25"/>
      <c r="C1286" s="25"/>
      <c r="D1286" s="25"/>
      <c r="E1286" s="25"/>
      <c r="F1286" s="25"/>
      <c r="G1286" s="25"/>
      <c r="H1286" s="25"/>
      <c r="I1286" s="25"/>
      <c r="J1286" s="25"/>
      <c r="K1286" s="25"/>
      <c r="L1286" s="25"/>
      <c r="M1286" s="22" t="s">
        <v>86</v>
      </c>
      <c r="N1286" s="23">
        <v>46083</v>
      </c>
      <c r="O1286" s="26" t="str">
        <f t="shared" si="63"/>
        <v/>
      </c>
      <c r="P1286" s="26" t="str">
        <f t="shared" si="64"/>
        <v/>
      </c>
      <c r="Q1286" s="26" t="str">
        <f t="shared" si="65"/>
        <v/>
      </c>
    </row>
    <row r="1287" spans="1:17" x14ac:dyDescent="0.3">
      <c r="A1287" s="35"/>
      <c r="B1287" s="25"/>
      <c r="C1287" s="25"/>
      <c r="D1287" s="25"/>
      <c r="E1287" s="25"/>
      <c r="F1287" s="25"/>
      <c r="G1287" s="25"/>
      <c r="H1287" s="25"/>
      <c r="I1287" s="25"/>
      <c r="J1287" s="25"/>
      <c r="K1287" s="25"/>
      <c r="L1287" s="25"/>
      <c r="M1287" s="22" t="s">
        <v>86</v>
      </c>
      <c r="N1287" s="23">
        <v>46083</v>
      </c>
      <c r="O1287" s="26" t="str">
        <f t="shared" si="63"/>
        <v/>
      </c>
      <c r="P1287" s="26" t="str">
        <f t="shared" si="64"/>
        <v/>
      </c>
      <c r="Q1287" s="26" t="str">
        <f t="shared" si="65"/>
        <v/>
      </c>
    </row>
    <row r="1288" spans="1:17" x14ac:dyDescent="0.3">
      <c r="A1288" s="35"/>
      <c r="B1288" s="25"/>
      <c r="C1288" s="25"/>
      <c r="D1288" s="25"/>
      <c r="E1288" s="25"/>
      <c r="F1288" s="25"/>
      <c r="G1288" s="25"/>
      <c r="H1288" s="25"/>
      <c r="I1288" s="25"/>
      <c r="J1288" s="25"/>
      <c r="K1288" s="25"/>
      <c r="L1288" s="25"/>
      <c r="M1288" s="22" t="s">
        <v>86</v>
      </c>
      <c r="N1288" s="23">
        <v>46083</v>
      </c>
      <c r="O1288" s="26" t="str">
        <f t="shared" si="63"/>
        <v/>
      </c>
      <c r="P1288" s="26" t="str">
        <f t="shared" si="64"/>
        <v/>
      </c>
      <c r="Q1288" s="26" t="str">
        <f t="shared" si="65"/>
        <v/>
      </c>
    </row>
    <row r="1289" spans="1:17" x14ac:dyDescent="0.3">
      <c r="A1289" s="35"/>
      <c r="B1289" s="25"/>
      <c r="C1289" s="25"/>
      <c r="D1289" s="25"/>
      <c r="E1289" s="25"/>
      <c r="F1289" s="25"/>
      <c r="G1289" s="25"/>
      <c r="H1289" s="25"/>
      <c r="I1289" s="25"/>
      <c r="J1289" s="25"/>
      <c r="K1289" s="25"/>
      <c r="L1289" s="25"/>
      <c r="M1289" s="22" t="s">
        <v>86</v>
      </c>
      <c r="N1289" s="23">
        <v>46083</v>
      </c>
      <c r="O1289" s="26" t="str">
        <f t="shared" si="63"/>
        <v/>
      </c>
      <c r="P1289" s="26" t="str">
        <f t="shared" si="64"/>
        <v/>
      </c>
      <c r="Q1289" s="26" t="str">
        <f t="shared" si="65"/>
        <v/>
      </c>
    </row>
    <row r="1290" spans="1:17" x14ac:dyDescent="0.3">
      <c r="A1290" s="35"/>
      <c r="B1290" s="25"/>
      <c r="C1290" s="25"/>
      <c r="D1290" s="25"/>
      <c r="E1290" s="25"/>
      <c r="F1290" s="25"/>
      <c r="G1290" s="25"/>
      <c r="H1290" s="25"/>
      <c r="I1290" s="25"/>
      <c r="J1290" s="25"/>
      <c r="K1290" s="25"/>
      <c r="L1290" s="25"/>
      <c r="M1290" s="22" t="s">
        <v>86</v>
      </c>
      <c r="N1290" s="23">
        <v>46083</v>
      </c>
      <c r="O1290" s="26" t="str">
        <f t="shared" si="63"/>
        <v/>
      </c>
      <c r="P1290" s="26" t="str">
        <f t="shared" si="64"/>
        <v/>
      </c>
      <c r="Q1290" s="26" t="str">
        <f t="shared" si="65"/>
        <v/>
      </c>
    </row>
    <row r="1291" spans="1:17" x14ac:dyDescent="0.3">
      <c r="A1291" s="35"/>
      <c r="B1291" s="25"/>
      <c r="C1291" s="25"/>
      <c r="D1291" s="25"/>
      <c r="E1291" s="25"/>
      <c r="F1291" s="25"/>
      <c r="G1291" s="25"/>
      <c r="H1291" s="25"/>
      <c r="I1291" s="25"/>
      <c r="J1291" s="25"/>
      <c r="K1291" s="25"/>
      <c r="L1291" s="25"/>
      <c r="M1291" s="22" t="s">
        <v>86</v>
      </c>
      <c r="N1291" s="23">
        <v>46083</v>
      </c>
      <c r="O1291" s="26" t="str">
        <f t="shared" si="63"/>
        <v/>
      </c>
      <c r="P1291" s="26" t="str">
        <f t="shared" si="64"/>
        <v/>
      </c>
      <c r="Q1291" s="26" t="str">
        <f t="shared" si="65"/>
        <v/>
      </c>
    </row>
    <row r="1292" spans="1:17" x14ac:dyDescent="0.3">
      <c r="A1292" s="35"/>
      <c r="B1292" s="25"/>
      <c r="C1292" s="25"/>
      <c r="D1292" s="25"/>
      <c r="E1292" s="25"/>
      <c r="F1292" s="25"/>
      <c r="G1292" s="25"/>
      <c r="H1292" s="25"/>
      <c r="I1292" s="25"/>
      <c r="J1292" s="25"/>
      <c r="K1292" s="25"/>
      <c r="L1292" s="25"/>
      <c r="M1292" s="22" t="s">
        <v>86</v>
      </c>
      <c r="N1292" s="23">
        <v>46083</v>
      </c>
      <c r="O1292" s="26" t="str">
        <f t="shared" si="63"/>
        <v/>
      </c>
      <c r="P1292" s="26" t="str">
        <f t="shared" si="64"/>
        <v/>
      </c>
      <c r="Q1292" s="26" t="str">
        <f t="shared" si="65"/>
        <v/>
      </c>
    </row>
    <row r="1293" spans="1:17" x14ac:dyDescent="0.3">
      <c r="A1293" s="35"/>
      <c r="B1293" s="25"/>
      <c r="C1293" s="25"/>
      <c r="D1293" s="25"/>
      <c r="E1293" s="25"/>
      <c r="F1293" s="25"/>
      <c r="G1293" s="25"/>
      <c r="H1293" s="25"/>
      <c r="I1293" s="25"/>
      <c r="J1293" s="25"/>
      <c r="K1293" s="25"/>
      <c r="L1293" s="25"/>
      <c r="M1293" s="22" t="s">
        <v>86</v>
      </c>
      <c r="N1293" s="23">
        <v>46083</v>
      </c>
      <c r="O1293" s="26" t="str">
        <f t="shared" si="63"/>
        <v/>
      </c>
      <c r="P1293" s="26" t="str">
        <f t="shared" si="64"/>
        <v/>
      </c>
      <c r="Q1293" s="26" t="str">
        <f t="shared" si="65"/>
        <v/>
      </c>
    </row>
    <row r="1294" spans="1:17" x14ac:dyDescent="0.3">
      <c r="A1294" s="35"/>
      <c r="B1294" s="25"/>
      <c r="C1294" s="25"/>
      <c r="D1294" s="25"/>
      <c r="E1294" s="25"/>
      <c r="F1294" s="25"/>
      <c r="G1294" s="25"/>
      <c r="H1294" s="25"/>
      <c r="I1294" s="25"/>
      <c r="J1294" s="25"/>
      <c r="K1294" s="25"/>
      <c r="L1294" s="25"/>
      <c r="M1294" s="22" t="s">
        <v>86</v>
      </c>
      <c r="N1294" s="23">
        <v>46083</v>
      </c>
      <c r="O1294" s="26" t="str">
        <f t="shared" si="63"/>
        <v/>
      </c>
      <c r="P1294" s="26" t="str">
        <f t="shared" si="64"/>
        <v/>
      </c>
      <c r="Q1294" s="26" t="str">
        <f t="shared" si="65"/>
        <v/>
      </c>
    </row>
    <row r="1295" spans="1:17" x14ac:dyDescent="0.3">
      <c r="A1295" s="35"/>
      <c r="B1295" s="25"/>
      <c r="C1295" s="25"/>
      <c r="D1295" s="25"/>
      <c r="E1295" s="25"/>
      <c r="F1295" s="25"/>
      <c r="G1295" s="25"/>
      <c r="H1295" s="25"/>
      <c r="I1295" s="25"/>
      <c r="J1295" s="25"/>
      <c r="K1295" s="25"/>
      <c r="L1295" s="25"/>
      <c r="M1295" s="22" t="s">
        <v>86</v>
      </c>
      <c r="N1295" s="23">
        <v>46083</v>
      </c>
      <c r="O1295" s="26" t="str">
        <f t="shared" si="63"/>
        <v/>
      </c>
      <c r="P1295" s="26" t="str">
        <f t="shared" si="64"/>
        <v/>
      </c>
      <c r="Q1295" s="26" t="str">
        <f t="shared" si="65"/>
        <v/>
      </c>
    </row>
    <row r="1296" spans="1:17" x14ac:dyDescent="0.3">
      <c r="A1296" s="35"/>
      <c r="B1296" s="25"/>
      <c r="C1296" s="25"/>
      <c r="D1296" s="25"/>
      <c r="E1296" s="25"/>
      <c r="F1296" s="25"/>
      <c r="G1296" s="25"/>
      <c r="H1296" s="25"/>
      <c r="I1296" s="25"/>
      <c r="J1296" s="25"/>
      <c r="K1296" s="25"/>
      <c r="L1296" s="25"/>
      <c r="M1296" s="22" t="s">
        <v>86</v>
      </c>
      <c r="N1296" s="23">
        <v>46083</v>
      </c>
      <c r="O1296" s="26" t="str">
        <f t="shared" si="63"/>
        <v/>
      </c>
      <c r="P1296" s="26" t="str">
        <f t="shared" si="64"/>
        <v/>
      </c>
      <c r="Q1296" s="26" t="str">
        <f t="shared" si="65"/>
        <v/>
      </c>
    </row>
    <row r="1297" spans="1:17" x14ac:dyDescent="0.3">
      <c r="A1297" s="35"/>
      <c r="B1297" s="25"/>
      <c r="C1297" s="25"/>
      <c r="D1297" s="25"/>
      <c r="E1297" s="25"/>
      <c r="F1297" s="25"/>
      <c r="G1297" s="25"/>
      <c r="H1297" s="25"/>
      <c r="I1297" s="25"/>
      <c r="J1297" s="25"/>
      <c r="K1297" s="25"/>
      <c r="L1297" s="25"/>
      <c r="M1297" s="22" t="s">
        <v>86</v>
      </c>
      <c r="N1297" s="23">
        <v>46083</v>
      </c>
      <c r="O1297" s="26" t="str">
        <f t="shared" si="63"/>
        <v/>
      </c>
      <c r="P1297" s="26" t="str">
        <f t="shared" si="64"/>
        <v/>
      </c>
      <c r="Q1297" s="26" t="str">
        <f t="shared" si="65"/>
        <v/>
      </c>
    </row>
    <row r="1298" spans="1:17" x14ac:dyDescent="0.3">
      <c r="A1298" s="35"/>
      <c r="B1298" s="25"/>
      <c r="C1298" s="25"/>
      <c r="D1298" s="25"/>
      <c r="E1298" s="25"/>
      <c r="F1298" s="25"/>
      <c r="G1298" s="25"/>
      <c r="H1298" s="25"/>
      <c r="I1298" s="25"/>
      <c r="J1298" s="25"/>
      <c r="K1298" s="25"/>
      <c r="L1298" s="25"/>
      <c r="M1298" s="22" t="s">
        <v>86</v>
      </c>
      <c r="N1298" s="23">
        <v>46083</v>
      </c>
      <c r="O1298" s="26" t="str">
        <f t="shared" si="63"/>
        <v/>
      </c>
      <c r="P1298" s="26" t="str">
        <f t="shared" si="64"/>
        <v/>
      </c>
      <c r="Q1298" s="26" t="str">
        <f t="shared" si="65"/>
        <v/>
      </c>
    </row>
    <row r="1299" spans="1:17" x14ac:dyDescent="0.3">
      <c r="A1299" s="35"/>
      <c r="B1299" s="25"/>
      <c r="C1299" s="25"/>
      <c r="D1299" s="25"/>
      <c r="E1299" s="25"/>
      <c r="F1299" s="25"/>
      <c r="G1299" s="25"/>
      <c r="H1299" s="25"/>
      <c r="I1299" s="25"/>
      <c r="J1299" s="25"/>
      <c r="K1299" s="25"/>
      <c r="L1299" s="25"/>
      <c r="M1299" s="22" t="s">
        <v>86</v>
      </c>
      <c r="N1299" s="23">
        <v>46083</v>
      </c>
      <c r="O1299" s="26" t="str">
        <f t="shared" si="63"/>
        <v/>
      </c>
      <c r="P1299" s="26" t="str">
        <f t="shared" si="64"/>
        <v/>
      </c>
      <c r="Q1299" s="26" t="str">
        <f t="shared" si="65"/>
        <v/>
      </c>
    </row>
    <row r="1300" spans="1:17" x14ac:dyDescent="0.3">
      <c r="A1300" s="35"/>
      <c r="B1300" s="25"/>
      <c r="C1300" s="25"/>
      <c r="D1300" s="25"/>
      <c r="E1300" s="25"/>
      <c r="F1300" s="25"/>
      <c r="G1300" s="25"/>
      <c r="H1300" s="25"/>
      <c r="I1300" s="25"/>
      <c r="J1300" s="25"/>
      <c r="K1300" s="25"/>
      <c r="L1300" s="25"/>
      <c r="M1300" s="22" t="s">
        <v>86</v>
      </c>
      <c r="N1300" s="23">
        <v>46083</v>
      </c>
      <c r="O1300" s="26" t="str">
        <f t="shared" si="63"/>
        <v/>
      </c>
      <c r="P1300" s="26" t="str">
        <f t="shared" si="64"/>
        <v/>
      </c>
      <c r="Q1300" s="26" t="str">
        <f t="shared" si="65"/>
        <v/>
      </c>
    </row>
    <row r="1301" spans="1:17" x14ac:dyDescent="0.3">
      <c r="A1301" s="35"/>
      <c r="B1301" s="25"/>
      <c r="C1301" s="25"/>
      <c r="D1301" s="25"/>
      <c r="E1301" s="25"/>
      <c r="F1301" s="25"/>
      <c r="G1301" s="25"/>
      <c r="H1301" s="25"/>
      <c r="I1301" s="25"/>
      <c r="J1301" s="25"/>
      <c r="K1301" s="25"/>
      <c r="L1301" s="25"/>
      <c r="M1301" s="22" t="s">
        <v>86</v>
      </c>
      <c r="N1301" s="23">
        <v>46083</v>
      </c>
      <c r="O1301" s="26" t="str">
        <f t="shared" si="63"/>
        <v/>
      </c>
      <c r="P1301" s="26" t="str">
        <f t="shared" si="64"/>
        <v/>
      </c>
      <c r="Q1301" s="26" t="str">
        <f t="shared" si="65"/>
        <v/>
      </c>
    </row>
    <row r="1302" spans="1:17" x14ac:dyDescent="0.3">
      <c r="A1302" s="35"/>
      <c r="B1302" s="25"/>
      <c r="C1302" s="25"/>
      <c r="D1302" s="25"/>
      <c r="E1302" s="25"/>
      <c r="F1302" s="25"/>
      <c r="G1302" s="25"/>
      <c r="H1302" s="25"/>
      <c r="I1302" s="25"/>
      <c r="J1302" s="25"/>
      <c r="K1302" s="25"/>
      <c r="L1302" s="25"/>
      <c r="M1302" s="22" t="s">
        <v>86</v>
      </c>
      <c r="N1302" s="23">
        <v>46083</v>
      </c>
      <c r="O1302" s="26" t="str">
        <f t="shared" si="63"/>
        <v/>
      </c>
      <c r="P1302" s="26" t="str">
        <f t="shared" si="64"/>
        <v/>
      </c>
      <c r="Q1302" s="26" t="str">
        <f t="shared" si="65"/>
        <v/>
      </c>
    </row>
    <row r="1303" spans="1:17" x14ac:dyDescent="0.3">
      <c r="A1303" s="35"/>
      <c r="B1303" s="25"/>
      <c r="C1303" s="25"/>
      <c r="D1303" s="25"/>
      <c r="E1303" s="25"/>
      <c r="F1303" s="25"/>
      <c r="G1303" s="25"/>
      <c r="H1303" s="25"/>
      <c r="I1303" s="25"/>
      <c r="J1303" s="25"/>
      <c r="K1303" s="25"/>
      <c r="L1303" s="25"/>
      <c r="M1303" s="22" t="s">
        <v>86</v>
      </c>
      <c r="N1303" s="23">
        <v>46083</v>
      </c>
      <c r="O1303" s="26" t="str">
        <f t="shared" si="63"/>
        <v/>
      </c>
      <c r="P1303" s="26" t="str">
        <f t="shared" si="64"/>
        <v/>
      </c>
      <c r="Q1303" s="26" t="str">
        <f t="shared" si="65"/>
        <v/>
      </c>
    </row>
    <row r="1304" spans="1:17" x14ac:dyDescent="0.3">
      <c r="A1304" s="35"/>
      <c r="B1304" s="25"/>
      <c r="C1304" s="25"/>
      <c r="D1304" s="25"/>
      <c r="E1304" s="25"/>
      <c r="F1304" s="25"/>
      <c r="G1304" s="25"/>
      <c r="H1304" s="25"/>
      <c r="I1304" s="25"/>
      <c r="J1304" s="25"/>
      <c r="K1304" s="25"/>
      <c r="L1304" s="25"/>
      <c r="M1304" s="22" t="s">
        <v>86</v>
      </c>
      <c r="N1304" s="23">
        <v>46083</v>
      </c>
      <c r="O1304" s="26" t="str">
        <f t="shared" si="63"/>
        <v/>
      </c>
      <c r="P1304" s="26" t="str">
        <f t="shared" si="64"/>
        <v/>
      </c>
      <c r="Q1304" s="26" t="str">
        <f t="shared" si="65"/>
        <v/>
      </c>
    </row>
    <row r="1305" spans="1:17" x14ac:dyDescent="0.3">
      <c r="A1305" s="35"/>
      <c r="B1305" s="25"/>
      <c r="C1305" s="25"/>
      <c r="D1305" s="25"/>
      <c r="E1305" s="25"/>
      <c r="F1305" s="25"/>
      <c r="G1305" s="25"/>
      <c r="H1305" s="25"/>
      <c r="I1305" s="25"/>
      <c r="J1305" s="25"/>
      <c r="K1305" s="25"/>
      <c r="L1305" s="25"/>
      <c r="M1305" s="22" t="s">
        <v>86</v>
      </c>
      <c r="N1305" s="23">
        <v>46083</v>
      </c>
      <c r="O1305" s="26" t="str">
        <f t="shared" si="63"/>
        <v/>
      </c>
      <c r="P1305" s="26" t="str">
        <f t="shared" si="64"/>
        <v/>
      </c>
      <c r="Q1305" s="26" t="str">
        <f t="shared" si="65"/>
        <v/>
      </c>
    </row>
    <row r="1306" spans="1:17" x14ac:dyDescent="0.3">
      <c r="A1306" s="35"/>
      <c r="B1306" s="25"/>
      <c r="C1306" s="25"/>
      <c r="D1306" s="25"/>
      <c r="E1306" s="25"/>
      <c r="F1306" s="25"/>
      <c r="G1306" s="25"/>
      <c r="H1306" s="25"/>
      <c r="I1306" s="25"/>
      <c r="J1306" s="25"/>
      <c r="K1306" s="25"/>
      <c r="L1306" s="25"/>
      <c r="M1306" s="22" t="s">
        <v>86</v>
      </c>
      <c r="N1306" s="23">
        <v>46083</v>
      </c>
      <c r="O1306" s="26" t="str">
        <f t="shared" si="63"/>
        <v/>
      </c>
      <c r="P1306" s="26" t="str">
        <f t="shared" si="64"/>
        <v/>
      </c>
      <c r="Q1306" s="26" t="str">
        <f t="shared" si="65"/>
        <v/>
      </c>
    </row>
    <row r="1307" spans="1:17" x14ac:dyDescent="0.3">
      <c r="A1307" s="35"/>
      <c r="B1307" s="25"/>
      <c r="C1307" s="25"/>
      <c r="D1307" s="25"/>
      <c r="E1307" s="25"/>
      <c r="F1307" s="25"/>
      <c r="G1307" s="25"/>
      <c r="H1307" s="25"/>
      <c r="I1307" s="25"/>
      <c r="J1307" s="25"/>
      <c r="K1307" s="25"/>
      <c r="L1307" s="25"/>
      <c r="M1307" s="22" t="s">
        <v>86</v>
      </c>
      <c r="N1307" s="23">
        <v>46083</v>
      </c>
      <c r="O1307" s="26" t="str">
        <f t="shared" si="63"/>
        <v/>
      </c>
      <c r="P1307" s="26" t="str">
        <f t="shared" si="64"/>
        <v/>
      </c>
      <c r="Q1307" s="26" t="str">
        <f t="shared" si="65"/>
        <v/>
      </c>
    </row>
    <row r="1308" spans="1:17" x14ac:dyDescent="0.3">
      <c r="A1308" s="35"/>
      <c r="B1308" s="25"/>
      <c r="C1308" s="25"/>
      <c r="D1308" s="25"/>
      <c r="E1308" s="25"/>
      <c r="F1308" s="25"/>
      <c r="G1308" s="25"/>
      <c r="H1308" s="25"/>
      <c r="I1308" s="25"/>
      <c r="J1308" s="25"/>
      <c r="K1308" s="25"/>
      <c r="L1308" s="25"/>
      <c r="M1308" s="22" t="s">
        <v>86</v>
      </c>
      <c r="N1308" s="23">
        <v>46083</v>
      </c>
      <c r="O1308" s="26" t="str">
        <f t="shared" si="63"/>
        <v/>
      </c>
      <c r="P1308" s="26" t="str">
        <f t="shared" si="64"/>
        <v/>
      </c>
      <c r="Q1308" s="26" t="str">
        <f t="shared" si="65"/>
        <v/>
      </c>
    </row>
    <row r="1309" spans="1:17" x14ac:dyDescent="0.3">
      <c r="A1309" s="35"/>
      <c r="B1309" s="25"/>
      <c r="C1309" s="25"/>
      <c r="D1309" s="25"/>
      <c r="E1309" s="25"/>
      <c r="F1309" s="25"/>
      <c r="G1309" s="25"/>
      <c r="H1309" s="25"/>
      <c r="I1309" s="25"/>
      <c r="J1309" s="25"/>
      <c r="K1309" s="25"/>
      <c r="L1309" s="25"/>
      <c r="M1309" s="22" t="s">
        <v>86</v>
      </c>
      <c r="N1309" s="23">
        <v>46083</v>
      </c>
      <c r="O1309" s="26" t="str">
        <f t="shared" si="63"/>
        <v/>
      </c>
      <c r="P1309" s="26" t="str">
        <f t="shared" si="64"/>
        <v/>
      </c>
      <c r="Q1309" s="26" t="str">
        <f t="shared" si="65"/>
        <v/>
      </c>
    </row>
    <row r="1310" spans="1:17" x14ac:dyDescent="0.3">
      <c r="A1310" s="35"/>
      <c r="B1310" s="25"/>
      <c r="C1310" s="25"/>
      <c r="D1310" s="25"/>
      <c r="E1310" s="25"/>
      <c r="F1310" s="25"/>
      <c r="G1310" s="25"/>
      <c r="H1310" s="25"/>
      <c r="I1310" s="25"/>
      <c r="J1310" s="25"/>
      <c r="K1310" s="25"/>
      <c r="L1310" s="25"/>
      <c r="M1310" s="22" t="s">
        <v>86</v>
      </c>
      <c r="N1310" s="23">
        <v>46083</v>
      </c>
      <c r="O1310" s="26" t="str">
        <f t="shared" si="63"/>
        <v/>
      </c>
      <c r="P1310" s="26" t="str">
        <f t="shared" si="64"/>
        <v/>
      </c>
      <c r="Q1310" s="26" t="str">
        <f t="shared" si="65"/>
        <v/>
      </c>
    </row>
    <row r="1311" spans="1:17" x14ac:dyDescent="0.3">
      <c r="A1311" s="35"/>
      <c r="B1311" s="25"/>
      <c r="C1311" s="25"/>
      <c r="D1311" s="25"/>
      <c r="E1311" s="25"/>
      <c r="F1311" s="25"/>
      <c r="G1311" s="25"/>
      <c r="H1311" s="25"/>
      <c r="I1311" s="25"/>
      <c r="J1311" s="25"/>
      <c r="K1311" s="25"/>
      <c r="L1311" s="25"/>
      <c r="M1311" s="22" t="s">
        <v>86</v>
      </c>
      <c r="N1311" s="23">
        <v>46083</v>
      </c>
      <c r="O1311" s="26" t="str">
        <f t="shared" si="63"/>
        <v/>
      </c>
      <c r="P1311" s="26" t="str">
        <f t="shared" si="64"/>
        <v/>
      </c>
      <c r="Q1311" s="26" t="str">
        <f t="shared" si="65"/>
        <v/>
      </c>
    </row>
    <row r="1312" spans="1:17" x14ac:dyDescent="0.3">
      <c r="A1312" s="35"/>
      <c r="B1312" s="25"/>
      <c r="C1312" s="25"/>
      <c r="D1312" s="25"/>
      <c r="E1312" s="25"/>
      <c r="F1312" s="25"/>
      <c r="G1312" s="25"/>
      <c r="H1312" s="25"/>
      <c r="I1312" s="25"/>
      <c r="J1312" s="25"/>
      <c r="K1312" s="25"/>
      <c r="L1312" s="25"/>
      <c r="M1312" s="22" t="s">
        <v>86</v>
      </c>
      <c r="N1312" s="23">
        <v>46083</v>
      </c>
      <c r="O1312" s="26" t="str">
        <f t="shared" si="63"/>
        <v/>
      </c>
      <c r="P1312" s="26" t="str">
        <f t="shared" si="64"/>
        <v/>
      </c>
      <c r="Q1312" s="26" t="str">
        <f t="shared" si="65"/>
        <v/>
      </c>
    </row>
    <row r="1313" spans="1:17" x14ac:dyDescent="0.3">
      <c r="A1313" s="35"/>
      <c r="B1313" s="25"/>
      <c r="C1313" s="25"/>
      <c r="D1313" s="25"/>
      <c r="E1313" s="25"/>
      <c r="F1313" s="25"/>
      <c r="G1313" s="25"/>
      <c r="H1313" s="25"/>
      <c r="I1313" s="25"/>
      <c r="J1313" s="25"/>
      <c r="K1313" s="25"/>
      <c r="L1313" s="25"/>
      <c r="M1313" s="22" t="s">
        <v>86</v>
      </c>
      <c r="N1313" s="23">
        <v>46083</v>
      </c>
      <c r="O1313" s="26" t="str">
        <f t="shared" si="63"/>
        <v/>
      </c>
      <c r="P1313" s="26" t="str">
        <f t="shared" si="64"/>
        <v/>
      </c>
      <c r="Q1313" s="26" t="str">
        <f t="shared" si="65"/>
        <v/>
      </c>
    </row>
    <row r="1314" spans="1:17" x14ac:dyDescent="0.3">
      <c r="A1314" s="35"/>
      <c r="B1314" s="25"/>
      <c r="C1314" s="25"/>
      <c r="D1314" s="25"/>
      <c r="E1314" s="25"/>
      <c r="F1314" s="25"/>
      <c r="G1314" s="25"/>
      <c r="H1314" s="25"/>
      <c r="I1314" s="25"/>
      <c r="J1314" s="25"/>
      <c r="K1314" s="25"/>
      <c r="L1314" s="25"/>
      <c r="M1314" s="22" t="s">
        <v>86</v>
      </c>
      <c r="N1314" s="23">
        <v>46083</v>
      </c>
      <c r="O1314" s="26" t="str">
        <f t="shared" si="63"/>
        <v/>
      </c>
      <c r="P1314" s="26" t="str">
        <f t="shared" si="64"/>
        <v/>
      </c>
      <c r="Q1314" s="26" t="str">
        <f t="shared" si="65"/>
        <v/>
      </c>
    </row>
    <row r="1315" spans="1:17" x14ac:dyDescent="0.3">
      <c r="A1315" s="35"/>
      <c r="B1315" s="25"/>
      <c r="C1315" s="25"/>
      <c r="D1315" s="25"/>
      <c r="E1315" s="25"/>
      <c r="F1315" s="25"/>
      <c r="G1315" s="25"/>
      <c r="H1315" s="25"/>
      <c r="I1315" s="25"/>
      <c r="J1315" s="25"/>
      <c r="K1315" s="25"/>
      <c r="L1315" s="25"/>
      <c r="M1315" s="22" t="s">
        <v>86</v>
      </c>
      <c r="N1315" s="23">
        <v>46083</v>
      </c>
      <c r="O1315" s="26" t="str">
        <f t="shared" si="63"/>
        <v/>
      </c>
      <c r="P1315" s="26" t="str">
        <f t="shared" si="64"/>
        <v/>
      </c>
      <c r="Q1315" s="26" t="str">
        <f t="shared" si="65"/>
        <v/>
      </c>
    </row>
    <row r="1316" spans="1:17" x14ac:dyDescent="0.3">
      <c r="A1316" s="35"/>
      <c r="B1316" s="25"/>
      <c r="C1316" s="25"/>
      <c r="D1316" s="25"/>
      <c r="E1316" s="25"/>
      <c r="F1316" s="25"/>
      <c r="G1316" s="25"/>
      <c r="H1316" s="25"/>
      <c r="I1316" s="25"/>
      <c r="J1316" s="25"/>
      <c r="K1316" s="25"/>
      <c r="L1316" s="25"/>
      <c r="M1316" s="22" t="s">
        <v>86</v>
      </c>
      <c r="N1316" s="23">
        <v>46083</v>
      </c>
      <c r="O1316" s="26" t="str">
        <f t="shared" si="63"/>
        <v/>
      </c>
      <c r="P1316" s="26" t="str">
        <f t="shared" si="64"/>
        <v/>
      </c>
      <c r="Q1316" s="26" t="str">
        <f t="shared" si="65"/>
        <v/>
      </c>
    </row>
    <row r="1317" spans="1:17" x14ac:dyDescent="0.3">
      <c r="A1317" s="35"/>
      <c r="B1317" s="25"/>
      <c r="C1317" s="25"/>
      <c r="D1317" s="25"/>
      <c r="E1317" s="25"/>
      <c r="F1317" s="25"/>
      <c r="G1317" s="25"/>
      <c r="H1317" s="25"/>
      <c r="I1317" s="25"/>
      <c r="J1317" s="25"/>
      <c r="K1317" s="25"/>
      <c r="L1317" s="25"/>
      <c r="M1317" s="22" t="s">
        <v>86</v>
      </c>
      <c r="N1317" s="23">
        <v>46083</v>
      </c>
      <c r="O1317" s="26" t="str">
        <f t="shared" si="63"/>
        <v/>
      </c>
      <c r="P1317" s="26" t="str">
        <f t="shared" si="64"/>
        <v/>
      </c>
      <c r="Q1317" s="26" t="str">
        <f t="shared" si="65"/>
        <v/>
      </c>
    </row>
    <row r="1318" spans="1:17" x14ac:dyDescent="0.3">
      <c r="A1318" s="35"/>
      <c r="B1318" s="25"/>
      <c r="C1318" s="25"/>
      <c r="D1318" s="25"/>
      <c r="E1318" s="25"/>
      <c r="F1318" s="25"/>
      <c r="G1318" s="25"/>
      <c r="H1318" s="25"/>
      <c r="I1318" s="25"/>
      <c r="J1318" s="25"/>
      <c r="K1318" s="25"/>
      <c r="L1318" s="25"/>
      <c r="M1318" s="22" t="s">
        <v>86</v>
      </c>
      <c r="N1318" s="23">
        <v>46083</v>
      </c>
      <c r="O1318" s="26" t="str">
        <f t="shared" si="63"/>
        <v/>
      </c>
      <c r="P1318" s="26" t="str">
        <f t="shared" si="64"/>
        <v/>
      </c>
      <c r="Q1318" s="26" t="str">
        <f t="shared" si="65"/>
        <v/>
      </c>
    </row>
    <row r="1319" spans="1:17" x14ac:dyDescent="0.3">
      <c r="A1319" s="35"/>
      <c r="B1319" s="25"/>
      <c r="C1319" s="25"/>
      <c r="D1319" s="25"/>
      <c r="E1319" s="25"/>
      <c r="F1319" s="25"/>
      <c r="G1319" s="25"/>
      <c r="H1319" s="25"/>
      <c r="I1319" s="25"/>
      <c r="J1319" s="25"/>
      <c r="K1319" s="25"/>
      <c r="L1319" s="25"/>
      <c r="M1319" s="22" t="s">
        <v>86</v>
      </c>
      <c r="N1319" s="23">
        <v>46083</v>
      </c>
      <c r="O1319" s="26" t="str">
        <f t="shared" si="63"/>
        <v/>
      </c>
      <c r="P1319" s="26" t="str">
        <f t="shared" si="64"/>
        <v/>
      </c>
      <c r="Q1319" s="26" t="str">
        <f t="shared" si="65"/>
        <v/>
      </c>
    </row>
    <row r="1320" spans="1:17" x14ac:dyDescent="0.3">
      <c r="A1320" s="35"/>
      <c r="B1320" s="25"/>
      <c r="C1320" s="25"/>
      <c r="D1320" s="25"/>
      <c r="E1320" s="25"/>
      <c r="F1320" s="25"/>
      <c r="G1320" s="25"/>
      <c r="H1320" s="25"/>
      <c r="I1320" s="25"/>
      <c r="J1320" s="25"/>
      <c r="K1320" s="25"/>
      <c r="L1320" s="25"/>
      <c r="M1320" s="22" t="s">
        <v>86</v>
      </c>
      <c r="N1320" s="23">
        <v>46083</v>
      </c>
      <c r="O1320" s="26" t="str">
        <f t="shared" si="63"/>
        <v/>
      </c>
      <c r="P1320" s="26" t="str">
        <f t="shared" si="64"/>
        <v/>
      </c>
      <c r="Q1320" s="26" t="str">
        <f t="shared" si="65"/>
        <v/>
      </c>
    </row>
    <row r="1321" spans="1:17" x14ac:dyDescent="0.3">
      <c r="A1321" s="35"/>
      <c r="B1321" s="25"/>
      <c r="C1321" s="25"/>
      <c r="D1321" s="25"/>
      <c r="E1321" s="25"/>
      <c r="F1321" s="25"/>
      <c r="G1321" s="25"/>
      <c r="H1321" s="25"/>
      <c r="I1321" s="25"/>
      <c r="J1321" s="25"/>
      <c r="K1321" s="25"/>
      <c r="L1321" s="25"/>
      <c r="M1321" s="22" t="s">
        <v>86</v>
      </c>
      <c r="N1321" s="23">
        <v>46083</v>
      </c>
      <c r="O1321" s="26" t="str">
        <f t="shared" si="63"/>
        <v/>
      </c>
      <c r="P1321" s="26" t="str">
        <f t="shared" si="64"/>
        <v/>
      </c>
      <c r="Q1321" s="26" t="str">
        <f t="shared" si="65"/>
        <v/>
      </c>
    </row>
    <row r="1322" spans="1:17" x14ac:dyDescent="0.3">
      <c r="A1322" s="35"/>
      <c r="B1322" s="25"/>
      <c r="C1322" s="25"/>
      <c r="D1322" s="25"/>
      <c r="E1322" s="25"/>
      <c r="F1322" s="25"/>
      <c r="G1322" s="25"/>
      <c r="H1322" s="25"/>
      <c r="I1322" s="25"/>
      <c r="J1322" s="25"/>
      <c r="K1322" s="25"/>
      <c r="L1322" s="25"/>
      <c r="M1322" s="22" t="s">
        <v>86</v>
      </c>
      <c r="N1322" s="23">
        <v>46083</v>
      </c>
      <c r="O1322" s="26" t="str">
        <f t="shared" si="63"/>
        <v/>
      </c>
      <c r="P1322" s="26" t="str">
        <f t="shared" si="64"/>
        <v/>
      </c>
      <c r="Q1322" s="26" t="str">
        <f t="shared" si="65"/>
        <v/>
      </c>
    </row>
    <row r="1323" spans="1:17" x14ac:dyDescent="0.3">
      <c r="A1323" s="35"/>
      <c r="B1323" s="25"/>
      <c r="C1323" s="25"/>
      <c r="D1323" s="25"/>
      <c r="E1323" s="25"/>
      <c r="F1323" s="25"/>
      <c r="G1323" s="25"/>
      <c r="H1323" s="25"/>
      <c r="I1323" s="25"/>
      <c r="J1323" s="25"/>
      <c r="K1323" s="25"/>
      <c r="L1323" s="25"/>
      <c r="M1323" s="22" t="s">
        <v>86</v>
      </c>
      <c r="N1323" s="23">
        <v>46083</v>
      </c>
      <c r="O1323" s="26" t="str">
        <f t="shared" si="63"/>
        <v/>
      </c>
      <c r="P1323" s="26" t="str">
        <f t="shared" si="64"/>
        <v/>
      </c>
      <c r="Q1323" s="26" t="str">
        <f t="shared" si="65"/>
        <v/>
      </c>
    </row>
    <row r="1324" spans="1:17" x14ac:dyDescent="0.3">
      <c r="A1324" s="35"/>
      <c r="B1324" s="25"/>
      <c r="C1324" s="25"/>
      <c r="D1324" s="25"/>
      <c r="E1324" s="25"/>
      <c r="F1324" s="25"/>
      <c r="G1324" s="25"/>
      <c r="H1324" s="25"/>
      <c r="I1324" s="25"/>
      <c r="J1324" s="25"/>
      <c r="K1324" s="25"/>
      <c r="L1324" s="25"/>
      <c r="M1324" s="22" t="s">
        <v>86</v>
      </c>
      <c r="N1324" s="23">
        <v>46083</v>
      </c>
      <c r="O1324" s="26" t="str">
        <f t="shared" si="63"/>
        <v/>
      </c>
      <c r="P1324" s="26" t="str">
        <f t="shared" si="64"/>
        <v/>
      </c>
      <c r="Q1324" s="26" t="str">
        <f t="shared" si="65"/>
        <v/>
      </c>
    </row>
    <row r="1325" spans="1:17" x14ac:dyDescent="0.3">
      <c r="A1325" s="35"/>
      <c r="B1325" s="25"/>
      <c r="C1325" s="25"/>
      <c r="D1325" s="25"/>
      <c r="E1325" s="25"/>
      <c r="F1325" s="25"/>
      <c r="G1325" s="25"/>
      <c r="H1325" s="25"/>
      <c r="I1325" s="25"/>
      <c r="J1325" s="25"/>
      <c r="K1325" s="25"/>
      <c r="L1325" s="25"/>
      <c r="M1325" s="22" t="s">
        <v>86</v>
      </c>
      <c r="N1325" s="23">
        <v>46083</v>
      </c>
      <c r="O1325" s="26" t="str">
        <f t="shared" si="63"/>
        <v/>
      </c>
      <c r="P1325" s="26" t="str">
        <f t="shared" si="64"/>
        <v/>
      </c>
      <c r="Q1325" s="26" t="str">
        <f t="shared" si="65"/>
        <v/>
      </c>
    </row>
    <row r="1326" spans="1:17" x14ac:dyDescent="0.3">
      <c r="A1326" s="35"/>
      <c r="B1326" s="25"/>
      <c r="C1326" s="25"/>
      <c r="D1326" s="25"/>
      <c r="E1326" s="25"/>
      <c r="F1326" s="25"/>
      <c r="G1326" s="25"/>
      <c r="H1326" s="25"/>
      <c r="I1326" s="25"/>
      <c r="J1326" s="25"/>
      <c r="K1326" s="25"/>
      <c r="L1326" s="25"/>
      <c r="M1326" s="22" t="s">
        <v>86</v>
      </c>
      <c r="N1326" s="23">
        <v>46083</v>
      </c>
      <c r="O1326" s="26" t="str">
        <f t="shared" si="63"/>
        <v/>
      </c>
      <c r="P1326" s="26" t="str">
        <f t="shared" si="64"/>
        <v/>
      </c>
      <c r="Q1326" s="26" t="str">
        <f t="shared" si="65"/>
        <v/>
      </c>
    </row>
    <row r="1327" spans="1:17" x14ac:dyDescent="0.3">
      <c r="A1327" s="35"/>
      <c r="B1327" s="25"/>
      <c r="C1327" s="25"/>
      <c r="D1327" s="25"/>
      <c r="E1327" s="25"/>
      <c r="F1327" s="25"/>
      <c r="G1327" s="25"/>
      <c r="H1327" s="25"/>
      <c r="I1327" s="25"/>
      <c r="J1327" s="25"/>
      <c r="K1327" s="25"/>
      <c r="L1327" s="25"/>
      <c r="M1327" s="22" t="s">
        <v>86</v>
      </c>
      <c r="N1327" s="23">
        <v>46083</v>
      </c>
      <c r="O1327" s="26" t="str">
        <f t="shared" si="63"/>
        <v/>
      </c>
      <c r="P1327" s="26" t="str">
        <f t="shared" si="64"/>
        <v/>
      </c>
      <c r="Q1327" s="26" t="str">
        <f t="shared" si="65"/>
        <v/>
      </c>
    </row>
    <row r="1328" spans="1:17" x14ac:dyDescent="0.3">
      <c r="A1328" s="35"/>
      <c r="B1328" s="25"/>
      <c r="C1328" s="25"/>
      <c r="D1328" s="25"/>
      <c r="E1328" s="25"/>
      <c r="F1328" s="25"/>
      <c r="G1328" s="25"/>
      <c r="H1328" s="25"/>
      <c r="I1328" s="25"/>
      <c r="J1328" s="25"/>
      <c r="K1328" s="25"/>
      <c r="L1328" s="25"/>
      <c r="M1328" s="22" t="s">
        <v>86</v>
      </c>
      <c r="N1328" s="23">
        <v>46083</v>
      </c>
      <c r="O1328" s="26" t="str">
        <f t="shared" si="63"/>
        <v/>
      </c>
      <c r="P1328" s="26" t="str">
        <f t="shared" si="64"/>
        <v/>
      </c>
      <c r="Q1328" s="26" t="str">
        <f t="shared" si="65"/>
        <v/>
      </c>
    </row>
    <row r="1329" spans="1:17" x14ac:dyDescent="0.3">
      <c r="A1329" s="35"/>
      <c r="B1329" s="25"/>
      <c r="C1329" s="25"/>
      <c r="D1329" s="25"/>
      <c r="E1329" s="25"/>
      <c r="F1329" s="25"/>
      <c r="G1329" s="25"/>
      <c r="H1329" s="25"/>
      <c r="I1329" s="25"/>
      <c r="J1329" s="25"/>
      <c r="K1329" s="25"/>
      <c r="L1329" s="25"/>
      <c r="M1329" s="22" t="s">
        <v>86</v>
      </c>
      <c r="N1329" s="23">
        <v>46083</v>
      </c>
      <c r="O1329" s="26" t="str">
        <f t="shared" si="63"/>
        <v/>
      </c>
      <c r="P1329" s="26" t="str">
        <f t="shared" si="64"/>
        <v/>
      </c>
      <c r="Q1329" s="26" t="str">
        <f t="shared" si="65"/>
        <v/>
      </c>
    </row>
    <row r="1330" spans="1:17" x14ac:dyDescent="0.3">
      <c r="A1330" s="35"/>
      <c r="B1330" s="25"/>
      <c r="C1330" s="25"/>
      <c r="D1330" s="25"/>
      <c r="E1330" s="25"/>
      <c r="F1330" s="25"/>
      <c r="G1330" s="25"/>
      <c r="H1330" s="25"/>
      <c r="I1330" s="25"/>
      <c r="J1330" s="25"/>
      <c r="K1330" s="25"/>
      <c r="L1330" s="25"/>
      <c r="M1330" s="22" t="s">
        <v>86</v>
      </c>
      <c r="N1330" s="23">
        <v>46083</v>
      </c>
      <c r="O1330" s="26" t="str">
        <f t="shared" si="63"/>
        <v/>
      </c>
      <c r="P1330" s="26" t="str">
        <f t="shared" si="64"/>
        <v/>
      </c>
      <c r="Q1330" s="26" t="str">
        <f t="shared" si="65"/>
        <v/>
      </c>
    </row>
    <row r="1331" spans="1:17" x14ac:dyDescent="0.3">
      <c r="A1331" s="35"/>
      <c r="B1331" s="25"/>
      <c r="C1331" s="25"/>
      <c r="D1331" s="25"/>
      <c r="E1331" s="25"/>
      <c r="F1331" s="25"/>
      <c r="G1331" s="25"/>
      <c r="H1331" s="25"/>
      <c r="I1331" s="25"/>
      <c r="J1331" s="25"/>
      <c r="K1331" s="25"/>
      <c r="L1331" s="25"/>
      <c r="M1331" s="22" t="s">
        <v>86</v>
      </c>
      <c r="N1331" s="23">
        <v>46083</v>
      </c>
      <c r="O1331" s="26" t="str">
        <f t="shared" si="63"/>
        <v/>
      </c>
      <c r="P1331" s="26" t="str">
        <f t="shared" si="64"/>
        <v/>
      </c>
      <c r="Q1331" s="26" t="str">
        <f t="shared" si="65"/>
        <v/>
      </c>
    </row>
    <row r="1332" spans="1:17" x14ac:dyDescent="0.3">
      <c r="A1332" s="35"/>
      <c r="B1332" s="25"/>
      <c r="C1332" s="25"/>
      <c r="D1332" s="25"/>
      <c r="E1332" s="25"/>
      <c r="F1332" s="25"/>
      <c r="G1332" s="25"/>
      <c r="H1332" s="25"/>
      <c r="I1332" s="25"/>
      <c r="J1332" s="25"/>
      <c r="K1332" s="25"/>
      <c r="L1332" s="25"/>
      <c r="M1332" s="22" t="s">
        <v>86</v>
      </c>
      <c r="N1332" s="23">
        <v>46083</v>
      </c>
      <c r="O1332" s="26" t="str">
        <f t="shared" si="63"/>
        <v/>
      </c>
      <c r="P1332" s="26" t="str">
        <f t="shared" si="64"/>
        <v/>
      </c>
      <c r="Q1332" s="26" t="str">
        <f t="shared" si="65"/>
        <v/>
      </c>
    </row>
    <row r="1333" spans="1:17" x14ac:dyDescent="0.3">
      <c r="A1333" s="35"/>
      <c r="B1333" s="25"/>
      <c r="C1333" s="25"/>
      <c r="D1333" s="25"/>
      <c r="E1333" s="25"/>
      <c r="F1333" s="25"/>
      <c r="G1333" s="25"/>
      <c r="H1333" s="25"/>
      <c r="I1333" s="25"/>
      <c r="J1333" s="25"/>
      <c r="K1333" s="25"/>
      <c r="L1333" s="25"/>
      <c r="M1333" s="22" t="s">
        <v>86</v>
      </c>
      <c r="N1333" s="23">
        <v>46083</v>
      </c>
      <c r="O1333" s="26" t="str">
        <f t="shared" si="63"/>
        <v/>
      </c>
      <c r="P1333" s="26" t="str">
        <f t="shared" si="64"/>
        <v/>
      </c>
      <c r="Q1333" s="26" t="str">
        <f t="shared" si="65"/>
        <v/>
      </c>
    </row>
    <row r="1334" spans="1:17" x14ac:dyDescent="0.3">
      <c r="A1334" s="35"/>
      <c r="B1334" s="25"/>
      <c r="C1334" s="25"/>
      <c r="D1334" s="25"/>
      <c r="E1334" s="25"/>
      <c r="F1334" s="25"/>
      <c r="G1334" s="25"/>
      <c r="H1334" s="25"/>
      <c r="I1334" s="25"/>
      <c r="J1334" s="25"/>
      <c r="K1334" s="25"/>
      <c r="L1334" s="25"/>
      <c r="M1334" s="22" t="s">
        <v>86</v>
      </c>
      <c r="N1334" s="23">
        <v>46083</v>
      </c>
      <c r="O1334" s="26" t="str">
        <f t="shared" si="63"/>
        <v/>
      </c>
      <c r="P1334" s="26" t="str">
        <f t="shared" si="64"/>
        <v/>
      </c>
      <c r="Q1334" s="26" t="str">
        <f t="shared" si="65"/>
        <v/>
      </c>
    </row>
    <row r="1335" spans="1:17" x14ac:dyDescent="0.3">
      <c r="A1335" s="35"/>
      <c r="B1335" s="25"/>
      <c r="C1335" s="25"/>
      <c r="D1335" s="25"/>
      <c r="E1335" s="25"/>
      <c r="F1335" s="25"/>
      <c r="G1335" s="25"/>
      <c r="H1335" s="25"/>
      <c r="I1335" s="25"/>
      <c r="J1335" s="25"/>
      <c r="K1335" s="25"/>
      <c r="L1335" s="25"/>
      <c r="M1335" s="22" t="s">
        <v>86</v>
      </c>
      <c r="N1335" s="23">
        <v>46083</v>
      </c>
      <c r="O1335" s="26" t="str">
        <f t="shared" si="63"/>
        <v/>
      </c>
      <c r="P1335" s="26" t="str">
        <f t="shared" si="64"/>
        <v/>
      </c>
      <c r="Q1335" s="26" t="str">
        <f t="shared" si="65"/>
        <v/>
      </c>
    </row>
    <row r="1336" spans="1:17" x14ac:dyDescent="0.3">
      <c r="A1336" s="35"/>
      <c r="B1336" s="25"/>
      <c r="C1336" s="25"/>
      <c r="D1336" s="25"/>
      <c r="E1336" s="25"/>
      <c r="F1336" s="25"/>
      <c r="G1336" s="25"/>
      <c r="H1336" s="25"/>
      <c r="I1336" s="25"/>
      <c r="J1336" s="25"/>
      <c r="K1336" s="25"/>
      <c r="L1336" s="25"/>
      <c r="M1336" s="22" t="s">
        <v>86</v>
      </c>
      <c r="N1336" s="23">
        <v>46083</v>
      </c>
      <c r="O1336" s="26" t="str">
        <f t="shared" si="63"/>
        <v/>
      </c>
      <c r="P1336" s="26" t="str">
        <f t="shared" si="64"/>
        <v/>
      </c>
      <c r="Q1336" s="26" t="str">
        <f t="shared" si="65"/>
        <v/>
      </c>
    </row>
    <row r="1337" spans="1:17" x14ac:dyDescent="0.3">
      <c r="A1337" s="35"/>
      <c r="B1337" s="25"/>
      <c r="C1337" s="25"/>
      <c r="D1337" s="25"/>
      <c r="E1337" s="25"/>
      <c r="F1337" s="25"/>
      <c r="G1337" s="25"/>
      <c r="H1337" s="25"/>
      <c r="I1337" s="25"/>
      <c r="J1337" s="25"/>
      <c r="K1337" s="25"/>
      <c r="L1337" s="25"/>
      <c r="M1337" s="22" t="s">
        <v>86</v>
      </c>
      <c r="N1337" s="23">
        <v>46083</v>
      </c>
      <c r="O1337" s="26" t="str">
        <f t="shared" si="63"/>
        <v/>
      </c>
      <c r="P1337" s="26" t="str">
        <f t="shared" si="64"/>
        <v/>
      </c>
      <c r="Q1337" s="26" t="str">
        <f t="shared" si="65"/>
        <v/>
      </c>
    </row>
    <row r="1338" spans="1:17" x14ac:dyDescent="0.3">
      <c r="A1338" s="35"/>
      <c r="B1338" s="25"/>
      <c r="C1338" s="25"/>
      <c r="D1338" s="25"/>
      <c r="E1338" s="25"/>
      <c r="F1338" s="25"/>
      <c r="G1338" s="25"/>
      <c r="H1338" s="25"/>
      <c r="I1338" s="25"/>
      <c r="J1338" s="25"/>
      <c r="K1338" s="25"/>
      <c r="L1338" s="25"/>
      <c r="M1338" s="22" t="s">
        <v>86</v>
      </c>
      <c r="N1338" s="23">
        <v>46083</v>
      </c>
      <c r="O1338" s="26" t="str">
        <f t="shared" si="63"/>
        <v/>
      </c>
      <c r="P1338" s="26" t="str">
        <f t="shared" si="64"/>
        <v/>
      </c>
      <c r="Q1338" s="26" t="str">
        <f t="shared" si="65"/>
        <v/>
      </c>
    </row>
    <row r="1339" spans="1:17" x14ac:dyDescent="0.3">
      <c r="A1339" s="35"/>
      <c r="B1339" s="25"/>
      <c r="C1339" s="25"/>
      <c r="D1339" s="25"/>
      <c r="E1339" s="25"/>
      <c r="F1339" s="25"/>
      <c r="G1339" s="25"/>
      <c r="H1339" s="25"/>
      <c r="I1339" s="25"/>
      <c r="J1339" s="25"/>
      <c r="K1339" s="25"/>
      <c r="L1339" s="25"/>
      <c r="M1339" s="22" t="s">
        <v>86</v>
      </c>
      <c r="N1339" s="23">
        <v>46083</v>
      </c>
      <c r="O1339" s="26" t="str">
        <f t="shared" si="63"/>
        <v/>
      </c>
      <c r="P1339" s="26" t="str">
        <f t="shared" si="64"/>
        <v/>
      </c>
      <c r="Q1339" s="26" t="str">
        <f t="shared" si="65"/>
        <v/>
      </c>
    </row>
    <row r="1340" spans="1:17" x14ac:dyDescent="0.3">
      <c r="A1340" s="35"/>
      <c r="B1340" s="25"/>
      <c r="C1340" s="25"/>
      <c r="D1340" s="25"/>
      <c r="E1340" s="25"/>
      <c r="F1340" s="25"/>
      <c r="G1340" s="25"/>
      <c r="H1340" s="25"/>
      <c r="I1340" s="25"/>
      <c r="J1340" s="25"/>
      <c r="K1340" s="25"/>
      <c r="L1340" s="25"/>
      <c r="M1340" s="22" t="s">
        <v>86</v>
      </c>
      <c r="N1340" s="23">
        <v>46083</v>
      </c>
      <c r="O1340" s="26" t="str">
        <f t="shared" si="63"/>
        <v/>
      </c>
      <c r="P1340" s="26" t="str">
        <f t="shared" si="64"/>
        <v/>
      </c>
      <c r="Q1340" s="26" t="str">
        <f t="shared" si="65"/>
        <v/>
      </c>
    </row>
    <row r="1341" spans="1:17" x14ac:dyDescent="0.3">
      <c r="A1341" s="35"/>
      <c r="B1341" s="25"/>
      <c r="C1341" s="25"/>
      <c r="D1341" s="25"/>
      <c r="E1341" s="25"/>
      <c r="F1341" s="25"/>
      <c r="G1341" s="25"/>
      <c r="H1341" s="25"/>
      <c r="I1341" s="25"/>
      <c r="J1341" s="25"/>
      <c r="K1341" s="25"/>
      <c r="L1341" s="25"/>
      <c r="M1341" s="22" t="s">
        <v>86</v>
      </c>
      <c r="N1341" s="23">
        <v>46083</v>
      </c>
      <c r="O1341" s="26" t="str">
        <f t="shared" si="63"/>
        <v/>
      </c>
      <c r="P1341" s="26" t="str">
        <f t="shared" si="64"/>
        <v/>
      </c>
      <c r="Q1341" s="26" t="str">
        <f t="shared" si="65"/>
        <v/>
      </c>
    </row>
    <row r="1342" spans="1:17" x14ac:dyDescent="0.3">
      <c r="A1342" s="35"/>
      <c r="B1342" s="25"/>
      <c r="C1342" s="25"/>
      <c r="D1342" s="25"/>
      <c r="E1342" s="25"/>
      <c r="F1342" s="25"/>
      <c r="G1342" s="25"/>
      <c r="H1342" s="25"/>
      <c r="I1342" s="25"/>
      <c r="J1342" s="25"/>
      <c r="K1342" s="25"/>
      <c r="L1342" s="25"/>
      <c r="M1342" s="22" t="s">
        <v>86</v>
      </c>
      <c r="N1342" s="23">
        <v>46083</v>
      </c>
      <c r="O1342" s="26" t="str">
        <f t="shared" si="63"/>
        <v/>
      </c>
      <c r="P1342" s="26" t="str">
        <f t="shared" si="64"/>
        <v/>
      </c>
      <c r="Q1342" s="26" t="str">
        <f t="shared" si="65"/>
        <v/>
      </c>
    </row>
    <row r="1343" spans="1:17" x14ac:dyDescent="0.3">
      <c r="A1343" s="35"/>
      <c r="B1343" s="25"/>
      <c r="C1343" s="25"/>
      <c r="D1343" s="25"/>
      <c r="E1343" s="25"/>
      <c r="F1343" s="25"/>
      <c r="G1343" s="25"/>
      <c r="H1343" s="25"/>
      <c r="I1343" s="25"/>
      <c r="J1343" s="25"/>
      <c r="K1343" s="25"/>
      <c r="L1343" s="25"/>
      <c r="M1343" s="22" t="s">
        <v>86</v>
      </c>
      <c r="N1343" s="23">
        <v>46083</v>
      </c>
      <c r="O1343" s="26" t="str">
        <f t="shared" si="63"/>
        <v/>
      </c>
      <c r="P1343" s="26" t="str">
        <f t="shared" si="64"/>
        <v/>
      </c>
      <c r="Q1343" s="26" t="str">
        <f t="shared" si="65"/>
        <v/>
      </c>
    </row>
    <row r="1344" spans="1:17" x14ac:dyDescent="0.3">
      <c r="A1344" s="35"/>
      <c r="B1344" s="25"/>
      <c r="C1344" s="25"/>
      <c r="D1344" s="25"/>
      <c r="E1344" s="25"/>
      <c r="F1344" s="25"/>
      <c r="G1344" s="25"/>
      <c r="H1344" s="25"/>
      <c r="I1344" s="25"/>
      <c r="J1344" s="25"/>
      <c r="K1344" s="25"/>
      <c r="L1344" s="25"/>
      <c r="M1344" s="22" t="s">
        <v>86</v>
      </c>
      <c r="N1344" s="23">
        <v>46083</v>
      </c>
      <c r="O1344" s="26" t="str">
        <f t="shared" si="63"/>
        <v/>
      </c>
      <c r="P1344" s="26" t="str">
        <f t="shared" si="64"/>
        <v/>
      </c>
      <c r="Q1344" s="26" t="str">
        <f t="shared" si="65"/>
        <v/>
      </c>
    </row>
    <row r="1345" spans="1:17" x14ac:dyDescent="0.3">
      <c r="A1345" s="35"/>
      <c r="B1345" s="25"/>
      <c r="C1345" s="25"/>
      <c r="D1345" s="25"/>
      <c r="E1345" s="25"/>
      <c r="F1345" s="25"/>
      <c r="G1345" s="25"/>
      <c r="H1345" s="25"/>
      <c r="I1345" s="25"/>
      <c r="J1345" s="25"/>
      <c r="K1345" s="25"/>
      <c r="L1345" s="25"/>
      <c r="M1345" s="22" t="s">
        <v>86</v>
      </c>
      <c r="N1345" s="23">
        <v>46083</v>
      </c>
      <c r="O1345" s="26" t="str">
        <f t="shared" si="63"/>
        <v/>
      </c>
      <c r="P1345" s="26" t="str">
        <f t="shared" si="64"/>
        <v/>
      </c>
      <c r="Q1345" s="26" t="str">
        <f t="shared" si="65"/>
        <v/>
      </c>
    </row>
    <row r="1346" spans="1:17" x14ac:dyDescent="0.3">
      <c r="A1346" s="35"/>
      <c r="B1346" s="25"/>
      <c r="C1346" s="25"/>
      <c r="D1346" s="25"/>
      <c r="E1346" s="25"/>
      <c r="F1346" s="25"/>
      <c r="G1346" s="25"/>
      <c r="H1346" s="25"/>
      <c r="I1346" s="25"/>
      <c r="J1346" s="25"/>
      <c r="K1346" s="25"/>
      <c r="L1346" s="25"/>
      <c r="M1346" s="22" t="s">
        <v>86</v>
      </c>
      <c r="N1346" s="23">
        <v>46083</v>
      </c>
      <c r="O1346" s="26" t="str">
        <f t="shared" ref="O1346:O1409" si="66">IF(A1346="","",IFERROR(IF(AND(LEN(A1346)=10,NOT(ISERROR(VALUE(A1346)))),"OK","확인"),"확인"))</f>
        <v/>
      </c>
      <c r="P1346" s="26" t="str">
        <f t="shared" ref="P1346:P1409" si="67">IF(A1346="","",IF(COUNTIF($A$2:$A$1946,A1346)&gt;1,"중복",""))</f>
        <v/>
      </c>
      <c r="Q1346" s="26" t="str">
        <f t="shared" ref="Q1346:Q1409" si="68">IF(G1346="","",IF(ISNUMBER(SEARCH("@",G1346)),"","확인"))</f>
        <v/>
      </c>
    </row>
    <row r="1347" spans="1:17" x14ac:dyDescent="0.3">
      <c r="A1347" s="35"/>
      <c r="B1347" s="25"/>
      <c r="C1347" s="25"/>
      <c r="D1347" s="25"/>
      <c r="E1347" s="25"/>
      <c r="F1347" s="25"/>
      <c r="G1347" s="25"/>
      <c r="H1347" s="25"/>
      <c r="I1347" s="25"/>
      <c r="J1347" s="25"/>
      <c r="K1347" s="25"/>
      <c r="L1347" s="25"/>
      <c r="M1347" s="22" t="s">
        <v>86</v>
      </c>
      <c r="N1347" s="23">
        <v>46083</v>
      </c>
      <c r="O1347" s="26" t="str">
        <f t="shared" si="66"/>
        <v/>
      </c>
      <c r="P1347" s="26" t="str">
        <f t="shared" si="67"/>
        <v/>
      </c>
      <c r="Q1347" s="26" t="str">
        <f t="shared" si="68"/>
        <v/>
      </c>
    </row>
    <row r="1348" spans="1:17" x14ac:dyDescent="0.3">
      <c r="A1348" s="35"/>
      <c r="B1348" s="25"/>
      <c r="C1348" s="25"/>
      <c r="D1348" s="25"/>
      <c r="E1348" s="25"/>
      <c r="F1348" s="25"/>
      <c r="G1348" s="25"/>
      <c r="H1348" s="25"/>
      <c r="I1348" s="25"/>
      <c r="J1348" s="25"/>
      <c r="K1348" s="25"/>
      <c r="L1348" s="25"/>
      <c r="M1348" s="22" t="s">
        <v>86</v>
      </c>
      <c r="N1348" s="23">
        <v>46083</v>
      </c>
      <c r="O1348" s="26" t="str">
        <f t="shared" si="66"/>
        <v/>
      </c>
      <c r="P1348" s="26" t="str">
        <f t="shared" si="67"/>
        <v/>
      </c>
      <c r="Q1348" s="26" t="str">
        <f t="shared" si="68"/>
        <v/>
      </c>
    </row>
    <row r="1349" spans="1:17" x14ac:dyDescent="0.3">
      <c r="A1349" s="35"/>
      <c r="B1349" s="25"/>
      <c r="C1349" s="25"/>
      <c r="D1349" s="25"/>
      <c r="E1349" s="25"/>
      <c r="F1349" s="25"/>
      <c r="G1349" s="25"/>
      <c r="H1349" s="25"/>
      <c r="I1349" s="25"/>
      <c r="J1349" s="25"/>
      <c r="K1349" s="25"/>
      <c r="L1349" s="25"/>
      <c r="M1349" s="22" t="s">
        <v>86</v>
      </c>
      <c r="N1349" s="23">
        <v>46083</v>
      </c>
      <c r="O1349" s="26" t="str">
        <f t="shared" si="66"/>
        <v/>
      </c>
      <c r="P1349" s="26" t="str">
        <f t="shared" si="67"/>
        <v/>
      </c>
      <c r="Q1349" s="26" t="str">
        <f t="shared" si="68"/>
        <v/>
      </c>
    </row>
    <row r="1350" spans="1:17" x14ac:dyDescent="0.3">
      <c r="A1350" s="35"/>
      <c r="B1350" s="25"/>
      <c r="C1350" s="25"/>
      <c r="D1350" s="25"/>
      <c r="E1350" s="25"/>
      <c r="F1350" s="25"/>
      <c r="G1350" s="25"/>
      <c r="H1350" s="25"/>
      <c r="I1350" s="25"/>
      <c r="J1350" s="25"/>
      <c r="K1350" s="25"/>
      <c r="L1350" s="25"/>
      <c r="M1350" s="22" t="s">
        <v>86</v>
      </c>
      <c r="N1350" s="23">
        <v>46083</v>
      </c>
      <c r="O1350" s="26" t="str">
        <f t="shared" si="66"/>
        <v/>
      </c>
      <c r="P1350" s="26" t="str">
        <f t="shared" si="67"/>
        <v/>
      </c>
      <c r="Q1350" s="26" t="str">
        <f t="shared" si="68"/>
        <v/>
      </c>
    </row>
    <row r="1351" spans="1:17" x14ac:dyDescent="0.3">
      <c r="A1351" s="35"/>
      <c r="B1351" s="25"/>
      <c r="C1351" s="25"/>
      <c r="D1351" s="25"/>
      <c r="E1351" s="25"/>
      <c r="F1351" s="25"/>
      <c r="G1351" s="25"/>
      <c r="H1351" s="25"/>
      <c r="I1351" s="25"/>
      <c r="J1351" s="25"/>
      <c r="K1351" s="25"/>
      <c r="L1351" s="25"/>
      <c r="M1351" s="22" t="s">
        <v>86</v>
      </c>
      <c r="N1351" s="23">
        <v>46083</v>
      </c>
      <c r="O1351" s="26" t="str">
        <f t="shared" si="66"/>
        <v/>
      </c>
      <c r="P1351" s="26" t="str">
        <f t="shared" si="67"/>
        <v/>
      </c>
      <c r="Q1351" s="26" t="str">
        <f t="shared" si="68"/>
        <v/>
      </c>
    </row>
    <row r="1352" spans="1:17" x14ac:dyDescent="0.3">
      <c r="A1352" s="35"/>
      <c r="B1352" s="25"/>
      <c r="C1352" s="25"/>
      <c r="D1352" s="25"/>
      <c r="E1352" s="25"/>
      <c r="F1352" s="25"/>
      <c r="G1352" s="25"/>
      <c r="H1352" s="25"/>
      <c r="I1352" s="25"/>
      <c r="J1352" s="25"/>
      <c r="K1352" s="25"/>
      <c r="L1352" s="25"/>
      <c r="M1352" s="22" t="s">
        <v>86</v>
      </c>
      <c r="N1352" s="23">
        <v>46083</v>
      </c>
      <c r="O1352" s="26" t="str">
        <f t="shared" si="66"/>
        <v/>
      </c>
      <c r="P1352" s="26" t="str">
        <f t="shared" si="67"/>
        <v/>
      </c>
      <c r="Q1352" s="26" t="str">
        <f t="shared" si="68"/>
        <v/>
      </c>
    </row>
    <row r="1353" spans="1:17" x14ac:dyDescent="0.3">
      <c r="A1353" s="35"/>
      <c r="B1353" s="25"/>
      <c r="C1353" s="25"/>
      <c r="D1353" s="25"/>
      <c r="E1353" s="25"/>
      <c r="F1353" s="25"/>
      <c r="G1353" s="25"/>
      <c r="H1353" s="25"/>
      <c r="I1353" s="25"/>
      <c r="J1353" s="25"/>
      <c r="K1353" s="25"/>
      <c r="L1353" s="25"/>
      <c r="M1353" s="22" t="s">
        <v>86</v>
      </c>
      <c r="N1353" s="23">
        <v>46083</v>
      </c>
      <c r="O1353" s="26" t="str">
        <f t="shared" si="66"/>
        <v/>
      </c>
      <c r="P1353" s="26" t="str">
        <f t="shared" si="67"/>
        <v/>
      </c>
      <c r="Q1353" s="26" t="str">
        <f t="shared" si="68"/>
        <v/>
      </c>
    </row>
    <row r="1354" spans="1:17" x14ac:dyDescent="0.3">
      <c r="A1354" s="35"/>
      <c r="B1354" s="25"/>
      <c r="C1354" s="25"/>
      <c r="D1354" s="25"/>
      <c r="E1354" s="25"/>
      <c r="F1354" s="25"/>
      <c r="G1354" s="25"/>
      <c r="H1354" s="25"/>
      <c r="I1354" s="25"/>
      <c r="J1354" s="25"/>
      <c r="K1354" s="25"/>
      <c r="L1354" s="25"/>
      <c r="M1354" s="22" t="s">
        <v>86</v>
      </c>
      <c r="N1354" s="23">
        <v>46083</v>
      </c>
      <c r="O1354" s="26" t="str">
        <f t="shared" si="66"/>
        <v/>
      </c>
      <c r="P1354" s="26" t="str">
        <f t="shared" si="67"/>
        <v/>
      </c>
      <c r="Q1354" s="26" t="str">
        <f t="shared" si="68"/>
        <v/>
      </c>
    </row>
    <row r="1355" spans="1:17" x14ac:dyDescent="0.3">
      <c r="A1355" s="35"/>
      <c r="B1355" s="25"/>
      <c r="C1355" s="25"/>
      <c r="D1355" s="25"/>
      <c r="E1355" s="25"/>
      <c r="F1355" s="25"/>
      <c r="G1355" s="25"/>
      <c r="H1355" s="25"/>
      <c r="I1355" s="25"/>
      <c r="J1355" s="25"/>
      <c r="K1355" s="25"/>
      <c r="L1355" s="25"/>
      <c r="M1355" s="22" t="s">
        <v>86</v>
      </c>
      <c r="N1355" s="23">
        <v>46083</v>
      </c>
      <c r="O1355" s="26" t="str">
        <f t="shared" si="66"/>
        <v/>
      </c>
      <c r="P1355" s="26" t="str">
        <f t="shared" si="67"/>
        <v/>
      </c>
      <c r="Q1355" s="26" t="str">
        <f t="shared" si="68"/>
        <v/>
      </c>
    </row>
    <row r="1356" spans="1:17" x14ac:dyDescent="0.3">
      <c r="A1356" s="35"/>
      <c r="B1356" s="25"/>
      <c r="C1356" s="25"/>
      <c r="D1356" s="25"/>
      <c r="E1356" s="25"/>
      <c r="F1356" s="25"/>
      <c r="G1356" s="25"/>
      <c r="H1356" s="25"/>
      <c r="I1356" s="25"/>
      <c r="J1356" s="25"/>
      <c r="K1356" s="25"/>
      <c r="L1356" s="25"/>
      <c r="M1356" s="22" t="s">
        <v>86</v>
      </c>
      <c r="N1356" s="23">
        <v>46083</v>
      </c>
      <c r="O1356" s="26" t="str">
        <f t="shared" si="66"/>
        <v/>
      </c>
      <c r="P1356" s="26" t="str">
        <f t="shared" si="67"/>
        <v/>
      </c>
      <c r="Q1356" s="26" t="str">
        <f t="shared" si="68"/>
        <v/>
      </c>
    </row>
    <row r="1357" spans="1:17" x14ac:dyDescent="0.3">
      <c r="A1357" s="35"/>
      <c r="B1357" s="25"/>
      <c r="C1357" s="25"/>
      <c r="D1357" s="25"/>
      <c r="E1357" s="25"/>
      <c r="F1357" s="25"/>
      <c r="G1357" s="25"/>
      <c r="H1357" s="25"/>
      <c r="I1357" s="25"/>
      <c r="J1357" s="25"/>
      <c r="K1357" s="25"/>
      <c r="L1357" s="25"/>
      <c r="M1357" s="22" t="s">
        <v>86</v>
      </c>
      <c r="N1357" s="23">
        <v>46083</v>
      </c>
      <c r="O1357" s="26" t="str">
        <f t="shared" si="66"/>
        <v/>
      </c>
      <c r="P1357" s="26" t="str">
        <f t="shared" si="67"/>
        <v/>
      </c>
      <c r="Q1357" s="26" t="str">
        <f t="shared" si="68"/>
        <v/>
      </c>
    </row>
    <row r="1358" spans="1:17" x14ac:dyDescent="0.3">
      <c r="A1358" s="35"/>
      <c r="B1358" s="25"/>
      <c r="C1358" s="25"/>
      <c r="D1358" s="25"/>
      <c r="E1358" s="25"/>
      <c r="F1358" s="25"/>
      <c r="G1358" s="25"/>
      <c r="H1358" s="25"/>
      <c r="I1358" s="25"/>
      <c r="J1358" s="25"/>
      <c r="K1358" s="25"/>
      <c r="L1358" s="25"/>
      <c r="M1358" s="22" t="s">
        <v>86</v>
      </c>
      <c r="N1358" s="23">
        <v>46083</v>
      </c>
      <c r="O1358" s="26" t="str">
        <f t="shared" si="66"/>
        <v/>
      </c>
      <c r="P1358" s="26" t="str">
        <f t="shared" si="67"/>
        <v/>
      </c>
      <c r="Q1358" s="26" t="str">
        <f t="shared" si="68"/>
        <v/>
      </c>
    </row>
    <row r="1359" spans="1:17" x14ac:dyDescent="0.3">
      <c r="A1359" s="35"/>
      <c r="B1359" s="25"/>
      <c r="C1359" s="25"/>
      <c r="D1359" s="25"/>
      <c r="E1359" s="25"/>
      <c r="F1359" s="25"/>
      <c r="G1359" s="25"/>
      <c r="H1359" s="25"/>
      <c r="I1359" s="25"/>
      <c r="J1359" s="25"/>
      <c r="K1359" s="25"/>
      <c r="L1359" s="25"/>
      <c r="M1359" s="22" t="s">
        <v>86</v>
      </c>
      <c r="N1359" s="23">
        <v>46083</v>
      </c>
      <c r="O1359" s="26" t="str">
        <f t="shared" si="66"/>
        <v/>
      </c>
      <c r="P1359" s="26" t="str">
        <f t="shared" si="67"/>
        <v/>
      </c>
      <c r="Q1359" s="26" t="str">
        <f t="shared" si="68"/>
        <v/>
      </c>
    </row>
    <row r="1360" spans="1:17" x14ac:dyDescent="0.3">
      <c r="A1360" s="35"/>
      <c r="B1360" s="25"/>
      <c r="C1360" s="25"/>
      <c r="D1360" s="25"/>
      <c r="E1360" s="25"/>
      <c r="F1360" s="25"/>
      <c r="G1360" s="25"/>
      <c r="H1360" s="25"/>
      <c r="I1360" s="25"/>
      <c r="J1360" s="25"/>
      <c r="K1360" s="25"/>
      <c r="L1360" s="25"/>
      <c r="M1360" s="22" t="s">
        <v>86</v>
      </c>
      <c r="N1360" s="23">
        <v>46083</v>
      </c>
      <c r="O1360" s="26" t="str">
        <f t="shared" si="66"/>
        <v/>
      </c>
      <c r="P1360" s="26" t="str">
        <f t="shared" si="67"/>
        <v/>
      </c>
      <c r="Q1360" s="26" t="str">
        <f t="shared" si="68"/>
        <v/>
      </c>
    </row>
    <row r="1361" spans="1:17" x14ac:dyDescent="0.3">
      <c r="A1361" s="35"/>
      <c r="B1361" s="25"/>
      <c r="C1361" s="25"/>
      <c r="D1361" s="25"/>
      <c r="E1361" s="25"/>
      <c r="F1361" s="25"/>
      <c r="G1361" s="25"/>
      <c r="H1361" s="25"/>
      <c r="I1361" s="25"/>
      <c r="J1361" s="25"/>
      <c r="K1361" s="25"/>
      <c r="L1361" s="25"/>
      <c r="M1361" s="22" t="s">
        <v>86</v>
      </c>
      <c r="N1361" s="23">
        <v>46083</v>
      </c>
      <c r="O1361" s="26" t="str">
        <f t="shared" si="66"/>
        <v/>
      </c>
      <c r="P1361" s="26" t="str">
        <f t="shared" si="67"/>
        <v/>
      </c>
      <c r="Q1361" s="26" t="str">
        <f t="shared" si="68"/>
        <v/>
      </c>
    </row>
    <row r="1362" spans="1:17" x14ac:dyDescent="0.3">
      <c r="A1362" s="35"/>
      <c r="B1362" s="25"/>
      <c r="C1362" s="25"/>
      <c r="D1362" s="25"/>
      <c r="E1362" s="25"/>
      <c r="F1362" s="25"/>
      <c r="G1362" s="25"/>
      <c r="H1362" s="25"/>
      <c r="I1362" s="25"/>
      <c r="J1362" s="25"/>
      <c r="K1362" s="25"/>
      <c r="L1362" s="25"/>
      <c r="M1362" s="22" t="s">
        <v>86</v>
      </c>
      <c r="N1362" s="23">
        <v>46083</v>
      </c>
      <c r="O1362" s="26" t="str">
        <f t="shared" si="66"/>
        <v/>
      </c>
      <c r="P1362" s="26" t="str">
        <f t="shared" si="67"/>
        <v/>
      </c>
      <c r="Q1362" s="26" t="str">
        <f t="shared" si="68"/>
        <v/>
      </c>
    </row>
    <row r="1363" spans="1:17" x14ac:dyDescent="0.3">
      <c r="A1363" s="35"/>
      <c r="B1363" s="25"/>
      <c r="C1363" s="25"/>
      <c r="D1363" s="25"/>
      <c r="E1363" s="25"/>
      <c r="F1363" s="25"/>
      <c r="G1363" s="25"/>
      <c r="H1363" s="25"/>
      <c r="I1363" s="25"/>
      <c r="J1363" s="25"/>
      <c r="K1363" s="25"/>
      <c r="L1363" s="25"/>
      <c r="M1363" s="22" t="s">
        <v>86</v>
      </c>
      <c r="N1363" s="23">
        <v>46083</v>
      </c>
      <c r="O1363" s="26" t="str">
        <f t="shared" si="66"/>
        <v/>
      </c>
      <c r="P1363" s="26" t="str">
        <f t="shared" si="67"/>
        <v/>
      </c>
      <c r="Q1363" s="26" t="str">
        <f t="shared" si="68"/>
        <v/>
      </c>
    </row>
    <row r="1364" spans="1:17" x14ac:dyDescent="0.3">
      <c r="A1364" s="35"/>
      <c r="B1364" s="25"/>
      <c r="C1364" s="25"/>
      <c r="D1364" s="25"/>
      <c r="E1364" s="25"/>
      <c r="F1364" s="25"/>
      <c r="G1364" s="25"/>
      <c r="H1364" s="25"/>
      <c r="I1364" s="25"/>
      <c r="J1364" s="25"/>
      <c r="K1364" s="25"/>
      <c r="L1364" s="25"/>
      <c r="M1364" s="22" t="s">
        <v>86</v>
      </c>
      <c r="N1364" s="23">
        <v>46083</v>
      </c>
      <c r="O1364" s="26" t="str">
        <f t="shared" si="66"/>
        <v/>
      </c>
      <c r="P1364" s="26" t="str">
        <f t="shared" si="67"/>
        <v/>
      </c>
      <c r="Q1364" s="26" t="str">
        <f t="shared" si="68"/>
        <v/>
      </c>
    </row>
    <row r="1365" spans="1:17" x14ac:dyDescent="0.3">
      <c r="A1365" s="35"/>
      <c r="B1365" s="25"/>
      <c r="C1365" s="25"/>
      <c r="D1365" s="25"/>
      <c r="E1365" s="25"/>
      <c r="F1365" s="25"/>
      <c r="G1365" s="25"/>
      <c r="H1365" s="25"/>
      <c r="I1365" s="25"/>
      <c r="J1365" s="25"/>
      <c r="K1365" s="25"/>
      <c r="L1365" s="25"/>
      <c r="M1365" s="22" t="s">
        <v>86</v>
      </c>
      <c r="N1365" s="23">
        <v>46083</v>
      </c>
      <c r="O1365" s="26" t="str">
        <f t="shared" si="66"/>
        <v/>
      </c>
      <c r="P1365" s="26" t="str">
        <f t="shared" si="67"/>
        <v/>
      </c>
      <c r="Q1365" s="26" t="str">
        <f t="shared" si="68"/>
        <v/>
      </c>
    </row>
    <row r="1366" spans="1:17" x14ac:dyDescent="0.3">
      <c r="A1366" s="35"/>
      <c r="B1366" s="25"/>
      <c r="C1366" s="25"/>
      <c r="D1366" s="25"/>
      <c r="E1366" s="25"/>
      <c r="F1366" s="25"/>
      <c r="G1366" s="25"/>
      <c r="H1366" s="25"/>
      <c r="I1366" s="25"/>
      <c r="J1366" s="25"/>
      <c r="K1366" s="25"/>
      <c r="L1366" s="25"/>
      <c r="M1366" s="22" t="s">
        <v>86</v>
      </c>
      <c r="N1366" s="23">
        <v>46083</v>
      </c>
      <c r="O1366" s="26" t="str">
        <f t="shared" si="66"/>
        <v/>
      </c>
      <c r="P1366" s="26" t="str">
        <f t="shared" si="67"/>
        <v/>
      </c>
      <c r="Q1366" s="26" t="str">
        <f t="shared" si="68"/>
        <v/>
      </c>
    </row>
    <row r="1367" spans="1:17" x14ac:dyDescent="0.3">
      <c r="A1367" s="35"/>
      <c r="B1367" s="25"/>
      <c r="C1367" s="25"/>
      <c r="D1367" s="25"/>
      <c r="E1367" s="25"/>
      <c r="F1367" s="25"/>
      <c r="G1367" s="25"/>
      <c r="H1367" s="25"/>
      <c r="I1367" s="25"/>
      <c r="J1367" s="25"/>
      <c r="K1367" s="25"/>
      <c r="L1367" s="25"/>
      <c r="M1367" s="22" t="s">
        <v>86</v>
      </c>
      <c r="N1367" s="23">
        <v>46083</v>
      </c>
      <c r="O1367" s="26" t="str">
        <f t="shared" si="66"/>
        <v/>
      </c>
      <c r="P1367" s="26" t="str">
        <f t="shared" si="67"/>
        <v/>
      </c>
      <c r="Q1367" s="26" t="str">
        <f t="shared" si="68"/>
        <v/>
      </c>
    </row>
    <row r="1368" spans="1:17" x14ac:dyDescent="0.3">
      <c r="A1368" s="35"/>
      <c r="B1368" s="25"/>
      <c r="C1368" s="25"/>
      <c r="D1368" s="25"/>
      <c r="E1368" s="25"/>
      <c r="F1368" s="25"/>
      <c r="G1368" s="25"/>
      <c r="H1368" s="25"/>
      <c r="I1368" s="25"/>
      <c r="J1368" s="25"/>
      <c r="K1368" s="25"/>
      <c r="L1368" s="25"/>
      <c r="M1368" s="22" t="s">
        <v>86</v>
      </c>
      <c r="N1368" s="23">
        <v>46083</v>
      </c>
      <c r="O1368" s="26" t="str">
        <f t="shared" si="66"/>
        <v/>
      </c>
      <c r="P1368" s="26" t="str">
        <f t="shared" si="67"/>
        <v/>
      </c>
      <c r="Q1368" s="26" t="str">
        <f t="shared" si="68"/>
        <v/>
      </c>
    </row>
    <row r="1369" spans="1:17" x14ac:dyDescent="0.3">
      <c r="A1369" s="35"/>
      <c r="B1369" s="25"/>
      <c r="C1369" s="25"/>
      <c r="D1369" s="25"/>
      <c r="E1369" s="25"/>
      <c r="F1369" s="25"/>
      <c r="G1369" s="25"/>
      <c r="H1369" s="25"/>
      <c r="I1369" s="25"/>
      <c r="J1369" s="25"/>
      <c r="K1369" s="25"/>
      <c r="L1369" s="25"/>
      <c r="M1369" s="22" t="s">
        <v>86</v>
      </c>
      <c r="N1369" s="23">
        <v>46083</v>
      </c>
      <c r="O1369" s="26" t="str">
        <f t="shared" si="66"/>
        <v/>
      </c>
      <c r="P1369" s="26" t="str">
        <f t="shared" si="67"/>
        <v/>
      </c>
      <c r="Q1369" s="26" t="str">
        <f t="shared" si="68"/>
        <v/>
      </c>
    </row>
    <row r="1370" spans="1:17" x14ac:dyDescent="0.3">
      <c r="A1370" s="35"/>
      <c r="B1370" s="25"/>
      <c r="C1370" s="25"/>
      <c r="D1370" s="25"/>
      <c r="E1370" s="25"/>
      <c r="F1370" s="25"/>
      <c r="G1370" s="25"/>
      <c r="H1370" s="25"/>
      <c r="I1370" s="25"/>
      <c r="J1370" s="25"/>
      <c r="K1370" s="25"/>
      <c r="L1370" s="25"/>
      <c r="M1370" s="22" t="s">
        <v>86</v>
      </c>
      <c r="N1370" s="23">
        <v>46083</v>
      </c>
      <c r="O1370" s="26" t="str">
        <f t="shared" si="66"/>
        <v/>
      </c>
      <c r="P1370" s="26" t="str">
        <f t="shared" si="67"/>
        <v/>
      </c>
      <c r="Q1370" s="26" t="str">
        <f t="shared" si="68"/>
        <v/>
      </c>
    </row>
    <row r="1371" spans="1:17" x14ac:dyDescent="0.3">
      <c r="A1371" s="35"/>
      <c r="B1371" s="25"/>
      <c r="C1371" s="25"/>
      <c r="D1371" s="25"/>
      <c r="E1371" s="25"/>
      <c r="F1371" s="25"/>
      <c r="G1371" s="25"/>
      <c r="H1371" s="25"/>
      <c r="I1371" s="25"/>
      <c r="J1371" s="25"/>
      <c r="K1371" s="25"/>
      <c r="L1371" s="25"/>
      <c r="M1371" s="22" t="s">
        <v>86</v>
      </c>
      <c r="N1371" s="23">
        <v>46083</v>
      </c>
      <c r="O1371" s="26" t="str">
        <f t="shared" si="66"/>
        <v/>
      </c>
      <c r="P1371" s="26" t="str">
        <f t="shared" si="67"/>
        <v/>
      </c>
      <c r="Q1371" s="26" t="str">
        <f t="shared" si="68"/>
        <v/>
      </c>
    </row>
    <row r="1372" spans="1:17" x14ac:dyDescent="0.3">
      <c r="A1372" s="35"/>
      <c r="B1372" s="25"/>
      <c r="C1372" s="25"/>
      <c r="D1372" s="25"/>
      <c r="E1372" s="25"/>
      <c r="F1372" s="25"/>
      <c r="G1372" s="25"/>
      <c r="H1372" s="25"/>
      <c r="I1372" s="25"/>
      <c r="J1372" s="25"/>
      <c r="K1372" s="25"/>
      <c r="L1372" s="25"/>
      <c r="M1372" s="22" t="s">
        <v>86</v>
      </c>
      <c r="N1372" s="23">
        <v>46083</v>
      </c>
      <c r="O1372" s="26" t="str">
        <f t="shared" si="66"/>
        <v/>
      </c>
      <c r="P1372" s="26" t="str">
        <f t="shared" si="67"/>
        <v/>
      </c>
      <c r="Q1372" s="26" t="str">
        <f t="shared" si="68"/>
        <v/>
      </c>
    </row>
    <row r="1373" spans="1:17" x14ac:dyDescent="0.3">
      <c r="A1373" s="35"/>
      <c r="B1373" s="25"/>
      <c r="C1373" s="25"/>
      <c r="D1373" s="25"/>
      <c r="E1373" s="25"/>
      <c r="F1373" s="25"/>
      <c r="G1373" s="25"/>
      <c r="H1373" s="25"/>
      <c r="I1373" s="25"/>
      <c r="J1373" s="25"/>
      <c r="K1373" s="25"/>
      <c r="L1373" s="25"/>
      <c r="M1373" s="22" t="s">
        <v>86</v>
      </c>
      <c r="N1373" s="23">
        <v>46083</v>
      </c>
      <c r="O1373" s="26" t="str">
        <f t="shared" si="66"/>
        <v/>
      </c>
      <c r="P1373" s="26" t="str">
        <f t="shared" si="67"/>
        <v/>
      </c>
      <c r="Q1373" s="26" t="str">
        <f t="shared" si="68"/>
        <v/>
      </c>
    </row>
    <row r="1374" spans="1:17" x14ac:dyDescent="0.3">
      <c r="A1374" s="35"/>
      <c r="B1374" s="25"/>
      <c r="C1374" s="25"/>
      <c r="D1374" s="25"/>
      <c r="E1374" s="25"/>
      <c r="F1374" s="25"/>
      <c r="G1374" s="25"/>
      <c r="H1374" s="25"/>
      <c r="I1374" s="25"/>
      <c r="J1374" s="25"/>
      <c r="K1374" s="25"/>
      <c r="L1374" s="25"/>
      <c r="M1374" s="22" t="s">
        <v>86</v>
      </c>
      <c r="N1374" s="23">
        <v>46083</v>
      </c>
      <c r="O1374" s="26" t="str">
        <f t="shared" si="66"/>
        <v/>
      </c>
      <c r="P1374" s="26" t="str">
        <f t="shared" si="67"/>
        <v/>
      </c>
      <c r="Q1374" s="26" t="str">
        <f t="shared" si="68"/>
        <v/>
      </c>
    </row>
    <row r="1375" spans="1:17" x14ac:dyDescent="0.3">
      <c r="A1375" s="35"/>
      <c r="B1375" s="25"/>
      <c r="C1375" s="25"/>
      <c r="D1375" s="25"/>
      <c r="E1375" s="25"/>
      <c r="F1375" s="25"/>
      <c r="G1375" s="25"/>
      <c r="H1375" s="25"/>
      <c r="I1375" s="25"/>
      <c r="J1375" s="25"/>
      <c r="K1375" s="25"/>
      <c r="L1375" s="25"/>
      <c r="M1375" s="22" t="s">
        <v>86</v>
      </c>
      <c r="N1375" s="23">
        <v>46083</v>
      </c>
      <c r="O1375" s="26" t="str">
        <f t="shared" si="66"/>
        <v/>
      </c>
      <c r="P1375" s="26" t="str">
        <f t="shared" si="67"/>
        <v/>
      </c>
      <c r="Q1375" s="26" t="str">
        <f t="shared" si="68"/>
        <v/>
      </c>
    </row>
    <row r="1376" spans="1:17" x14ac:dyDescent="0.3">
      <c r="A1376" s="35"/>
      <c r="B1376" s="25"/>
      <c r="C1376" s="25"/>
      <c r="D1376" s="25"/>
      <c r="E1376" s="25"/>
      <c r="F1376" s="25"/>
      <c r="G1376" s="25"/>
      <c r="H1376" s="25"/>
      <c r="I1376" s="25"/>
      <c r="J1376" s="25"/>
      <c r="K1376" s="25"/>
      <c r="L1376" s="25"/>
      <c r="M1376" s="22" t="s">
        <v>86</v>
      </c>
      <c r="N1376" s="23">
        <v>46083</v>
      </c>
      <c r="O1376" s="26" t="str">
        <f t="shared" si="66"/>
        <v/>
      </c>
      <c r="P1376" s="26" t="str">
        <f t="shared" si="67"/>
        <v/>
      </c>
      <c r="Q1376" s="26" t="str">
        <f t="shared" si="68"/>
        <v/>
      </c>
    </row>
    <row r="1377" spans="1:17" x14ac:dyDescent="0.3">
      <c r="A1377" s="35"/>
      <c r="B1377" s="25"/>
      <c r="C1377" s="25"/>
      <c r="D1377" s="25"/>
      <c r="E1377" s="25"/>
      <c r="F1377" s="25"/>
      <c r="G1377" s="25"/>
      <c r="H1377" s="25"/>
      <c r="I1377" s="25"/>
      <c r="J1377" s="25"/>
      <c r="K1377" s="25"/>
      <c r="L1377" s="25"/>
      <c r="M1377" s="22" t="s">
        <v>86</v>
      </c>
      <c r="N1377" s="23">
        <v>46083</v>
      </c>
      <c r="O1377" s="26" t="str">
        <f t="shared" si="66"/>
        <v/>
      </c>
      <c r="P1377" s="26" t="str">
        <f t="shared" si="67"/>
        <v/>
      </c>
      <c r="Q1377" s="26" t="str">
        <f t="shared" si="68"/>
        <v/>
      </c>
    </row>
    <row r="1378" spans="1:17" x14ac:dyDescent="0.3">
      <c r="A1378" s="35"/>
      <c r="B1378" s="25"/>
      <c r="C1378" s="25"/>
      <c r="D1378" s="25"/>
      <c r="E1378" s="25"/>
      <c r="F1378" s="25"/>
      <c r="G1378" s="25"/>
      <c r="H1378" s="25"/>
      <c r="I1378" s="25"/>
      <c r="J1378" s="25"/>
      <c r="K1378" s="25"/>
      <c r="L1378" s="25"/>
      <c r="M1378" s="22" t="s">
        <v>86</v>
      </c>
      <c r="N1378" s="23">
        <v>46083</v>
      </c>
      <c r="O1378" s="26" t="str">
        <f t="shared" si="66"/>
        <v/>
      </c>
      <c r="P1378" s="26" t="str">
        <f t="shared" si="67"/>
        <v/>
      </c>
      <c r="Q1378" s="26" t="str">
        <f t="shared" si="68"/>
        <v/>
      </c>
    </row>
    <row r="1379" spans="1:17" x14ac:dyDescent="0.3">
      <c r="A1379" s="35"/>
      <c r="B1379" s="25"/>
      <c r="C1379" s="25"/>
      <c r="D1379" s="25"/>
      <c r="E1379" s="25"/>
      <c r="F1379" s="25"/>
      <c r="G1379" s="25"/>
      <c r="H1379" s="25"/>
      <c r="I1379" s="25"/>
      <c r="J1379" s="25"/>
      <c r="K1379" s="25"/>
      <c r="L1379" s="25"/>
      <c r="M1379" s="22" t="s">
        <v>86</v>
      </c>
      <c r="N1379" s="23">
        <v>46083</v>
      </c>
      <c r="O1379" s="26" t="str">
        <f t="shared" si="66"/>
        <v/>
      </c>
      <c r="P1379" s="26" t="str">
        <f t="shared" si="67"/>
        <v/>
      </c>
      <c r="Q1379" s="26" t="str">
        <f t="shared" si="68"/>
        <v/>
      </c>
    </row>
    <row r="1380" spans="1:17" x14ac:dyDescent="0.3">
      <c r="A1380" s="35"/>
      <c r="B1380" s="25"/>
      <c r="C1380" s="25"/>
      <c r="D1380" s="25"/>
      <c r="E1380" s="25"/>
      <c r="F1380" s="25"/>
      <c r="G1380" s="25"/>
      <c r="H1380" s="25"/>
      <c r="I1380" s="25"/>
      <c r="J1380" s="25"/>
      <c r="K1380" s="25"/>
      <c r="L1380" s="25"/>
      <c r="M1380" s="22" t="s">
        <v>86</v>
      </c>
      <c r="N1380" s="23">
        <v>46083</v>
      </c>
      <c r="O1380" s="26" t="str">
        <f t="shared" si="66"/>
        <v/>
      </c>
      <c r="P1380" s="26" t="str">
        <f t="shared" si="67"/>
        <v/>
      </c>
      <c r="Q1380" s="26" t="str">
        <f t="shared" si="68"/>
        <v/>
      </c>
    </row>
    <row r="1381" spans="1:17" x14ac:dyDescent="0.3">
      <c r="A1381" s="35"/>
      <c r="B1381" s="25"/>
      <c r="C1381" s="25"/>
      <c r="D1381" s="25"/>
      <c r="E1381" s="25"/>
      <c r="F1381" s="25"/>
      <c r="G1381" s="25"/>
      <c r="H1381" s="25"/>
      <c r="I1381" s="25"/>
      <c r="J1381" s="25"/>
      <c r="K1381" s="25"/>
      <c r="L1381" s="25"/>
      <c r="M1381" s="22" t="s">
        <v>86</v>
      </c>
      <c r="N1381" s="23">
        <v>46083</v>
      </c>
      <c r="O1381" s="26" t="str">
        <f t="shared" si="66"/>
        <v/>
      </c>
      <c r="P1381" s="26" t="str">
        <f t="shared" si="67"/>
        <v/>
      </c>
      <c r="Q1381" s="26" t="str">
        <f t="shared" si="68"/>
        <v/>
      </c>
    </row>
    <row r="1382" spans="1:17" x14ac:dyDescent="0.3">
      <c r="A1382" s="35"/>
      <c r="B1382" s="25"/>
      <c r="C1382" s="25"/>
      <c r="D1382" s="25"/>
      <c r="E1382" s="25"/>
      <c r="F1382" s="25"/>
      <c r="G1382" s="25"/>
      <c r="H1382" s="25"/>
      <c r="I1382" s="25"/>
      <c r="J1382" s="25"/>
      <c r="K1382" s="25"/>
      <c r="L1382" s="25"/>
      <c r="M1382" s="22" t="s">
        <v>86</v>
      </c>
      <c r="N1382" s="23">
        <v>46083</v>
      </c>
      <c r="O1382" s="26" t="str">
        <f t="shared" si="66"/>
        <v/>
      </c>
      <c r="P1382" s="26" t="str">
        <f t="shared" si="67"/>
        <v/>
      </c>
      <c r="Q1382" s="26" t="str">
        <f t="shared" si="68"/>
        <v/>
      </c>
    </row>
    <row r="1383" spans="1:17" x14ac:dyDescent="0.3">
      <c r="A1383" s="35"/>
      <c r="B1383" s="25"/>
      <c r="C1383" s="25"/>
      <c r="D1383" s="25"/>
      <c r="E1383" s="25"/>
      <c r="F1383" s="25"/>
      <c r="G1383" s="25"/>
      <c r="H1383" s="25"/>
      <c r="I1383" s="25"/>
      <c r="J1383" s="25"/>
      <c r="K1383" s="25"/>
      <c r="L1383" s="25"/>
      <c r="M1383" s="22" t="s">
        <v>86</v>
      </c>
      <c r="N1383" s="23">
        <v>46083</v>
      </c>
      <c r="O1383" s="26" t="str">
        <f t="shared" si="66"/>
        <v/>
      </c>
      <c r="P1383" s="26" t="str">
        <f t="shared" si="67"/>
        <v/>
      </c>
      <c r="Q1383" s="26" t="str">
        <f t="shared" si="68"/>
        <v/>
      </c>
    </row>
    <row r="1384" spans="1:17" x14ac:dyDescent="0.3">
      <c r="A1384" s="35"/>
      <c r="B1384" s="25"/>
      <c r="C1384" s="25"/>
      <c r="D1384" s="25"/>
      <c r="E1384" s="25"/>
      <c r="F1384" s="25"/>
      <c r="G1384" s="25"/>
      <c r="H1384" s="25"/>
      <c r="I1384" s="25"/>
      <c r="J1384" s="25"/>
      <c r="K1384" s="25"/>
      <c r="L1384" s="25"/>
      <c r="M1384" s="22" t="s">
        <v>86</v>
      </c>
      <c r="N1384" s="23">
        <v>46083</v>
      </c>
      <c r="O1384" s="26" t="str">
        <f t="shared" si="66"/>
        <v/>
      </c>
      <c r="P1384" s="26" t="str">
        <f t="shared" si="67"/>
        <v/>
      </c>
      <c r="Q1384" s="26" t="str">
        <f t="shared" si="68"/>
        <v/>
      </c>
    </row>
    <row r="1385" spans="1:17" x14ac:dyDescent="0.3">
      <c r="A1385" s="35"/>
      <c r="B1385" s="25"/>
      <c r="C1385" s="25"/>
      <c r="D1385" s="25"/>
      <c r="E1385" s="25"/>
      <c r="F1385" s="25"/>
      <c r="G1385" s="25"/>
      <c r="H1385" s="25"/>
      <c r="I1385" s="25"/>
      <c r="J1385" s="25"/>
      <c r="K1385" s="25"/>
      <c r="L1385" s="25"/>
      <c r="M1385" s="22" t="s">
        <v>86</v>
      </c>
      <c r="N1385" s="23">
        <v>46083</v>
      </c>
      <c r="O1385" s="26" t="str">
        <f t="shared" si="66"/>
        <v/>
      </c>
      <c r="P1385" s="26" t="str">
        <f t="shared" si="67"/>
        <v/>
      </c>
      <c r="Q1385" s="26" t="str">
        <f t="shared" si="68"/>
        <v/>
      </c>
    </row>
    <row r="1386" spans="1:17" x14ac:dyDescent="0.3">
      <c r="A1386" s="35"/>
      <c r="B1386" s="25"/>
      <c r="C1386" s="25"/>
      <c r="D1386" s="25"/>
      <c r="E1386" s="25"/>
      <c r="F1386" s="25"/>
      <c r="G1386" s="25"/>
      <c r="H1386" s="25"/>
      <c r="I1386" s="25"/>
      <c r="J1386" s="25"/>
      <c r="K1386" s="25"/>
      <c r="L1386" s="25"/>
      <c r="M1386" s="22" t="s">
        <v>86</v>
      </c>
      <c r="N1386" s="23">
        <v>46083</v>
      </c>
      <c r="O1386" s="26" t="str">
        <f t="shared" si="66"/>
        <v/>
      </c>
      <c r="P1386" s="26" t="str">
        <f t="shared" si="67"/>
        <v/>
      </c>
      <c r="Q1386" s="26" t="str">
        <f t="shared" si="68"/>
        <v/>
      </c>
    </row>
    <row r="1387" spans="1:17" x14ac:dyDescent="0.3">
      <c r="A1387" s="35"/>
      <c r="B1387" s="25"/>
      <c r="C1387" s="25"/>
      <c r="D1387" s="25"/>
      <c r="E1387" s="25"/>
      <c r="F1387" s="25"/>
      <c r="G1387" s="25"/>
      <c r="H1387" s="25"/>
      <c r="I1387" s="25"/>
      <c r="J1387" s="25"/>
      <c r="K1387" s="25"/>
      <c r="L1387" s="25"/>
      <c r="M1387" s="22" t="s">
        <v>86</v>
      </c>
      <c r="N1387" s="23">
        <v>46083</v>
      </c>
      <c r="O1387" s="26" t="str">
        <f t="shared" si="66"/>
        <v/>
      </c>
      <c r="P1387" s="26" t="str">
        <f t="shared" si="67"/>
        <v/>
      </c>
      <c r="Q1387" s="26" t="str">
        <f t="shared" si="68"/>
        <v/>
      </c>
    </row>
    <row r="1388" spans="1:17" x14ac:dyDescent="0.3">
      <c r="A1388" s="35"/>
      <c r="B1388" s="25"/>
      <c r="C1388" s="25"/>
      <c r="D1388" s="25"/>
      <c r="E1388" s="25"/>
      <c r="F1388" s="25"/>
      <c r="G1388" s="25"/>
      <c r="H1388" s="25"/>
      <c r="I1388" s="25"/>
      <c r="J1388" s="25"/>
      <c r="K1388" s="25"/>
      <c r="L1388" s="25"/>
      <c r="M1388" s="22" t="s">
        <v>86</v>
      </c>
      <c r="N1388" s="23">
        <v>46083</v>
      </c>
      <c r="O1388" s="26" t="str">
        <f t="shared" si="66"/>
        <v/>
      </c>
      <c r="P1388" s="26" t="str">
        <f t="shared" si="67"/>
        <v/>
      </c>
      <c r="Q1388" s="26" t="str">
        <f t="shared" si="68"/>
        <v/>
      </c>
    </row>
    <row r="1389" spans="1:17" x14ac:dyDescent="0.3">
      <c r="A1389" s="35"/>
      <c r="B1389" s="25"/>
      <c r="C1389" s="25"/>
      <c r="D1389" s="25"/>
      <c r="E1389" s="25"/>
      <c r="F1389" s="25"/>
      <c r="G1389" s="25"/>
      <c r="H1389" s="25"/>
      <c r="I1389" s="25"/>
      <c r="J1389" s="25"/>
      <c r="K1389" s="25"/>
      <c r="L1389" s="25"/>
      <c r="M1389" s="22" t="s">
        <v>86</v>
      </c>
      <c r="N1389" s="23">
        <v>46083</v>
      </c>
      <c r="O1389" s="26" t="str">
        <f t="shared" si="66"/>
        <v/>
      </c>
      <c r="P1389" s="26" t="str">
        <f t="shared" si="67"/>
        <v/>
      </c>
      <c r="Q1389" s="26" t="str">
        <f t="shared" si="68"/>
        <v/>
      </c>
    </row>
    <row r="1390" spans="1:17" x14ac:dyDescent="0.3">
      <c r="A1390" s="35"/>
      <c r="B1390" s="25"/>
      <c r="C1390" s="25"/>
      <c r="D1390" s="25"/>
      <c r="E1390" s="25"/>
      <c r="F1390" s="25"/>
      <c r="G1390" s="25"/>
      <c r="H1390" s="25"/>
      <c r="I1390" s="25"/>
      <c r="J1390" s="25"/>
      <c r="K1390" s="25"/>
      <c r="L1390" s="25"/>
      <c r="M1390" s="22" t="s">
        <v>86</v>
      </c>
      <c r="N1390" s="23">
        <v>46083</v>
      </c>
      <c r="O1390" s="26" t="str">
        <f t="shared" si="66"/>
        <v/>
      </c>
      <c r="P1390" s="26" t="str">
        <f t="shared" si="67"/>
        <v/>
      </c>
      <c r="Q1390" s="26" t="str">
        <f t="shared" si="68"/>
        <v/>
      </c>
    </row>
    <row r="1391" spans="1:17" x14ac:dyDescent="0.3">
      <c r="A1391" s="35"/>
      <c r="B1391" s="25"/>
      <c r="C1391" s="25"/>
      <c r="D1391" s="25"/>
      <c r="E1391" s="25"/>
      <c r="F1391" s="25"/>
      <c r="G1391" s="25"/>
      <c r="H1391" s="25"/>
      <c r="I1391" s="25"/>
      <c r="J1391" s="25"/>
      <c r="K1391" s="25"/>
      <c r="L1391" s="25"/>
      <c r="M1391" s="22" t="s">
        <v>86</v>
      </c>
      <c r="N1391" s="23">
        <v>46083</v>
      </c>
      <c r="O1391" s="26" t="str">
        <f t="shared" si="66"/>
        <v/>
      </c>
      <c r="P1391" s="26" t="str">
        <f t="shared" si="67"/>
        <v/>
      </c>
      <c r="Q1391" s="26" t="str">
        <f t="shared" si="68"/>
        <v/>
      </c>
    </row>
    <row r="1392" spans="1:17" x14ac:dyDescent="0.3">
      <c r="A1392" s="35"/>
      <c r="B1392" s="25"/>
      <c r="C1392" s="25"/>
      <c r="D1392" s="25"/>
      <c r="E1392" s="25"/>
      <c r="F1392" s="25"/>
      <c r="G1392" s="25"/>
      <c r="H1392" s="25"/>
      <c r="I1392" s="25"/>
      <c r="J1392" s="25"/>
      <c r="K1392" s="25"/>
      <c r="L1392" s="25"/>
      <c r="M1392" s="22" t="s">
        <v>86</v>
      </c>
      <c r="N1392" s="23">
        <v>46083</v>
      </c>
      <c r="O1392" s="26" t="str">
        <f t="shared" si="66"/>
        <v/>
      </c>
      <c r="P1392" s="26" t="str">
        <f t="shared" si="67"/>
        <v/>
      </c>
      <c r="Q1392" s="26" t="str">
        <f t="shared" si="68"/>
        <v/>
      </c>
    </row>
    <row r="1393" spans="1:17" x14ac:dyDescent="0.3">
      <c r="A1393" s="35"/>
      <c r="B1393" s="25"/>
      <c r="C1393" s="25"/>
      <c r="D1393" s="25"/>
      <c r="E1393" s="25"/>
      <c r="F1393" s="25"/>
      <c r="G1393" s="25"/>
      <c r="H1393" s="25"/>
      <c r="I1393" s="25"/>
      <c r="J1393" s="25"/>
      <c r="K1393" s="25"/>
      <c r="L1393" s="25"/>
      <c r="M1393" s="22" t="s">
        <v>86</v>
      </c>
      <c r="N1393" s="23">
        <v>46083</v>
      </c>
      <c r="O1393" s="26" t="str">
        <f t="shared" si="66"/>
        <v/>
      </c>
      <c r="P1393" s="26" t="str">
        <f t="shared" si="67"/>
        <v/>
      </c>
      <c r="Q1393" s="26" t="str">
        <f t="shared" si="68"/>
        <v/>
      </c>
    </row>
    <row r="1394" spans="1:17" x14ac:dyDescent="0.3">
      <c r="A1394" s="35"/>
      <c r="B1394" s="25"/>
      <c r="C1394" s="25"/>
      <c r="D1394" s="25"/>
      <c r="E1394" s="25"/>
      <c r="F1394" s="25"/>
      <c r="G1394" s="25"/>
      <c r="H1394" s="25"/>
      <c r="I1394" s="25"/>
      <c r="J1394" s="25"/>
      <c r="K1394" s="25"/>
      <c r="L1394" s="25"/>
      <c r="M1394" s="22" t="s">
        <v>86</v>
      </c>
      <c r="N1394" s="23">
        <v>46083</v>
      </c>
      <c r="O1394" s="26" t="str">
        <f t="shared" si="66"/>
        <v/>
      </c>
      <c r="P1394" s="26" t="str">
        <f t="shared" si="67"/>
        <v/>
      </c>
      <c r="Q1394" s="26" t="str">
        <f t="shared" si="68"/>
        <v/>
      </c>
    </row>
    <row r="1395" spans="1:17" x14ac:dyDescent="0.3">
      <c r="A1395" s="35"/>
      <c r="B1395" s="25"/>
      <c r="C1395" s="25"/>
      <c r="D1395" s="25"/>
      <c r="E1395" s="25"/>
      <c r="F1395" s="25"/>
      <c r="G1395" s="25"/>
      <c r="H1395" s="25"/>
      <c r="I1395" s="25"/>
      <c r="J1395" s="25"/>
      <c r="K1395" s="25"/>
      <c r="L1395" s="25"/>
      <c r="M1395" s="22" t="s">
        <v>86</v>
      </c>
      <c r="N1395" s="23">
        <v>46083</v>
      </c>
      <c r="O1395" s="26" t="str">
        <f t="shared" si="66"/>
        <v/>
      </c>
      <c r="P1395" s="26" t="str">
        <f t="shared" si="67"/>
        <v/>
      </c>
      <c r="Q1395" s="26" t="str">
        <f t="shared" si="68"/>
        <v/>
      </c>
    </row>
    <row r="1396" spans="1:17" x14ac:dyDescent="0.3">
      <c r="A1396" s="35"/>
      <c r="B1396" s="25"/>
      <c r="C1396" s="25"/>
      <c r="D1396" s="25"/>
      <c r="E1396" s="25"/>
      <c r="F1396" s="25"/>
      <c r="G1396" s="25"/>
      <c r="H1396" s="25"/>
      <c r="I1396" s="25"/>
      <c r="J1396" s="25"/>
      <c r="K1396" s="25"/>
      <c r="L1396" s="25"/>
      <c r="M1396" s="22" t="s">
        <v>86</v>
      </c>
      <c r="N1396" s="23">
        <v>46083</v>
      </c>
      <c r="O1396" s="26" t="str">
        <f t="shared" si="66"/>
        <v/>
      </c>
      <c r="P1396" s="26" t="str">
        <f t="shared" si="67"/>
        <v/>
      </c>
      <c r="Q1396" s="26" t="str">
        <f t="shared" si="68"/>
        <v/>
      </c>
    </row>
    <row r="1397" spans="1:17" x14ac:dyDescent="0.3">
      <c r="A1397" s="35"/>
      <c r="B1397" s="25"/>
      <c r="C1397" s="25"/>
      <c r="D1397" s="25"/>
      <c r="E1397" s="25"/>
      <c r="F1397" s="25"/>
      <c r="G1397" s="25"/>
      <c r="H1397" s="25"/>
      <c r="I1397" s="25"/>
      <c r="J1397" s="25"/>
      <c r="K1397" s="25"/>
      <c r="L1397" s="25"/>
      <c r="M1397" s="22" t="s">
        <v>86</v>
      </c>
      <c r="N1397" s="23">
        <v>46083</v>
      </c>
      <c r="O1397" s="26" t="str">
        <f t="shared" si="66"/>
        <v/>
      </c>
      <c r="P1397" s="26" t="str">
        <f t="shared" si="67"/>
        <v/>
      </c>
      <c r="Q1397" s="26" t="str">
        <f t="shared" si="68"/>
        <v/>
      </c>
    </row>
    <row r="1398" spans="1:17" x14ac:dyDescent="0.3">
      <c r="A1398" s="35"/>
      <c r="B1398" s="25"/>
      <c r="C1398" s="25"/>
      <c r="D1398" s="25"/>
      <c r="E1398" s="25"/>
      <c r="F1398" s="25"/>
      <c r="G1398" s="25"/>
      <c r="H1398" s="25"/>
      <c r="I1398" s="25"/>
      <c r="J1398" s="25"/>
      <c r="K1398" s="25"/>
      <c r="L1398" s="25"/>
      <c r="M1398" s="22" t="s">
        <v>86</v>
      </c>
      <c r="N1398" s="23">
        <v>46083</v>
      </c>
      <c r="O1398" s="26" t="str">
        <f t="shared" si="66"/>
        <v/>
      </c>
      <c r="P1398" s="26" t="str">
        <f t="shared" si="67"/>
        <v/>
      </c>
      <c r="Q1398" s="26" t="str">
        <f t="shared" si="68"/>
        <v/>
      </c>
    </row>
    <row r="1399" spans="1:17" x14ac:dyDescent="0.3">
      <c r="A1399" s="35"/>
      <c r="B1399" s="25"/>
      <c r="C1399" s="25"/>
      <c r="D1399" s="25"/>
      <c r="E1399" s="25"/>
      <c r="F1399" s="25"/>
      <c r="G1399" s="25"/>
      <c r="H1399" s="25"/>
      <c r="I1399" s="25"/>
      <c r="J1399" s="25"/>
      <c r="K1399" s="25"/>
      <c r="L1399" s="25"/>
      <c r="M1399" s="22" t="s">
        <v>86</v>
      </c>
      <c r="N1399" s="23">
        <v>46083</v>
      </c>
      <c r="O1399" s="26" t="str">
        <f t="shared" si="66"/>
        <v/>
      </c>
      <c r="P1399" s="26" t="str">
        <f t="shared" si="67"/>
        <v/>
      </c>
      <c r="Q1399" s="26" t="str">
        <f t="shared" si="68"/>
        <v/>
      </c>
    </row>
    <row r="1400" spans="1:17" x14ac:dyDescent="0.3">
      <c r="A1400" s="35"/>
      <c r="B1400" s="25"/>
      <c r="C1400" s="25"/>
      <c r="D1400" s="25"/>
      <c r="E1400" s="25"/>
      <c r="F1400" s="25"/>
      <c r="G1400" s="25"/>
      <c r="H1400" s="25"/>
      <c r="I1400" s="25"/>
      <c r="J1400" s="25"/>
      <c r="K1400" s="25"/>
      <c r="L1400" s="25"/>
      <c r="M1400" s="22" t="s">
        <v>86</v>
      </c>
      <c r="N1400" s="23">
        <v>46083</v>
      </c>
      <c r="O1400" s="26" t="str">
        <f t="shared" si="66"/>
        <v/>
      </c>
      <c r="P1400" s="26" t="str">
        <f t="shared" si="67"/>
        <v/>
      </c>
      <c r="Q1400" s="26" t="str">
        <f t="shared" si="68"/>
        <v/>
      </c>
    </row>
    <row r="1401" spans="1:17" x14ac:dyDescent="0.3">
      <c r="A1401" s="35"/>
      <c r="B1401" s="25"/>
      <c r="C1401" s="25"/>
      <c r="D1401" s="25"/>
      <c r="E1401" s="25"/>
      <c r="F1401" s="25"/>
      <c r="G1401" s="25"/>
      <c r="H1401" s="25"/>
      <c r="I1401" s="25"/>
      <c r="J1401" s="25"/>
      <c r="K1401" s="25"/>
      <c r="L1401" s="25"/>
      <c r="M1401" s="22" t="s">
        <v>86</v>
      </c>
      <c r="N1401" s="23">
        <v>46083</v>
      </c>
      <c r="O1401" s="26" t="str">
        <f t="shared" si="66"/>
        <v/>
      </c>
      <c r="P1401" s="26" t="str">
        <f t="shared" si="67"/>
        <v/>
      </c>
      <c r="Q1401" s="26" t="str">
        <f t="shared" si="68"/>
        <v/>
      </c>
    </row>
    <row r="1402" spans="1:17" x14ac:dyDescent="0.3">
      <c r="A1402" s="35"/>
      <c r="B1402" s="25"/>
      <c r="C1402" s="25"/>
      <c r="D1402" s="25"/>
      <c r="E1402" s="25"/>
      <c r="F1402" s="25"/>
      <c r="G1402" s="25"/>
      <c r="H1402" s="25"/>
      <c r="I1402" s="25"/>
      <c r="J1402" s="25"/>
      <c r="K1402" s="25"/>
      <c r="L1402" s="25"/>
      <c r="M1402" s="22" t="s">
        <v>86</v>
      </c>
      <c r="N1402" s="23">
        <v>46083</v>
      </c>
      <c r="O1402" s="26" t="str">
        <f t="shared" si="66"/>
        <v/>
      </c>
      <c r="P1402" s="26" t="str">
        <f t="shared" si="67"/>
        <v/>
      </c>
      <c r="Q1402" s="26" t="str">
        <f t="shared" si="68"/>
        <v/>
      </c>
    </row>
    <row r="1403" spans="1:17" x14ac:dyDescent="0.3">
      <c r="A1403" s="35"/>
      <c r="B1403" s="25"/>
      <c r="C1403" s="25"/>
      <c r="D1403" s="25"/>
      <c r="E1403" s="25"/>
      <c r="F1403" s="25"/>
      <c r="G1403" s="25"/>
      <c r="H1403" s="25"/>
      <c r="I1403" s="25"/>
      <c r="J1403" s="25"/>
      <c r="K1403" s="25"/>
      <c r="L1403" s="25"/>
      <c r="M1403" s="22" t="s">
        <v>86</v>
      </c>
      <c r="N1403" s="23">
        <v>46083</v>
      </c>
      <c r="O1403" s="26" t="str">
        <f t="shared" si="66"/>
        <v/>
      </c>
      <c r="P1403" s="26" t="str">
        <f t="shared" si="67"/>
        <v/>
      </c>
      <c r="Q1403" s="26" t="str">
        <f t="shared" si="68"/>
        <v/>
      </c>
    </row>
    <row r="1404" spans="1:17" x14ac:dyDescent="0.3">
      <c r="A1404" s="35"/>
      <c r="B1404" s="25"/>
      <c r="C1404" s="25"/>
      <c r="D1404" s="25"/>
      <c r="E1404" s="25"/>
      <c r="F1404" s="25"/>
      <c r="G1404" s="25"/>
      <c r="H1404" s="25"/>
      <c r="I1404" s="25"/>
      <c r="J1404" s="25"/>
      <c r="K1404" s="25"/>
      <c r="L1404" s="25"/>
      <c r="M1404" s="22" t="s">
        <v>86</v>
      </c>
      <c r="N1404" s="23">
        <v>46083</v>
      </c>
      <c r="O1404" s="26" t="str">
        <f t="shared" si="66"/>
        <v/>
      </c>
      <c r="P1404" s="26" t="str">
        <f t="shared" si="67"/>
        <v/>
      </c>
      <c r="Q1404" s="26" t="str">
        <f t="shared" si="68"/>
        <v/>
      </c>
    </row>
    <row r="1405" spans="1:17" x14ac:dyDescent="0.3">
      <c r="A1405" s="35"/>
      <c r="B1405" s="25"/>
      <c r="C1405" s="25"/>
      <c r="D1405" s="25"/>
      <c r="E1405" s="25"/>
      <c r="F1405" s="25"/>
      <c r="G1405" s="25"/>
      <c r="H1405" s="25"/>
      <c r="I1405" s="25"/>
      <c r="J1405" s="25"/>
      <c r="K1405" s="25"/>
      <c r="L1405" s="25"/>
      <c r="M1405" s="22" t="s">
        <v>86</v>
      </c>
      <c r="N1405" s="23">
        <v>46083</v>
      </c>
      <c r="O1405" s="26" t="str">
        <f t="shared" si="66"/>
        <v/>
      </c>
      <c r="P1405" s="26" t="str">
        <f t="shared" si="67"/>
        <v/>
      </c>
      <c r="Q1405" s="26" t="str">
        <f t="shared" si="68"/>
        <v/>
      </c>
    </row>
    <row r="1406" spans="1:17" x14ac:dyDescent="0.3">
      <c r="A1406" s="35"/>
      <c r="B1406" s="25"/>
      <c r="C1406" s="25"/>
      <c r="D1406" s="25"/>
      <c r="E1406" s="25"/>
      <c r="F1406" s="25"/>
      <c r="G1406" s="25"/>
      <c r="H1406" s="25"/>
      <c r="I1406" s="25"/>
      <c r="J1406" s="25"/>
      <c r="K1406" s="25"/>
      <c r="L1406" s="25"/>
      <c r="M1406" s="22" t="s">
        <v>86</v>
      </c>
      <c r="N1406" s="23">
        <v>46083</v>
      </c>
      <c r="O1406" s="26" t="str">
        <f t="shared" si="66"/>
        <v/>
      </c>
      <c r="P1406" s="26" t="str">
        <f t="shared" si="67"/>
        <v/>
      </c>
      <c r="Q1406" s="26" t="str">
        <f t="shared" si="68"/>
        <v/>
      </c>
    </row>
    <row r="1407" spans="1:17" x14ac:dyDescent="0.3">
      <c r="A1407" s="35"/>
      <c r="B1407" s="25"/>
      <c r="C1407" s="25"/>
      <c r="D1407" s="25"/>
      <c r="E1407" s="25"/>
      <c r="F1407" s="25"/>
      <c r="G1407" s="25"/>
      <c r="H1407" s="25"/>
      <c r="I1407" s="25"/>
      <c r="J1407" s="25"/>
      <c r="K1407" s="25"/>
      <c r="L1407" s="25"/>
      <c r="M1407" s="22" t="s">
        <v>86</v>
      </c>
      <c r="N1407" s="23">
        <v>46083</v>
      </c>
      <c r="O1407" s="26" t="str">
        <f t="shared" si="66"/>
        <v/>
      </c>
      <c r="P1407" s="26" t="str">
        <f t="shared" si="67"/>
        <v/>
      </c>
      <c r="Q1407" s="26" t="str">
        <f t="shared" si="68"/>
        <v/>
      </c>
    </row>
    <row r="1408" spans="1:17" x14ac:dyDescent="0.3">
      <c r="A1408" s="35"/>
      <c r="B1408" s="25"/>
      <c r="C1408" s="25"/>
      <c r="D1408" s="25"/>
      <c r="E1408" s="25"/>
      <c r="F1408" s="25"/>
      <c r="G1408" s="25"/>
      <c r="H1408" s="25"/>
      <c r="I1408" s="25"/>
      <c r="J1408" s="25"/>
      <c r="K1408" s="25"/>
      <c r="L1408" s="25"/>
      <c r="M1408" s="22" t="s">
        <v>86</v>
      </c>
      <c r="N1408" s="23">
        <v>46083</v>
      </c>
      <c r="O1408" s="26" t="str">
        <f t="shared" si="66"/>
        <v/>
      </c>
      <c r="P1408" s="26" t="str">
        <f t="shared" si="67"/>
        <v/>
      </c>
      <c r="Q1408" s="26" t="str">
        <f t="shared" si="68"/>
        <v/>
      </c>
    </row>
    <row r="1409" spans="1:17" x14ac:dyDescent="0.3">
      <c r="A1409" s="35"/>
      <c r="B1409" s="25"/>
      <c r="C1409" s="25"/>
      <c r="D1409" s="25"/>
      <c r="E1409" s="25"/>
      <c r="F1409" s="25"/>
      <c r="G1409" s="25"/>
      <c r="H1409" s="25"/>
      <c r="I1409" s="25"/>
      <c r="J1409" s="25"/>
      <c r="K1409" s="25"/>
      <c r="L1409" s="25"/>
      <c r="M1409" s="22" t="s">
        <v>86</v>
      </c>
      <c r="N1409" s="23">
        <v>46083</v>
      </c>
      <c r="O1409" s="26" t="str">
        <f t="shared" si="66"/>
        <v/>
      </c>
      <c r="P1409" s="26" t="str">
        <f t="shared" si="67"/>
        <v/>
      </c>
      <c r="Q1409" s="26" t="str">
        <f t="shared" si="68"/>
        <v/>
      </c>
    </row>
    <row r="1410" spans="1:17" x14ac:dyDescent="0.3">
      <c r="A1410" s="35"/>
      <c r="B1410" s="25"/>
      <c r="C1410" s="25"/>
      <c r="D1410" s="25"/>
      <c r="E1410" s="25"/>
      <c r="F1410" s="25"/>
      <c r="G1410" s="25"/>
      <c r="H1410" s="25"/>
      <c r="I1410" s="25"/>
      <c r="J1410" s="25"/>
      <c r="K1410" s="25"/>
      <c r="L1410" s="25"/>
      <c r="M1410" s="22" t="s">
        <v>86</v>
      </c>
      <c r="N1410" s="23">
        <v>46083</v>
      </c>
      <c r="O1410" s="26" t="str">
        <f t="shared" ref="O1410:O1473" si="69">IF(A1410="","",IFERROR(IF(AND(LEN(A1410)=10,NOT(ISERROR(VALUE(A1410)))),"OK","확인"),"확인"))</f>
        <v/>
      </c>
      <c r="P1410" s="26" t="str">
        <f t="shared" ref="P1410:P1473" si="70">IF(A1410="","",IF(COUNTIF($A$2:$A$1946,A1410)&gt;1,"중복",""))</f>
        <v/>
      </c>
      <c r="Q1410" s="26" t="str">
        <f t="shared" ref="Q1410:Q1473" si="71">IF(G1410="","",IF(ISNUMBER(SEARCH("@",G1410)),"","확인"))</f>
        <v/>
      </c>
    </row>
    <row r="1411" spans="1:17" x14ac:dyDescent="0.3">
      <c r="A1411" s="35"/>
      <c r="B1411" s="25"/>
      <c r="C1411" s="25"/>
      <c r="D1411" s="25"/>
      <c r="E1411" s="25"/>
      <c r="F1411" s="25"/>
      <c r="G1411" s="25"/>
      <c r="H1411" s="25"/>
      <c r="I1411" s="25"/>
      <c r="J1411" s="25"/>
      <c r="K1411" s="25"/>
      <c r="L1411" s="25"/>
      <c r="M1411" s="22" t="s">
        <v>86</v>
      </c>
      <c r="N1411" s="23">
        <v>46083</v>
      </c>
      <c r="O1411" s="26" t="str">
        <f t="shared" si="69"/>
        <v/>
      </c>
      <c r="P1411" s="26" t="str">
        <f t="shared" si="70"/>
        <v/>
      </c>
      <c r="Q1411" s="26" t="str">
        <f t="shared" si="71"/>
        <v/>
      </c>
    </row>
    <row r="1412" spans="1:17" x14ac:dyDescent="0.3">
      <c r="A1412" s="35"/>
      <c r="B1412" s="25"/>
      <c r="C1412" s="25"/>
      <c r="D1412" s="25"/>
      <c r="E1412" s="25"/>
      <c r="F1412" s="25"/>
      <c r="G1412" s="25"/>
      <c r="H1412" s="25"/>
      <c r="I1412" s="25"/>
      <c r="J1412" s="25"/>
      <c r="K1412" s="25"/>
      <c r="L1412" s="25"/>
      <c r="M1412" s="22" t="s">
        <v>86</v>
      </c>
      <c r="N1412" s="23">
        <v>46083</v>
      </c>
      <c r="O1412" s="26" t="str">
        <f t="shared" si="69"/>
        <v/>
      </c>
      <c r="P1412" s="26" t="str">
        <f t="shared" si="70"/>
        <v/>
      </c>
      <c r="Q1412" s="26" t="str">
        <f t="shared" si="71"/>
        <v/>
      </c>
    </row>
    <row r="1413" spans="1:17" x14ac:dyDescent="0.3">
      <c r="A1413" s="35"/>
      <c r="B1413" s="25"/>
      <c r="C1413" s="25"/>
      <c r="D1413" s="25"/>
      <c r="E1413" s="25"/>
      <c r="F1413" s="25"/>
      <c r="G1413" s="25"/>
      <c r="H1413" s="25"/>
      <c r="I1413" s="25"/>
      <c r="J1413" s="25"/>
      <c r="K1413" s="25"/>
      <c r="L1413" s="25"/>
      <c r="M1413" s="22" t="s">
        <v>86</v>
      </c>
      <c r="N1413" s="23">
        <v>46083</v>
      </c>
      <c r="O1413" s="26" t="str">
        <f t="shared" si="69"/>
        <v/>
      </c>
      <c r="P1413" s="26" t="str">
        <f t="shared" si="70"/>
        <v/>
      </c>
      <c r="Q1413" s="26" t="str">
        <f t="shared" si="71"/>
        <v/>
      </c>
    </row>
    <row r="1414" spans="1:17" x14ac:dyDescent="0.3">
      <c r="A1414" s="35"/>
      <c r="B1414" s="25"/>
      <c r="C1414" s="25"/>
      <c r="D1414" s="25"/>
      <c r="E1414" s="25"/>
      <c r="F1414" s="25"/>
      <c r="G1414" s="25"/>
      <c r="H1414" s="25"/>
      <c r="I1414" s="25"/>
      <c r="J1414" s="25"/>
      <c r="K1414" s="25"/>
      <c r="L1414" s="25"/>
      <c r="M1414" s="22" t="s">
        <v>86</v>
      </c>
      <c r="N1414" s="23">
        <v>46083</v>
      </c>
      <c r="O1414" s="26" t="str">
        <f t="shared" si="69"/>
        <v/>
      </c>
      <c r="P1414" s="26" t="str">
        <f t="shared" si="70"/>
        <v/>
      </c>
      <c r="Q1414" s="26" t="str">
        <f t="shared" si="71"/>
        <v/>
      </c>
    </row>
    <row r="1415" spans="1:17" x14ac:dyDescent="0.3">
      <c r="A1415" s="35"/>
      <c r="B1415" s="25"/>
      <c r="C1415" s="25"/>
      <c r="D1415" s="25"/>
      <c r="E1415" s="25"/>
      <c r="F1415" s="25"/>
      <c r="G1415" s="25"/>
      <c r="H1415" s="25"/>
      <c r="I1415" s="25"/>
      <c r="J1415" s="25"/>
      <c r="K1415" s="25"/>
      <c r="L1415" s="25"/>
      <c r="M1415" s="22" t="s">
        <v>86</v>
      </c>
      <c r="N1415" s="23">
        <v>46083</v>
      </c>
      <c r="O1415" s="26" t="str">
        <f t="shared" si="69"/>
        <v/>
      </c>
      <c r="P1415" s="26" t="str">
        <f t="shared" si="70"/>
        <v/>
      </c>
      <c r="Q1415" s="26" t="str">
        <f t="shared" si="71"/>
        <v/>
      </c>
    </row>
    <row r="1416" spans="1:17" x14ac:dyDescent="0.3">
      <c r="A1416" s="35"/>
      <c r="B1416" s="25"/>
      <c r="C1416" s="25"/>
      <c r="D1416" s="25"/>
      <c r="E1416" s="25"/>
      <c r="F1416" s="25"/>
      <c r="G1416" s="25"/>
      <c r="H1416" s="25"/>
      <c r="I1416" s="25"/>
      <c r="J1416" s="25"/>
      <c r="K1416" s="25"/>
      <c r="L1416" s="25"/>
      <c r="M1416" s="22" t="s">
        <v>86</v>
      </c>
      <c r="N1416" s="23">
        <v>46083</v>
      </c>
      <c r="O1416" s="26" t="str">
        <f t="shared" si="69"/>
        <v/>
      </c>
      <c r="P1416" s="26" t="str">
        <f t="shared" si="70"/>
        <v/>
      </c>
      <c r="Q1416" s="26" t="str">
        <f t="shared" si="71"/>
        <v/>
      </c>
    </row>
    <row r="1417" spans="1:17" x14ac:dyDescent="0.3">
      <c r="A1417" s="35"/>
      <c r="B1417" s="25"/>
      <c r="C1417" s="25"/>
      <c r="D1417" s="25"/>
      <c r="E1417" s="25"/>
      <c r="F1417" s="25"/>
      <c r="G1417" s="25"/>
      <c r="H1417" s="25"/>
      <c r="I1417" s="25"/>
      <c r="J1417" s="25"/>
      <c r="K1417" s="25"/>
      <c r="L1417" s="25"/>
      <c r="M1417" s="22" t="s">
        <v>86</v>
      </c>
      <c r="N1417" s="23">
        <v>46083</v>
      </c>
      <c r="O1417" s="26" t="str">
        <f t="shared" si="69"/>
        <v/>
      </c>
      <c r="P1417" s="26" t="str">
        <f t="shared" si="70"/>
        <v/>
      </c>
      <c r="Q1417" s="26" t="str">
        <f t="shared" si="71"/>
        <v/>
      </c>
    </row>
    <row r="1418" spans="1:17" x14ac:dyDescent="0.3">
      <c r="A1418" s="35"/>
      <c r="B1418" s="25"/>
      <c r="C1418" s="25"/>
      <c r="D1418" s="25"/>
      <c r="E1418" s="25"/>
      <c r="F1418" s="25"/>
      <c r="G1418" s="25"/>
      <c r="H1418" s="25"/>
      <c r="I1418" s="25"/>
      <c r="J1418" s="25"/>
      <c r="K1418" s="25"/>
      <c r="L1418" s="25"/>
      <c r="M1418" s="22" t="s">
        <v>86</v>
      </c>
      <c r="N1418" s="23">
        <v>46083</v>
      </c>
      <c r="O1418" s="26" t="str">
        <f t="shared" si="69"/>
        <v/>
      </c>
      <c r="P1418" s="26" t="str">
        <f t="shared" si="70"/>
        <v/>
      </c>
      <c r="Q1418" s="26" t="str">
        <f t="shared" si="71"/>
        <v/>
      </c>
    </row>
    <row r="1419" spans="1:17" x14ac:dyDescent="0.3">
      <c r="A1419" s="35"/>
      <c r="B1419" s="25"/>
      <c r="C1419" s="25"/>
      <c r="D1419" s="25"/>
      <c r="E1419" s="25"/>
      <c r="F1419" s="25"/>
      <c r="G1419" s="25"/>
      <c r="H1419" s="25"/>
      <c r="I1419" s="25"/>
      <c r="J1419" s="25"/>
      <c r="K1419" s="25"/>
      <c r="L1419" s="25"/>
      <c r="M1419" s="22" t="s">
        <v>86</v>
      </c>
      <c r="N1419" s="23">
        <v>46083</v>
      </c>
      <c r="O1419" s="26" t="str">
        <f t="shared" si="69"/>
        <v/>
      </c>
      <c r="P1419" s="26" t="str">
        <f t="shared" si="70"/>
        <v/>
      </c>
      <c r="Q1419" s="26" t="str">
        <f t="shared" si="71"/>
        <v/>
      </c>
    </row>
    <row r="1420" spans="1:17" x14ac:dyDescent="0.3">
      <c r="A1420" s="35"/>
      <c r="B1420" s="25"/>
      <c r="C1420" s="25"/>
      <c r="D1420" s="25"/>
      <c r="E1420" s="25"/>
      <c r="F1420" s="25"/>
      <c r="G1420" s="25"/>
      <c r="H1420" s="25"/>
      <c r="I1420" s="25"/>
      <c r="J1420" s="25"/>
      <c r="K1420" s="25"/>
      <c r="L1420" s="25"/>
      <c r="M1420" s="22" t="s">
        <v>86</v>
      </c>
      <c r="N1420" s="23">
        <v>46083</v>
      </c>
      <c r="O1420" s="26" t="str">
        <f t="shared" si="69"/>
        <v/>
      </c>
      <c r="P1420" s="26" t="str">
        <f t="shared" si="70"/>
        <v/>
      </c>
      <c r="Q1420" s="26" t="str">
        <f t="shared" si="71"/>
        <v/>
      </c>
    </row>
    <row r="1421" spans="1:17" x14ac:dyDescent="0.3">
      <c r="A1421" s="35"/>
      <c r="B1421" s="25"/>
      <c r="C1421" s="25"/>
      <c r="D1421" s="25"/>
      <c r="E1421" s="25"/>
      <c r="F1421" s="25"/>
      <c r="G1421" s="25"/>
      <c r="H1421" s="25"/>
      <c r="I1421" s="25"/>
      <c r="J1421" s="25"/>
      <c r="K1421" s="25"/>
      <c r="L1421" s="25"/>
      <c r="M1421" s="22" t="s">
        <v>86</v>
      </c>
      <c r="N1421" s="23">
        <v>46083</v>
      </c>
      <c r="O1421" s="26" t="str">
        <f t="shared" si="69"/>
        <v/>
      </c>
      <c r="P1421" s="26" t="str">
        <f t="shared" si="70"/>
        <v/>
      </c>
      <c r="Q1421" s="26" t="str">
        <f t="shared" si="71"/>
        <v/>
      </c>
    </row>
    <row r="1422" spans="1:17" x14ac:dyDescent="0.3">
      <c r="A1422" s="35"/>
      <c r="B1422" s="25"/>
      <c r="C1422" s="25"/>
      <c r="D1422" s="25"/>
      <c r="E1422" s="25"/>
      <c r="F1422" s="25"/>
      <c r="G1422" s="25"/>
      <c r="H1422" s="25"/>
      <c r="I1422" s="25"/>
      <c r="J1422" s="25"/>
      <c r="K1422" s="25"/>
      <c r="L1422" s="25"/>
      <c r="M1422" s="22" t="s">
        <v>86</v>
      </c>
      <c r="N1422" s="23">
        <v>46083</v>
      </c>
      <c r="O1422" s="26" t="str">
        <f t="shared" si="69"/>
        <v/>
      </c>
      <c r="P1422" s="26" t="str">
        <f t="shared" si="70"/>
        <v/>
      </c>
      <c r="Q1422" s="26" t="str">
        <f t="shared" si="71"/>
        <v/>
      </c>
    </row>
    <row r="1423" spans="1:17" x14ac:dyDescent="0.3">
      <c r="A1423" s="35"/>
      <c r="B1423" s="25"/>
      <c r="C1423" s="25"/>
      <c r="D1423" s="25"/>
      <c r="E1423" s="25"/>
      <c r="F1423" s="25"/>
      <c r="G1423" s="25"/>
      <c r="H1423" s="25"/>
      <c r="I1423" s="25"/>
      <c r="J1423" s="25"/>
      <c r="K1423" s="25"/>
      <c r="L1423" s="25"/>
      <c r="M1423" s="22" t="s">
        <v>86</v>
      </c>
      <c r="N1423" s="23">
        <v>46083</v>
      </c>
      <c r="O1423" s="26" t="str">
        <f t="shared" si="69"/>
        <v/>
      </c>
      <c r="P1423" s="26" t="str">
        <f t="shared" si="70"/>
        <v/>
      </c>
      <c r="Q1423" s="26" t="str">
        <f t="shared" si="71"/>
        <v/>
      </c>
    </row>
    <row r="1424" spans="1:17" x14ac:dyDescent="0.3">
      <c r="A1424" s="35"/>
      <c r="B1424" s="25"/>
      <c r="C1424" s="25"/>
      <c r="D1424" s="25"/>
      <c r="E1424" s="25"/>
      <c r="F1424" s="25"/>
      <c r="G1424" s="25"/>
      <c r="H1424" s="25"/>
      <c r="I1424" s="25"/>
      <c r="J1424" s="25"/>
      <c r="K1424" s="25"/>
      <c r="L1424" s="25"/>
      <c r="M1424" s="22" t="s">
        <v>86</v>
      </c>
      <c r="N1424" s="23">
        <v>46083</v>
      </c>
      <c r="O1424" s="26" t="str">
        <f t="shared" si="69"/>
        <v/>
      </c>
      <c r="P1424" s="26" t="str">
        <f t="shared" si="70"/>
        <v/>
      </c>
      <c r="Q1424" s="26" t="str">
        <f t="shared" si="71"/>
        <v/>
      </c>
    </row>
    <row r="1425" spans="1:17" x14ac:dyDescent="0.3">
      <c r="A1425" s="35"/>
      <c r="B1425" s="25"/>
      <c r="C1425" s="25"/>
      <c r="D1425" s="25"/>
      <c r="E1425" s="25"/>
      <c r="F1425" s="25"/>
      <c r="G1425" s="25"/>
      <c r="H1425" s="25"/>
      <c r="I1425" s="25"/>
      <c r="J1425" s="25"/>
      <c r="K1425" s="25"/>
      <c r="L1425" s="25"/>
      <c r="M1425" s="22" t="s">
        <v>86</v>
      </c>
      <c r="N1425" s="23">
        <v>46083</v>
      </c>
      <c r="O1425" s="26" t="str">
        <f t="shared" si="69"/>
        <v/>
      </c>
      <c r="P1425" s="26" t="str">
        <f t="shared" si="70"/>
        <v/>
      </c>
      <c r="Q1425" s="26" t="str">
        <f t="shared" si="71"/>
        <v/>
      </c>
    </row>
    <row r="1426" spans="1:17" x14ac:dyDescent="0.3">
      <c r="A1426" s="35"/>
      <c r="B1426" s="25"/>
      <c r="C1426" s="25"/>
      <c r="D1426" s="25"/>
      <c r="E1426" s="25"/>
      <c r="F1426" s="25"/>
      <c r="G1426" s="25"/>
      <c r="H1426" s="25"/>
      <c r="I1426" s="25"/>
      <c r="J1426" s="25"/>
      <c r="K1426" s="25"/>
      <c r="L1426" s="25"/>
      <c r="M1426" s="22" t="s">
        <v>86</v>
      </c>
      <c r="N1426" s="23">
        <v>46083</v>
      </c>
      <c r="O1426" s="26" t="str">
        <f t="shared" si="69"/>
        <v/>
      </c>
      <c r="P1426" s="26" t="str">
        <f t="shared" si="70"/>
        <v/>
      </c>
      <c r="Q1426" s="26" t="str">
        <f t="shared" si="71"/>
        <v/>
      </c>
    </row>
    <row r="1427" spans="1:17" x14ac:dyDescent="0.3">
      <c r="A1427" s="35"/>
      <c r="B1427" s="25"/>
      <c r="C1427" s="25"/>
      <c r="D1427" s="25"/>
      <c r="E1427" s="25"/>
      <c r="F1427" s="25"/>
      <c r="G1427" s="25"/>
      <c r="H1427" s="25"/>
      <c r="I1427" s="25"/>
      <c r="J1427" s="25"/>
      <c r="K1427" s="25"/>
      <c r="L1427" s="25"/>
      <c r="M1427" s="22" t="s">
        <v>86</v>
      </c>
      <c r="N1427" s="23">
        <v>46083</v>
      </c>
      <c r="O1427" s="26" t="str">
        <f t="shared" si="69"/>
        <v/>
      </c>
      <c r="P1427" s="26" t="str">
        <f t="shared" si="70"/>
        <v/>
      </c>
      <c r="Q1427" s="26" t="str">
        <f t="shared" si="71"/>
        <v/>
      </c>
    </row>
    <row r="1428" spans="1:17" x14ac:dyDescent="0.3">
      <c r="A1428" s="35"/>
      <c r="B1428" s="25"/>
      <c r="C1428" s="25"/>
      <c r="D1428" s="25"/>
      <c r="E1428" s="25"/>
      <c r="F1428" s="25"/>
      <c r="G1428" s="25"/>
      <c r="H1428" s="25"/>
      <c r="I1428" s="25"/>
      <c r="J1428" s="25"/>
      <c r="K1428" s="25"/>
      <c r="L1428" s="25"/>
      <c r="M1428" s="22" t="s">
        <v>86</v>
      </c>
      <c r="N1428" s="23">
        <v>46083</v>
      </c>
      <c r="O1428" s="26" t="str">
        <f t="shared" si="69"/>
        <v/>
      </c>
      <c r="P1428" s="26" t="str">
        <f t="shared" si="70"/>
        <v/>
      </c>
      <c r="Q1428" s="26" t="str">
        <f t="shared" si="71"/>
        <v/>
      </c>
    </row>
    <row r="1429" spans="1:17" x14ac:dyDescent="0.3">
      <c r="A1429" s="35"/>
      <c r="B1429" s="25"/>
      <c r="C1429" s="25"/>
      <c r="D1429" s="25"/>
      <c r="E1429" s="25"/>
      <c r="F1429" s="25"/>
      <c r="G1429" s="25"/>
      <c r="H1429" s="25"/>
      <c r="I1429" s="25"/>
      <c r="J1429" s="25"/>
      <c r="K1429" s="25"/>
      <c r="L1429" s="25"/>
      <c r="M1429" s="22" t="s">
        <v>86</v>
      </c>
      <c r="N1429" s="23">
        <v>46083</v>
      </c>
      <c r="O1429" s="26" t="str">
        <f t="shared" si="69"/>
        <v/>
      </c>
      <c r="P1429" s="26" t="str">
        <f t="shared" si="70"/>
        <v/>
      </c>
      <c r="Q1429" s="26" t="str">
        <f t="shared" si="71"/>
        <v/>
      </c>
    </row>
    <row r="1430" spans="1:17" x14ac:dyDescent="0.3">
      <c r="A1430" s="35"/>
      <c r="B1430" s="25"/>
      <c r="C1430" s="25"/>
      <c r="D1430" s="25"/>
      <c r="E1430" s="25"/>
      <c r="F1430" s="25"/>
      <c r="G1430" s="25"/>
      <c r="H1430" s="25"/>
      <c r="I1430" s="25"/>
      <c r="J1430" s="25"/>
      <c r="K1430" s="25"/>
      <c r="L1430" s="25"/>
      <c r="M1430" s="22" t="s">
        <v>86</v>
      </c>
      <c r="N1430" s="23">
        <v>46083</v>
      </c>
      <c r="O1430" s="26" t="str">
        <f t="shared" si="69"/>
        <v/>
      </c>
      <c r="P1430" s="26" t="str">
        <f t="shared" si="70"/>
        <v/>
      </c>
      <c r="Q1430" s="26" t="str">
        <f t="shared" si="71"/>
        <v/>
      </c>
    </row>
    <row r="1431" spans="1:17" x14ac:dyDescent="0.3">
      <c r="A1431" s="35"/>
      <c r="B1431" s="25"/>
      <c r="C1431" s="25"/>
      <c r="D1431" s="25"/>
      <c r="E1431" s="25"/>
      <c r="F1431" s="25"/>
      <c r="G1431" s="25"/>
      <c r="H1431" s="25"/>
      <c r="I1431" s="25"/>
      <c r="J1431" s="25"/>
      <c r="K1431" s="25"/>
      <c r="L1431" s="25"/>
      <c r="M1431" s="22" t="s">
        <v>86</v>
      </c>
      <c r="N1431" s="23">
        <v>46083</v>
      </c>
      <c r="O1431" s="26" t="str">
        <f t="shared" si="69"/>
        <v/>
      </c>
      <c r="P1431" s="26" t="str">
        <f t="shared" si="70"/>
        <v/>
      </c>
      <c r="Q1431" s="26" t="str">
        <f t="shared" si="71"/>
        <v/>
      </c>
    </row>
    <row r="1432" spans="1:17" x14ac:dyDescent="0.3">
      <c r="A1432" s="35"/>
      <c r="B1432" s="25"/>
      <c r="C1432" s="25"/>
      <c r="D1432" s="25"/>
      <c r="E1432" s="25"/>
      <c r="F1432" s="25"/>
      <c r="G1432" s="25"/>
      <c r="H1432" s="25"/>
      <c r="I1432" s="25"/>
      <c r="J1432" s="25"/>
      <c r="K1432" s="25"/>
      <c r="L1432" s="25"/>
      <c r="M1432" s="22" t="s">
        <v>86</v>
      </c>
      <c r="N1432" s="23">
        <v>46083</v>
      </c>
      <c r="O1432" s="26" t="str">
        <f t="shared" si="69"/>
        <v/>
      </c>
      <c r="P1432" s="26" t="str">
        <f t="shared" si="70"/>
        <v/>
      </c>
      <c r="Q1432" s="26" t="str">
        <f t="shared" si="71"/>
        <v/>
      </c>
    </row>
    <row r="1433" spans="1:17" x14ac:dyDescent="0.3">
      <c r="A1433" s="35"/>
      <c r="B1433" s="25"/>
      <c r="C1433" s="25"/>
      <c r="D1433" s="25"/>
      <c r="E1433" s="25"/>
      <c r="F1433" s="25"/>
      <c r="G1433" s="25"/>
      <c r="H1433" s="25"/>
      <c r="I1433" s="25"/>
      <c r="J1433" s="25"/>
      <c r="K1433" s="25"/>
      <c r="L1433" s="25"/>
      <c r="M1433" s="22" t="s">
        <v>86</v>
      </c>
      <c r="N1433" s="23">
        <v>46083</v>
      </c>
      <c r="O1433" s="26" t="str">
        <f t="shared" si="69"/>
        <v/>
      </c>
      <c r="P1433" s="26" t="str">
        <f t="shared" si="70"/>
        <v/>
      </c>
      <c r="Q1433" s="26" t="str">
        <f t="shared" si="71"/>
        <v/>
      </c>
    </row>
    <row r="1434" spans="1:17" x14ac:dyDescent="0.3">
      <c r="A1434" s="35"/>
      <c r="B1434" s="25"/>
      <c r="C1434" s="25"/>
      <c r="D1434" s="25"/>
      <c r="E1434" s="25"/>
      <c r="F1434" s="25"/>
      <c r="G1434" s="25"/>
      <c r="H1434" s="25"/>
      <c r="I1434" s="25"/>
      <c r="J1434" s="25"/>
      <c r="K1434" s="25"/>
      <c r="L1434" s="25"/>
      <c r="M1434" s="22" t="s">
        <v>86</v>
      </c>
      <c r="N1434" s="23">
        <v>46083</v>
      </c>
      <c r="O1434" s="26" t="str">
        <f t="shared" si="69"/>
        <v/>
      </c>
      <c r="P1434" s="26" t="str">
        <f t="shared" si="70"/>
        <v/>
      </c>
      <c r="Q1434" s="26" t="str">
        <f t="shared" si="71"/>
        <v/>
      </c>
    </row>
    <row r="1435" spans="1:17" x14ac:dyDescent="0.3">
      <c r="A1435" s="35"/>
      <c r="B1435" s="25"/>
      <c r="C1435" s="25"/>
      <c r="D1435" s="25"/>
      <c r="E1435" s="25"/>
      <c r="F1435" s="25"/>
      <c r="G1435" s="25"/>
      <c r="H1435" s="25"/>
      <c r="I1435" s="25"/>
      <c r="J1435" s="25"/>
      <c r="K1435" s="25"/>
      <c r="L1435" s="25"/>
      <c r="M1435" s="22" t="s">
        <v>86</v>
      </c>
      <c r="N1435" s="23">
        <v>46083</v>
      </c>
      <c r="O1435" s="26" t="str">
        <f t="shared" si="69"/>
        <v/>
      </c>
      <c r="P1435" s="26" t="str">
        <f t="shared" si="70"/>
        <v/>
      </c>
      <c r="Q1435" s="26" t="str">
        <f t="shared" si="71"/>
        <v/>
      </c>
    </row>
    <row r="1436" spans="1:17" x14ac:dyDescent="0.3">
      <c r="A1436" s="35"/>
      <c r="B1436" s="25"/>
      <c r="C1436" s="25"/>
      <c r="D1436" s="25"/>
      <c r="E1436" s="25"/>
      <c r="F1436" s="25"/>
      <c r="G1436" s="25"/>
      <c r="H1436" s="25"/>
      <c r="I1436" s="25"/>
      <c r="J1436" s="25"/>
      <c r="K1436" s="25"/>
      <c r="L1436" s="25"/>
      <c r="M1436" s="22" t="s">
        <v>86</v>
      </c>
      <c r="N1436" s="23">
        <v>46083</v>
      </c>
      <c r="O1436" s="26" t="str">
        <f t="shared" si="69"/>
        <v/>
      </c>
      <c r="P1436" s="26" t="str">
        <f t="shared" si="70"/>
        <v/>
      </c>
      <c r="Q1436" s="26" t="str">
        <f t="shared" si="71"/>
        <v/>
      </c>
    </row>
    <row r="1437" spans="1:17" x14ac:dyDescent="0.3">
      <c r="A1437" s="35"/>
      <c r="B1437" s="25"/>
      <c r="C1437" s="25"/>
      <c r="D1437" s="25"/>
      <c r="E1437" s="25"/>
      <c r="F1437" s="25"/>
      <c r="G1437" s="25"/>
      <c r="H1437" s="25"/>
      <c r="I1437" s="25"/>
      <c r="J1437" s="25"/>
      <c r="K1437" s="25"/>
      <c r="L1437" s="25"/>
      <c r="M1437" s="22" t="s">
        <v>86</v>
      </c>
      <c r="N1437" s="23">
        <v>46083</v>
      </c>
      <c r="O1437" s="26" t="str">
        <f t="shared" si="69"/>
        <v/>
      </c>
      <c r="P1437" s="26" t="str">
        <f t="shared" si="70"/>
        <v/>
      </c>
      <c r="Q1437" s="26" t="str">
        <f t="shared" si="71"/>
        <v/>
      </c>
    </row>
    <row r="1438" spans="1:17" x14ac:dyDescent="0.3">
      <c r="A1438" s="35"/>
      <c r="B1438" s="25"/>
      <c r="C1438" s="25"/>
      <c r="D1438" s="25"/>
      <c r="E1438" s="25"/>
      <c r="F1438" s="25"/>
      <c r="G1438" s="25"/>
      <c r="H1438" s="25"/>
      <c r="I1438" s="25"/>
      <c r="J1438" s="25"/>
      <c r="K1438" s="25"/>
      <c r="L1438" s="25"/>
      <c r="M1438" s="22" t="s">
        <v>86</v>
      </c>
      <c r="N1438" s="23">
        <v>46083</v>
      </c>
      <c r="O1438" s="26" t="str">
        <f t="shared" si="69"/>
        <v/>
      </c>
      <c r="P1438" s="26" t="str">
        <f t="shared" si="70"/>
        <v/>
      </c>
      <c r="Q1438" s="26" t="str">
        <f t="shared" si="71"/>
        <v/>
      </c>
    </row>
    <row r="1439" spans="1:17" x14ac:dyDescent="0.3">
      <c r="A1439" s="35"/>
      <c r="B1439" s="25"/>
      <c r="C1439" s="25"/>
      <c r="D1439" s="25"/>
      <c r="E1439" s="25"/>
      <c r="F1439" s="25"/>
      <c r="G1439" s="25"/>
      <c r="H1439" s="25"/>
      <c r="I1439" s="25"/>
      <c r="J1439" s="25"/>
      <c r="K1439" s="25"/>
      <c r="L1439" s="25"/>
      <c r="M1439" s="22" t="s">
        <v>86</v>
      </c>
      <c r="N1439" s="23">
        <v>46083</v>
      </c>
      <c r="O1439" s="26" t="str">
        <f t="shared" si="69"/>
        <v/>
      </c>
      <c r="P1439" s="26" t="str">
        <f t="shared" si="70"/>
        <v/>
      </c>
      <c r="Q1439" s="26" t="str">
        <f t="shared" si="71"/>
        <v/>
      </c>
    </row>
    <row r="1440" spans="1:17" x14ac:dyDescent="0.3">
      <c r="A1440" s="35"/>
      <c r="B1440" s="25"/>
      <c r="C1440" s="25"/>
      <c r="D1440" s="25"/>
      <c r="E1440" s="25"/>
      <c r="F1440" s="25"/>
      <c r="G1440" s="25"/>
      <c r="H1440" s="25"/>
      <c r="I1440" s="25"/>
      <c r="J1440" s="25"/>
      <c r="K1440" s="25"/>
      <c r="L1440" s="25"/>
      <c r="M1440" s="22" t="s">
        <v>86</v>
      </c>
      <c r="N1440" s="23">
        <v>46083</v>
      </c>
      <c r="O1440" s="26" t="str">
        <f t="shared" si="69"/>
        <v/>
      </c>
      <c r="P1440" s="26" t="str">
        <f t="shared" si="70"/>
        <v/>
      </c>
      <c r="Q1440" s="26" t="str">
        <f t="shared" si="71"/>
        <v/>
      </c>
    </row>
    <row r="1441" spans="1:17" x14ac:dyDescent="0.3">
      <c r="A1441" s="35"/>
      <c r="B1441" s="25"/>
      <c r="C1441" s="25"/>
      <c r="D1441" s="25"/>
      <c r="E1441" s="25"/>
      <c r="F1441" s="25"/>
      <c r="G1441" s="25"/>
      <c r="H1441" s="25"/>
      <c r="I1441" s="25"/>
      <c r="J1441" s="25"/>
      <c r="K1441" s="25"/>
      <c r="L1441" s="25"/>
      <c r="M1441" s="22" t="s">
        <v>86</v>
      </c>
      <c r="N1441" s="23">
        <v>46083</v>
      </c>
      <c r="O1441" s="26" t="str">
        <f t="shared" si="69"/>
        <v/>
      </c>
      <c r="P1441" s="26" t="str">
        <f t="shared" si="70"/>
        <v/>
      </c>
      <c r="Q1441" s="26" t="str">
        <f t="shared" si="71"/>
        <v/>
      </c>
    </row>
    <row r="1442" spans="1:17" x14ac:dyDescent="0.3">
      <c r="A1442" s="35"/>
      <c r="B1442" s="25"/>
      <c r="C1442" s="25"/>
      <c r="D1442" s="25"/>
      <c r="E1442" s="25"/>
      <c r="F1442" s="25"/>
      <c r="G1442" s="25"/>
      <c r="H1442" s="25"/>
      <c r="I1442" s="25"/>
      <c r="J1442" s="25"/>
      <c r="K1442" s="25"/>
      <c r="L1442" s="25"/>
      <c r="M1442" s="22" t="s">
        <v>86</v>
      </c>
      <c r="N1442" s="23">
        <v>46083</v>
      </c>
      <c r="O1442" s="26" t="str">
        <f t="shared" si="69"/>
        <v/>
      </c>
      <c r="P1442" s="26" t="str">
        <f t="shared" si="70"/>
        <v/>
      </c>
      <c r="Q1442" s="26" t="str">
        <f t="shared" si="71"/>
        <v/>
      </c>
    </row>
    <row r="1443" spans="1:17" x14ac:dyDescent="0.3">
      <c r="A1443" s="35"/>
      <c r="B1443" s="25"/>
      <c r="C1443" s="25"/>
      <c r="D1443" s="25"/>
      <c r="E1443" s="25"/>
      <c r="F1443" s="25"/>
      <c r="G1443" s="25"/>
      <c r="H1443" s="25"/>
      <c r="I1443" s="25"/>
      <c r="J1443" s="25"/>
      <c r="K1443" s="25"/>
      <c r="L1443" s="25"/>
      <c r="M1443" s="22" t="s">
        <v>86</v>
      </c>
      <c r="N1443" s="23">
        <v>46083</v>
      </c>
      <c r="O1443" s="26" t="str">
        <f t="shared" si="69"/>
        <v/>
      </c>
      <c r="P1443" s="26" t="str">
        <f t="shared" si="70"/>
        <v/>
      </c>
      <c r="Q1443" s="26" t="str">
        <f t="shared" si="71"/>
        <v/>
      </c>
    </row>
    <row r="1444" spans="1:17" x14ac:dyDescent="0.3">
      <c r="A1444" s="35"/>
      <c r="B1444" s="25"/>
      <c r="C1444" s="25"/>
      <c r="D1444" s="25"/>
      <c r="E1444" s="25"/>
      <c r="F1444" s="25"/>
      <c r="G1444" s="25"/>
      <c r="H1444" s="25"/>
      <c r="I1444" s="25"/>
      <c r="J1444" s="25"/>
      <c r="K1444" s="25"/>
      <c r="L1444" s="25"/>
      <c r="M1444" s="22" t="s">
        <v>86</v>
      </c>
      <c r="N1444" s="23">
        <v>46083</v>
      </c>
      <c r="O1444" s="26" t="str">
        <f t="shared" si="69"/>
        <v/>
      </c>
      <c r="P1444" s="26" t="str">
        <f t="shared" si="70"/>
        <v/>
      </c>
      <c r="Q1444" s="26" t="str">
        <f t="shared" si="71"/>
        <v/>
      </c>
    </row>
    <row r="1445" spans="1:17" x14ac:dyDescent="0.3">
      <c r="A1445" s="35"/>
      <c r="B1445" s="25"/>
      <c r="C1445" s="25"/>
      <c r="D1445" s="25"/>
      <c r="E1445" s="25"/>
      <c r="F1445" s="25"/>
      <c r="G1445" s="25"/>
      <c r="H1445" s="25"/>
      <c r="I1445" s="25"/>
      <c r="J1445" s="25"/>
      <c r="K1445" s="25"/>
      <c r="L1445" s="25"/>
      <c r="M1445" s="22" t="s">
        <v>86</v>
      </c>
      <c r="N1445" s="23">
        <v>46083</v>
      </c>
      <c r="O1445" s="26" t="str">
        <f t="shared" si="69"/>
        <v/>
      </c>
      <c r="P1445" s="26" t="str">
        <f t="shared" si="70"/>
        <v/>
      </c>
      <c r="Q1445" s="26" t="str">
        <f t="shared" si="71"/>
        <v/>
      </c>
    </row>
    <row r="1446" spans="1:17" x14ac:dyDescent="0.3">
      <c r="A1446" s="35"/>
      <c r="B1446" s="25"/>
      <c r="C1446" s="25"/>
      <c r="D1446" s="25"/>
      <c r="E1446" s="25"/>
      <c r="F1446" s="25"/>
      <c r="G1446" s="25"/>
      <c r="H1446" s="25"/>
      <c r="I1446" s="25"/>
      <c r="J1446" s="25"/>
      <c r="K1446" s="25"/>
      <c r="L1446" s="25"/>
      <c r="M1446" s="22" t="s">
        <v>86</v>
      </c>
      <c r="N1446" s="23">
        <v>46083</v>
      </c>
      <c r="O1446" s="26" t="str">
        <f t="shared" si="69"/>
        <v/>
      </c>
      <c r="P1446" s="26" t="str">
        <f t="shared" si="70"/>
        <v/>
      </c>
      <c r="Q1446" s="26" t="str">
        <f t="shared" si="71"/>
        <v/>
      </c>
    </row>
    <row r="1447" spans="1:17" x14ac:dyDescent="0.3">
      <c r="A1447" s="35"/>
      <c r="B1447" s="25"/>
      <c r="C1447" s="25"/>
      <c r="D1447" s="25"/>
      <c r="E1447" s="25"/>
      <c r="F1447" s="25"/>
      <c r="G1447" s="25"/>
      <c r="H1447" s="25"/>
      <c r="I1447" s="25"/>
      <c r="J1447" s="25"/>
      <c r="K1447" s="25"/>
      <c r="L1447" s="25"/>
      <c r="M1447" s="22" t="s">
        <v>86</v>
      </c>
      <c r="N1447" s="23">
        <v>46083</v>
      </c>
      <c r="O1447" s="26" t="str">
        <f t="shared" si="69"/>
        <v/>
      </c>
      <c r="P1447" s="26" t="str">
        <f t="shared" si="70"/>
        <v/>
      </c>
      <c r="Q1447" s="26" t="str">
        <f t="shared" si="71"/>
        <v/>
      </c>
    </row>
    <row r="1448" spans="1:17" x14ac:dyDescent="0.3">
      <c r="A1448" s="35"/>
      <c r="B1448" s="25"/>
      <c r="C1448" s="25"/>
      <c r="D1448" s="25"/>
      <c r="E1448" s="25"/>
      <c r="F1448" s="25"/>
      <c r="G1448" s="25"/>
      <c r="H1448" s="25"/>
      <c r="I1448" s="25"/>
      <c r="J1448" s="25"/>
      <c r="K1448" s="25"/>
      <c r="L1448" s="25"/>
      <c r="M1448" s="22" t="s">
        <v>86</v>
      </c>
      <c r="N1448" s="23">
        <v>46083</v>
      </c>
      <c r="O1448" s="26" t="str">
        <f t="shared" si="69"/>
        <v/>
      </c>
      <c r="P1448" s="26" t="str">
        <f t="shared" si="70"/>
        <v/>
      </c>
      <c r="Q1448" s="26" t="str">
        <f t="shared" si="71"/>
        <v/>
      </c>
    </row>
    <row r="1449" spans="1:17" x14ac:dyDescent="0.3">
      <c r="A1449" s="35"/>
      <c r="B1449" s="25"/>
      <c r="C1449" s="25"/>
      <c r="D1449" s="25"/>
      <c r="E1449" s="25"/>
      <c r="F1449" s="25"/>
      <c r="G1449" s="25"/>
      <c r="H1449" s="25"/>
      <c r="I1449" s="25"/>
      <c r="J1449" s="25"/>
      <c r="K1449" s="25"/>
      <c r="L1449" s="25"/>
      <c r="M1449" s="22" t="s">
        <v>86</v>
      </c>
      <c r="N1449" s="23">
        <v>46083</v>
      </c>
      <c r="O1449" s="26" t="str">
        <f t="shared" si="69"/>
        <v/>
      </c>
      <c r="P1449" s="26" t="str">
        <f t="shared" si="70"/>
        <v/>
      </c>
      <c r="Q1449" s="26" t="str">
        <f t="shared" si="71"/>
        <v/>
      </c>
    </row>
    <row r="1450" spans="1:17" x14ac:dyDescent="0.3">
      <c r="A1450" s="35"/>
      <c r="B1450" s="25"/>
      <c r="C1450" s="25"/>
      <c r="D1450" s="25"/>
      <c r="E1450" s="25"/>
      <c r="F1450" s="25"/>
      <c r="G1450" s="25"/>
      <c r="H1450" s="25"/>
      <c r="I1450" s="25"/>
      <c r="J1450" s="25"/>
      <c r="K1450" s="25"/>
      <c r="L1450" s="25"/>
      <c r="M1450" s="22" t="s">
        <v>86</v>
      </c>
      <c r="N1450" s="23">
        <v>46083</v>
      </c>
      <c r="O1450" s="26" t="str">
        <f t="shared" si="69"/>
        <v/>
      </c>
      <c r="P1450" s="26" t="str">
        <f t="shared" si="70"/>
        <v/>
      </c>
      <c r="Q1450" s="26" t="str">
        <f t="shared" si="71"/>
        <v/>
      </c>
    </row>
    <row r="1451" spans="1:17" x14ac:dyDescent="0.3">
      <c r="A1451" s="35"/>
      <c r="B1451" s="25"/>
      <c r="C1451" s="25"/>
      <c r="D1451" s="25"/>
      <c r="E1451" s="25"/>
      <c r="F1451" s="25"/>
      <c r="G1451" s="25"/>
      <c r="H1451" s="25"/>
      <c r="I1451" s="25"/>
      <c r="J1451" s="25"/>
      <c r="K1451" s="25"/>
      <c r="L1451" s="25"/>
      <c r="M1451" s="22" t="s">
        <v>86</v>
      </c>
      <c r="N1451" s="23">
        <v>46083</v>
      </c>
      <c r="O1451" s="26" t="str">
        <f t="shared" si="69"/>
        <v/>
      </c>
      <c r="P1451" s="26" t="str">
        <f t="shared" si="70"/>
        <v/>
      </c>
      <c r="Q1451" s="26" t="str">
        <f t="shared" si="71"/>
        <v/>
      </c>
    </row>
    <row r="1452" spans="1:17" x14ac:dyDescent="0.3">
      <c r="A1452" s="35"/>
      <c r="B1452" s="25"/>
      <c r="C1452" s="25"/>
      <c r="D1452" s="25"/>
      <c r="E1452" s="25"/>
      <c r="F1452" s="25"/>
      <c r="G1452" s="25"/>
      <c r="H1452" s="25"/>
      <c r="I1452" s="25"/>
      <c r="J1452" s="25"/>
      <c r="K1452" s="25"/>
      <c r="L1452" s="25"/>
      <c r="M1452" s="22" t="s">
        <v>86</v>
      </c>
      <c r="N1452" s="23">
        <v>46083</v>
      </c>
      <c r="O1452" s="26" t="str">
        <f t="shared" si="69"/>
        <v/>
      </c>
      <c r="P1452" s="26" t="str">
        <f t="shared" si="70"/>
        <v/>
      </c>
      <c r="Q1452" s="26" t="str">
        <f t="shared" si="71"/>
        <v/>
      </c>
    </row>
    <row r="1453" spans="1:17" x14ac:dyDescent="0.3">
      <c r="A1453" s="35"/>
      <c r="B1453" s="25"/>
      <c r="C1453" s="25"/>
      <c r="D1453" s="25"/>
      <c r="E1453" s="25"/>
      <c r="F1453" s="25"/>
      <c r="G1453" s="25"/>
      <c r="H1453" s="25"/>
      <c r="I1453" s="25"/>
      <c r="J1453" s="25"/>
      <c r="K1453" s="25"/>
      <c r="L1453" s="25"/>
      <c r="M1453" s="22" t="s">
        <v>86</v>
      </c>
      <c r="N1453" s="23">
        <v>46083</v>
      </c>
      <c r="O1453" s="26" t="str">
        <f t="shared" si="69"/>
        <v/>
      </c>
      <c r="P1453" s="26" t="str">
        <f t="shared" si="70"/>
        <v/>
      </c>
      <c r="Q1453" s="26" t="str">
        <f t="shared" si="71"/>
        <v/>
      </c>
    </row>
    <row r="1454" spans="1:17" x14ac:dyDescent="0.3">
      <c r="A1454" s="35"/>
      <c r="B1454" s="25"/>
      <c r="C1454" s="25"/>
      <c r="D1454" s="25"/>
      <c r="E1454" s="25"/>
      <c r="F1454" s="25"/>
      <c r="G1454" s="25"/>
      <c r="H1454" s="25"/>
      <c r="I1454" s="25"/>
      <c r="J1454" s="25"/>
      <c r="K1454" s="25"/>
      <c r="L1454" s="25"/>
      <c r="M1454" s="22" t="s">
        <v>86</v>
      </c>
      <c r="N1454" s="23">
        <v>46083</v>
      </c>
      <c r="O1454" s="26" t="str">
        <f t="shared" si="69"/>
        <v/>
      </c>
      <c r="P1454" s="26" t="str">
        <f t="shared" si="70"/>
        <v/>
      </c>
      <c r="Q1454" s="26" t="str">
        <f t="shared" si="71"/>
        <v/>
      </c>
    </row>
    <row r="1455" spans="1:17" x14ac:dyDescent="0.3">
      <c r="A1455" s="35"/>
      <c r="B1455" s="25"/>
      <c r="C1455" s="25"/>
      <c r="D1455" s="25"/>
      <c r="E1455" s="25"/>
      <c r="F1455" s="25"/>
      <c r="G1455" s="25"/>
      <c r="H1455" s="25"/>
      <c r="I1455" s="25"/>
      <c r="J1455" s="25"/>
      <c r="K1455" s="25"/>
      <c r="L1455" s="25"/>
      <c r="M1455" s="22" t="s">
        <v>86</v>
      </c>
      <c r="N1455" s="23">
        <v>46083</v>
      </c>
      <c r="O1455" s="26" t="str">
        <f t="shared" si="69"/>
        <v/>
      </c>
      <c r="P1455" s="26" t="str">
        <f t="shared" si="70"/>
        <v/>
      </c>
      <c r="Q1455" s="26" t="str">
        <f t="shared" si="71"/>
        <v/>
      </c>
    </row>
    <row r="1456" spans="1:17" x14ac:dyDescent="0.3">
      <c r="A1456" s="35"/>
      <c r="B1456" s="25"/>
      <c r="C1456" s="25"/>
      <c r="D1456" s="25"/>
      <c r="E1456" s="25"/>
      <c r="F1456" s="25"/>
      <c r="G1456" s="25"/>
      <c r="H1456" s="25"/>
      <c r="I1456" s="25"/>
      <c r="J1456" s="25"/>
      <c r="K1456" s="25"/>
      <c r="L1456" s="25"/>
      <c r="M1456" s="22" t="s">
        <v>86</v>
      </c>
      <c r="N1456" s="23">
        <v>46083</v>
      </c>
      <c r="O1456" s="26" t="str">
        <f t="shared" si="69"/>
        <v/>
      </c>
      <c r="P1456" s="26" t="str">
        <f t="shared" si="70"/>
        <v/>
      </c>
      <c r="Q1456" s="26" t="str">
        <f t="shared" si="71"/>
        <v/>
      </c>
    </row>
    <row r="1457" spans="1:17" x14ac:dyDescent="0.3">
      <c r="A1457" s="35"/>
      <c r="B1457" s="25"/>
      <c r="C1457" s="25"/>
      <c r="D1457" s="25"/>
      <c r="E1457" s="25"/>
      <c r="F1457" s="25"/>
      <c r="G1457" s="25"/>
      <c r="H1457" s="25"/>
      <c r="I1457" s="25"/>
      <c r="J1457" s="25"/>
      <c r="K1457" s="25"/>
      <c r="L1457" s="25"/>
      <c r="M1457" s="22" t="s">
        <v>86</v>
      </c>
      <c r="N1457" s="23">
        <v>46083</v>
      </c>
      <c r="O1457" s="26" t="str">
        <f t="shared" si="69"/>
        <v/>
      </c>
      <c r="P1457" s="26" t="str">
        <f t="shared" si="70"/>
        <v/>
      </c>
      <c r="Q1457" s="26" t="str">
        <f t="shared" si="71"/>
        <v/>
      </c>
    </row>
    <row r="1458" spans="1:17" x14ac:dyDescent="0.3">
      <c r="A1458" s="35"/>
      <c r="B1458" s="25"/>
      <c r="C1458" s="25"/>
      <c r="D1458" s="25"/>
      <c r="E1458" s="25"/>
      <c r="F1458" s="25"/>
      <c r="G1458" s="25"/>
      <c r="H1458" s="25"/>
      <c r="I1458" s="25"/>
      <c r="J1458" s="25"/>
      <c r="K1458" s="25"/>
      <c r="L1458" s="25"/>
      <c r="M1458" s="22" t="s">
        <v>86</v>
      </c>
      <c r="N1458" s="23">
        <v>46083</v>
      </c>
      <c r="O1458" s="26" t="str">
        <f t="shared" si="69"/>
        <v/>
      </c>
      <c r="P1458" s="26" t="str">
        <f t="shared" si="70"/>
        <v/>
      </c>
      <c r="Q1458" s="26" t="str">
        <f t="shared" si="71"/>
        <v/>
      </c>
    </row>
    <row r="1459" spans="1:17" x14ac:dyDescent="0.3">
      <c r="A1459" s="35"/>
      <c r="B1459" s="25"/>
      <c r="C1459" s="25"/>
      <c r="D1459" s="25"/>
      <c r="E1459" s="25"/>
      <c r="F1459" s="25"/>
      <c r="G1459" s="25"/>
      <c r="H1459" s="25"/>
      <c r="I1459" s="25"/>
      <c r="J1459" s="25"/>
      <c r="K1459" s="25"/>
      <c r="L1459" s="25"/>
      <c r="M1459" s="22" t="s">
        <v>86</v>
      </c>
      <c r="N1459" s="23">
        <v>46083</v>
      </c>
      <c r="O1459" s="26" t="str">
        <f t="shared" si="69"/>
        <v/>
      </c>
      <c r="P1459" s="26" t="str">
        <f t="shared" si="70"/>
        <v/>
      </c>
      <c r="Q1459" s="26" t="str">
        <f t="shared" si="71"/>
        <v/>
      </c>
    </row>
    <row r="1460" spans="1:17" x14ac:dyDescent="0.3">
      <c r="A1460" s="35"/>
      <c r="B1460" s="25"/>
      <c r="C1460" s="25"/>
      <c r="D1460" s="25"/>
      <c r="E1460" s="25"/>
      <c r="F1460" s="25"/>
      <c r="G1460" s="25"/>
      <c r="H1460" s="25"/>
      <c r="I1460" s="25"/>
      <c r="J1460" s="25"/>
      <c r="K1460" s="25"/>
      <c r="L1460" s="25"/>
      <c r="M1460" s="22" t="s">
        <v>86</v>
      </c>
      <c r="N1460" s="23">
        <v>46083</v>
      </c>
      <c r="O1460" s="26" t="str">
        <f t="shared" si="69"/>
        <v/>
      </c>
      <c r="P1460" s="26" t="str">
        <f t="shared" si="70"/>
        <v/>
      </c>
      <c r="Q1460" s="26" t="str">
        <f t="shared" si="71"/>
        <v/>
      </c>
    </row>
    <row r="1461" spans="1:17" x14ac:dyDescent="0.3">
      <c r="A1461" s="35"/>
      <c r="B1461" s="25"/>
      <c r="C1461" s="25"/>
      <c r="D1461" s="25"/>
      <c r="E1461" s="25"/>
      <c r="F1461" s="25"/>
      <c r="G1461" s="25"/>
      <c r="H1461" s="25"/>
      <c r="I1461" s="25"/>
      <c r="J1461" s="25"/>
      <c r="K1461" s="25"/>
      <c r="L1461" s="25"/>
      <c r="M1461" s="22" t="s">
        <v>86</v>
      </c>
      <c r="N1461" s="23">
        <v>46083</v>
      </c>
      <c r="O1461" s="26" t="str">
        <f t="shared" si="69"/>
        <v/>
      </c>
      <c r="P1461" s="26" t="str">
        <f t="shared" si="70"/>
        <v/>
      </c>
      <c r="Q1461" s="26" t="str">
        <f t="shared" si="71"/>
        <v/>
      </c>
    </row>
    <row r="1462" spans="1:17" x14ac:dyDescent="0.3">
      <c r="A1462" s="35"/>
      <c r="B1462" s="25"/>
      <c r="C1462" s="25"/>
      <c r="D1462" s="25"/>
      <c r="E1462" s="25"/>
      <c r="F1462" s="25"/>
      <c r="G1462" s="25"/>
      <c r="H1462" s="25"/>
      <c r="I1462" s="25"/>
      <c r="J1462" s="25"/>
      <c r="K1462" s="25"/>
      <c r="L1462" s="25"/>
      <c r="M1462" s="22" t="s">
        <v>86</v>
      </c>
      <c r="N1462" s="23">
        <v>46083</v>
      </c>
      <c r="O1462" s="26" t="str">
        <f t="shared" si="69"/>
        <v/>
      </c>
      <c r="P1462" s="26" t="str">
        <f t="shared" si="70"/>
        <v/>
      </c>
      <c r="Q1462" s="26" t="str">
        <f t="shared" si="71"/>
        <v/>
      </c>
    </row>
    <row r="1463" spans="1:17" x14ac:dyDescent="0.3">
      <c r="A1463" s="35"/>
      <c r="B1463" s="25"/>
      <c r="C1463" s="25"/>
      <c r="D1463" s="25"/>
      <c r="E1463" s="25"/>
      <c r="F1463" s="25"/>
      <c r="G1463" s="25"/>
      <c r="H1463" s="25"/>
      <c r="I1463" s="25"/>
      <c r="J1463" s="25"/>
      <c r="K1463" s="25"/>
      <c r="L1463" s="25"/>
      <c r="M1463" s="22" t="s">
        <v>86</v>
      </c>
      <c r="N1463" s="23">
        <v>46083</v>
      </c>
      <c r="O1463" s="26" t="str">
        <f t="shared" si="69"/>
        <v/>
      </c>
      <c r="P1463" s="26" t="str">
        <f t="shared" si="70"/>
        <v/>
      </c>
      <c r="Q1463" s="26" t="str">
        <f t="shared" si="71"/>
        <v/>
      </c>
    </row>
    <row r="1464" spans="1:17" x14ac:dyDescent="0.3">
      <c r="A1464" s="35"/>
      <c r="B1464" s="25"/>
      <c r="C1464" s="25"/>
      <c r="D1464" s="25"/>
      <c r="E1464" s="25"/>
      <c r="F1464" s="25"/>
      <c r="G1464" s="25"/>
      <c r="H1464" s="25"/>
      <c r="I1464" s="25"/>
      <c r="J1464" s="25"/>
      <c r="K1464" s="25"/>
      <c r="L1464" s="25"/>
      <c r="M1464" s="22" t="s">
        <v>86</v>
      </c>
      <c r="N1464" s="23">
        <v>46083</v>
      </c>
      <c r="O1464" s="26" t="str">
        <f t="shared" si="69"/>
        <v/>
      </c>
      <c r="P1464" s="26" t="str">
        <f t="shared" si="70"/>
        <v/>
      </c>
      <c r="Q1464" s="26" t="str">
        <f t="shared" si="71"/>
        <v/>
      </c>
    </row>
    <row r="1465" spans="1:17" x14ac:dyDescent="0.3">
      <c r="A1465" s="35"/>
      <c r="B1465" s="25"/>
      <c r="C1465" s="25"/>
      <c r="D1465" s="25"/>
      <c r="E1465" s="25"/>
      <c r="F1465" s="25"/>
      <c r="G1465" s="25"/>
      <c r="H1465" s="25"/>
      <c r="I1465" s="25"/>
      <c r="J1465" s="25"/>
      <c r="K1465" s="25"/>
      <c r="L1465" s="25"/>
      <c r="M1465" s="22" t="s">
        <v>86</v>
      </c>
      <c r="N1465" s="23">
        <v>46083</v>
      </c>
      <c r="O1465" s="26" t="str">
        <f t="shared" si="69"/>
        <v/>
      </c>
      <c r="P1465" s="26" t="str">
        <f t="shared" si="70"/>
        <v/>
      </c>
      <c r="Q1465" s="26" t="str">
        <f t="shared" si="71"/>
        <v/>
      </c>
    </row>
    <row r="1466" spans="1:17" x14ac:dyDescent="0.3">
      <c r="A1466" s="35"/>
      <c r="B1466" s="25"/>
      <c r="C1466" s="25"/>
      <c r="D1466" s="25"/>
      <c r="E1466" s="25"/>
      <c r="F1466" s="25"/>
      <c r="G1466" s="25"/>
      <c r="H1466" s="25"/>
      <c r="I1466" s="25"/>
      <c r="J1466" s="25"/>
      <c r="K1466" s="25"/>
      <c r="L1466" s="25"/>
      <c r="M1466" s="22" t="s">
        <v>86</v>
      </c>
      <c r="N1466" s="23">
        <v>46083</v>
      </c>
      <c r="O1466" s="26" t="str">
        <f t="shared" si="69"/>
        <v/>
      </c>
      <c r="P1466" s="26" t="str">
        <f t="shared" si="70"/>
        <v/>
      </c>
      <c r="Q1466" s="26" t="str">
        <f t="shared" si="71"/>
        <v/>
      </c>
    </row>
    <row r="1467" spans="1:17" x14ac:dyDescent="0.3">
      <c r="A1467" s="35"/>
      <c r="B1467" s="25"/>
      <c r="C1467" s="25"/>
      <c r="D1467" s="25"/>
      <c r="E1467" s="25"/>
      <c r="F1467" s="25"/>
      <c r="G1467" s="25"/>
      <c r="H1467" s="25"/>
      <c r="I1467" s="25"/>
      <c r="J1467" s="25"/>
      <c r="K1467" s="25"/>
      <c r="L1467" s="25"/>
      <c r="M1467" s="22" t="s">
        <v>86</v>
      </c>
      <c r="N1467" s="23">
        <v>46083</v>
      </c>
      <c r="O1467" s="26" t="str">
        <f t="shared" si="69"/>
        <v/>
      </c>
      <c r="P1467" s="26" t="str">
        <f t="shared" si="70"/>
        <v/>
      </c>
      <c r="Q1467" s="26" t="str">
        <f t="shared" si="71"/>
        <v/>
      </c>
    </row>
    <row r="1468" spans="1:17" x14ac:dyDescent="0.3">
      <c r="A1468" s="35"/>
      <c r="B1468" s="25"/>
      <c r="C1468" s="25"/>
      <c r="D1468" s="25"/>
      <c r="E1468" s="25"/>
      <c r="F1468" s="25"/>
      <c r="G1468" s="25"/>
      <c r="H1468" s="25"/>
      <c r="I1468" s="25"/>
      <c r="J1468" s="25"/>
      <c r="K1468" s="25"/>
      <c r="L1468" s="25"/>
      <c r="M1468" s="22" t="s">
        <v>86</v>
      </c>
      <c r="N1468" s="23">
        <v>46083</v>
      </c>
      <c r="O1468" s="26" t="str">
        <f t="shared" si="69"/>
        <v/>
      </c>
      <c r="P1468" s="26" t="str">
        <f t="shared" si="70"/>
        <v/>
      </c>
      <c r="Q1468" s="26" t="str">
        <f t="shared" si="71"/>
        <v/>
      </c>
    </row>
    <row r="1469" spans="1:17" x14ac:dyDescent="0.3">
      <c r="A1469" s="35"/>
      <c r="B1469" s="25"/>
      <c r="C1469" s="25"/>
      <c r="D1469" s="25"/>
      <c r="E1469" s="25"/>
      <c r="F1469" s="25"/>
      <c r="G1469" s="25"/>
      <c r="H1469" s="25"/>
      <c r="I1469" s="25"/>
      <c r="J1469" s="25"/>
      <c r="K1469" s="25"/>
      <c r="L1469" s="25"/>
      <c r="M1469" s="22" t="s">
        <v>86</v>
      </c>
      <c r="N1469" s="23">
        <v>46083</v>
      </c>
      <c r="O1469" s="26" t="str">
        <f t="shared" si="69"/>
        <v/>
      </c>
      <c r="P1469" s="26" t="str">
        <f t="shared" si="70"/>
        <v/>
      </c>
      <c r="Q1469" s="26" t="str">
        <f t="shared" si="71"/>
        <v/>
      </c>
    </row>
    <row r="1470" spans="1:17" x14ac:dyDescent="0.3">
      <c r="A1470" s="35"/>
      <c r="B1470" s="25"/>
      <c r="C1470" s="25"/>
      <c r="D1470" s="25"/>
      <c r="E1470" s="25"/>
      <c r="F1470" s="25"/>
      <c r="G1470" s="25"/>
      <c r="H1470" s="25"/>
      <c r="I1470" s="25"/>
      <c r="J1470" s="25"/>
      <c r="K1470" s="25"/>
      <c r="L1470" s="25"/>
      <c r="M1470" s="22" t="s">
        <v>86</v>
      </c>
      <c r="N1470" s="23">
        <v>46083</v>
      </c>
      <c r="O1470" s="26" t="str">
        <f t="shared" si="69"/>
        <v/>
      </c>
      <c r="P1470" s="26" t="str">
        <f t="shared" si="70"/>
        <v/>
      </c>
      <c r="Q1470" s="26" t="str">
        <f t="shared" si="71"/>
        <v/>
      </c>
    </row>
    <row r="1471" spans="1:17" x14ac:dyDescent="0.3">
      <c r="A1471" s="35"/>
      <c r="B1471" s="25"/>
      <c r="C1471" s="25"/>
      <c r="D1471" s="25"/>
      <c r="E1471" s="25"/>
      <c r="F1471" s="25"/>
      <c r="G1471" s="25"/>
      <c r="H1471" s="25"/>
      <c r="I1471" s="25"/>
      <c r="J1471" s="25"/>
      <c r="K1471" s="25"/>
      <c r="L1471" s="25"/>
      <c r="M1471" s="22" t="s">
        <v>86</v>
      </c>
      <c r="N1471" s="23">
        <v>46083</v>
      </c>
      <c r="O1471" s="26" t="str">
        <f t="shared" si="69"/>
        <v/>
      </c>
      <c r="P1471" s="26" t="str">
        <f t="shared" si="70"/>
        <v/>
      </c>
      <c r="Q1471" s="26" t="str">
        <f t="shared" si="71"/>
        <v/>
      </c>
    </row>
    <row r="1472" spans="1:17" x14ac:dyDescent="0.3">
      <c r="A1472" s="35"/>
      <c r="B1472" s="25"/>
      <c r="C1472" s="25"/>
      <c r="D1472" s="25"/>
      <c r="E1472" s="25"/>
      <c r="F1472" s="25"/>
      <c r="G1472" s="25"/>
      <c r="H1472" s="25"/>
      <c r="I1472" s="25"/>
      <c r="J1472" s="25"/>
      <c r="K1472" s="25"/>
      <c r="L1472" s="25"/>
      <c r="M1472" s="22" t="s">
        <v>86</v>
      </c>
      <c r="N1472" s="23">
        <v>46083</v>
      </c>
      <c r="O1472" s="26" t="str">
        <f t="shared" si="69"/>
        <v/>
      </c>
      <c r="P1472" s="26" t="str">
        <f t="shared" si="70"/>
        <v/>
      </c>
      <c r="Q1472" s="26" t="str">
        <f t="shared" si="71"/>
        <v/>
      </c>
    </row>
    <row r="1473" spans="1:17" x14ac:dyDescent="0.3">
      <c r="A1473" s="35"/>
      <c r="B1473" s="25"/>
      <c r="C1473" s="25"/>
      <c r="D1473" s="25"/>
      <c r="E1473" s="25"/>
      <c r="F1473" s="25"/>
      <c r="G1473" s="25"/>
      <c r="H1473" s="25"/>
      <c r="I1473" s="25"/>
      <c r="J1473" s="25"/>
      <c r="K1473" s="25"/>
      <c r="L1473" s="25"/>
      <c r="M1473" s="22" t="s">
        <v>86</v>
      </c>
      <c r="N1473" s="23">
        <v>46083</v>
      </c>
      <c r="O1473" s="26" t="str">
        <f t="shared" si="69"/>
        <v/>
      </c>
      <c r="P1473" s="26" t="str">
        <f t="shared" si="70"/>
        <v/>
      </c>
      <c r="Q1473" s="26" t="str">
        <f t="shared" si="71"/>
        <v/>
      </c>
    </row>
    <row r="1474" spans="1:17" x14ac:dyDescent="0.3">
      <c r="A1474" s="35"/>
      <c r="B1474" s="25"/>
      <c r="C1474" s="25"/>
      <c r="D1474" s="25"/>
      <c r="E1474" s="25"/>
      <c r="F1474" s="25"/>
      <c r="G1474" s="25"/>
      <c r="H1474" s="25"/>
      <c r="I1474" s="25"/>
      <c r="J1474" s="25"/>
      <c r="K1474" s="25"/>
      <c r="L1474" s="25"/>
      <c r="M1474" s="22" t="s">
        <v>86</v>
      </c>
      <c r="N1474" s="23">
        <v>46083</v>
      </c>
      <c r="O1474" s="26" t="str">
        <f t="shared" ref="O1474:O1537" si="72">IF(A1474="","",IFERROR(IF(AND(LEN(A1474)=10,NOT(ISERROR(VALUE(A1474)))),"OK","확인"),"확인"))</f>
        <v/>
      </c>
      <c r="P1474" s="26" t="str">
        <f t="shared" ref="P1474:P1537" si="73">IF(A1474="","",IF(COUNTIF($A$2:$A$1946,A1474)&gt;1,"중복",""))</f>
        <v/>
      </c>
      <c r="Q1474" s="26" t="str">
        <f t="shared" ref="Q1474:Q1537" si="74">IF(G1474="","",IF(ISNUMBER(SEARCH("@",G1474)),"","확인"))</f>
        <v/>
      </c>
    </row>
    <row r="1475" spans="1:17" x14ac:dyDescent="0.3">
      <c r="A1475" s="35"/>
      <c r="B1475" s="25"/>
      <c r="C1475" s="25"/>
      <c r="D1475" s="25"/>
      <c r="E1475" s="25"/>
      <c r="F1475" s="25"/>
      <c r="G1475" s="25"/>
      <c r="H1475" s="25"/>
      <c r="I1475" s="25"/>
      <c r="J1475" s="25"/>
      <c r="K1475" s="25"/>
      <c r="L1475" s="25"/>
      <c r="M1475" s="22" t="s">
        <v>86</v>
      </c>
      <c r="N1475" s="23">
        <v>46083</v>
      </c>
      <c r="O1475" s="26" t="str">
        <f t="shared" si="72"/>
        <v/>
      </c>
      <c r="P1475" s="26" t="str">
        <f t="shared" si="73"/>
        <v/>
      </c>
      <c r="Q1475" s="26" t="str">
        <f t="shared" si="74"/>
        <v/>
      </c>
    </row>
    <row r="1476" spans="1:17" x14ac:dyDescent="0.3">
      <c r="A1476" s="35"/>
      <c r="B1476" s="25"/>
      <c r="C1476" s="25"/>
      <c r="D1476" s="25"/>
      <c r="E1476" s="25"/>
      <c r="F1476" s="25"/>
      <c r="G1476" s="25"/>
      <c r="H1476" s="25"/>
      <c r="I1476" s="25"/>
      <c r="J1476" s="25"/>
      <c r="K1476" s="25"/>
      <c r="L1476" s="25"/>
      <c r="M1476" s="22" t="s">
        <v>86</v>
      </c>
      <c r="N1476" s="23">
        <v>46083</v>
      </c>
      <c r="O1476" s="26" t="str">
        <f t="shared" si="72"/>
        <v/>
      </c>
      <c r="P1476" s="26" t="str">
        <f t="shared" si="73"/>
        <v/>
      </c>
      <c r="Q1476" s="26" t="str">
        <f t="shared" si="74"/>
        <v/>
      </c>
    </row>
    <row r="1477" spans="1:17" x14ac:dyDescent="0.3">
      <c r="A1477" s="35"/>
      <c r="B1477" s="25"/>
      <c r="C1477" s="25"/>
      <c r="D1477" s="25"/>
      <c r="E1477" s="25"/>
      <c r="F1477" s="25"/>
      <c r="G1477" s="25"/>
      <c r="H1477" s="25"/>
      <c r="I1477" s="25"/>
      <c r="J1477" s="25"/>
      <c r="K1477" s="25"/>
      <c r="L1477" s="25"/>
      <c r="M1477" s="22" t="s">
        <v>86</v>
      </c>
      <c r="N1477" s="23">
        <v>46083</v>
      </c>
      <c r="O1477" s="26" t="str">
        <f t="shared" si="72"/>
        <v/>
      </c>
      <c r="P1477" s="26" t="str">
        <f t="shared" si="73"/>
        <v/>
      </c>
      <c r="Q1477" s="26" t="str">
        <f t="shared" si="74"/>
        <v/>
      </c>
    </row>
    <row r="1478" spans="1:17" x14ac:dyDescent="0.3">
      <c r="A1478" s="35"/>
      <c r="B1478" s="25"/>
      <c r="C1478" s="25"/>
      <c r="D1478" s="25"/>
      <c r="E1478" s="25"/>
      <c r="F1478" s="25"/>
      <c r="G1478" s="25"/>
      <c r="H1478" s="25"/>
      <c r="I1478" s="25"/>
      <c r="J1478" s="25"/>
      <c r="K1478" s="25"/>
      <c r="L1478" s="25"/>
      <c r="M1478" s="22" t="s">
        <v>86</v>
      </c>
      <c r="N1478" s="23">
        <v>46083</v>
      </c>
      <c r="O1478" s="26" t="str">
        <f t="shared" si="72"/>
        <v/>
      </c>
      <c r="P1478" s="26" t="str">
        <f t="shared" si="73"/>
        <v/>
      </c>
      <c r="Q1478" s="26" t="str">
        <f t="shared" si="74"/>
        <v/>
      </c>
    </row>
    <row r="1479" spans="1:17" x14ac:dyDescent="0.3">
      <c r="A1479" s="35"/>
      <c r="B1479" s="25"/>
      <c r="C1479" s="25"/>
      <c r="D1479" s="25"/>
      <c r="E1479" s="25"/>
      <c r="F1479" s="25"/>
      <c r="G1479" s="25"/>
      <c r="H1479" s="25"/>
      <c r="I1479" s="25"/>
      <c r="J1479" s="25"/>
      <c r="K1479" s="25"/>
      <c r="L1479" s="25"/>
      <c r="M1479" s="22" t="s">
        <v>86</v>
      </c>
      <c r="N1479" s="23">
        <v>46083</v>
      </c>
      <c r="O1479" s="26" t="str">
        <f t="shared" si="72"/>
        <v/>
      </c>
      <c r="P1479" s="26" t="str">
        <f t="shared" si="73"/>
        <v/>
      </c>
      <c r="Q1479" s="26" t="str">
        <f t="shared" si="74"/>
        <v/>
      </c>
    </row>
    <row r="1480" spans="1:17" x14ac:dyDescent="0.3">
      <c r="A1480" s="35"/>
      <c r="B1480" s="25"/>
      <c r="C1480" s="25"/>
      <c r="D1480" s="25"/>
      <c r="E1480" s="25"/>
      <c r="F1480" s="25"/>
      <c r="G1480" s="25"/>
      <c r="H1480" s="25"/>
      <c r="I1480" s="25"/>
      <c r="J1480" s="25"/>
      <c r="K1480" s="25"/>
      <c r="L1480" s="25"/>
      <c r="M1480" s="22" t="s">
        <v>86</v>
      </c>
      <c r="N1480" s="23">
        <v>46083</v>
      </c>
      <c r="O1480" s="26" t="str">
        <f t="shared" si="72"/>
        <v/>
      </c>
      <c r="P1480" s="26" t="str">
        <f t="shared" si="73"/>
        <v/>
      </c>
      <c r="Q1480" s="26" t="str">
        <f t="shared" si="74"/>
        <v/>
      </c>
    </row>
    <row r="1481" spans="1:17" x14ac:dyDescent="0.3">
      <c r="A1481" s="35"/>
      <c r="B1481" s="25"/>
      <c r="C1481" s="25"/>
      <c r="D1481" s="25"/>
      <c r="E1481" s="25"/>
      <c r="F1481" s="25"/>
      <c r="G1481" s="25"/>
      <c r="H1481" s="25"/>
      <c r="I1481" s="25"/>
      <c r="J1481" s="25"/>
      <c r="K1481" s="25"/>
      <c r="L1481" s="25"/>
      <c r="M1481" s="22" t="s">
        <v>86</v>
      </c>
      <c r="N1481" s="23">
        <v>46083</v>
      </c>
      <c r="O1481" s="26" t="str">
        <f t="shared" si="72"/>
        <v/>
      </c>
      <c r="P1481" s="26" t="str">
        <f t="shared" si="73"/>
        <v/>
      </c>
      <c r="Q1481" s="26" t="str">
        <f t="shared" si="74"/>
        <v/>
      </c>
    </row>
    <row r="1482" spans="1:17" x14ac:dyDescent="0.3">
      <c r="A1482" s="35"/>
      <c r="B1482" s="25"/>
      <c r="C1482" s="25"/>
      <c r="D1482" s="25"/>
      <c r="E1482" s="25"/>
      <c r="F1482" s="25"/>
      <c r="G1482" s="25"/>
      <c r="H1482" s="25"/>
      <c r="I1482" s="25"/>
      <c r="J1482" s="25"/>
      <c r="K1482" s="25"/>
      <c r="L1482" s="25"/>
      <c r="M1482" s="22" t="s">
        <v>86</v>
      </c>
      <c r="N1482" s="23">
        <v>46083</v>
      </c>
      <c r="O1482" s="26" t="str">
        <f t="shared" si="72"/>
        <v/>
      </c>
      <c r="P1482" s="26" t="str">
        <f t="shared" si="73"/>
        <v/>
      </c>
      <c r="Q1482" s="26" t="str">
        <f t="shared" si="74"/>
        <v/>
      </c>
    </row>
    <row r="1483" spans="1:17" x14ac:dyDescent="0.3">
      <c r="A1483" s="35"/>
      <c r="B1483" s="25"/>
      <c r="C1483" s="25"/>
      <c r="D1483" s="25"/>
      <c r="E1483" s="25"/>
      <c r="F1483" s="25"/>
      <c r="G1483" s="25"/>
      <c r="H1483" s="25"/>
      <c r="I1483" s="25"/>
      <c r="J1483" s="25"/>
      <c r="K1483" s="25"/>
      <c r="L1483" s="25"/>
      <c r="M1483" s="22" t="s">
        <v>86</v>
      </c>
      <c r="N1483" s="23">
        <v>46083</v>
      </c>
      <c r="O1483" s="26" t="str">
        <f t="shared" si="72"/>
        <v/>
      </c>
      <c r="P1483" s="26" t="str">
        <f t="shared" si="73"/>
        <v/>
      </c>
      <c r="Q1483" s="26" t="str">
        <f t="shared" si="74"/>
        <v/>
      </c>
    </row>
    <row r="1484" spans="1:17" x14ac:dyDescent="0.3">
      <c r="A1484" s="35"/>
      <c r="B1484" s="25"/>
      <c r="C1484" s="25"/>
      <c r="D1484" s="25"/>
      <c r="E1484" s="25"/>
      <c r="F1484" s="25"/>
      <c r="G1484" s="25"/>
      <c r="H1484" s="25"/>
      <c r="I1484" s="25"/>
      <c r="J1484" s="25"/>
      <c r="K1484" s="25"/>
      <c r="L1484" s="25"/>
      <c r="M1484" s="22" t="s">
        <v>86</v>
      </c>
      <c r="N1484" s="23">
        <v>46083</v>
      </c>
      <c r="O1484" s="26" t="str">
        <f t="shared" si="72"/>
        <v/>
      </c>
      <c r="P1484" s="26" t="str">
        <f t="shared" si="73"/>
        <v/>
      </c>
      <c r="Q1484" s="26" t="str">
        <f t="shared" si="74"/>
        <v/>
      </c>
    </row>
    <row r="1485" spans="1:17" x14ac:dyDescent="0.3">
      <c r="A1485" s="35"/>
      <c r="B1485" s="25"/>
      <c r="C1485" s="25"/>
      <c r="D1485" s="25"/>
      <c r="E1485" s="25"/>
      <c r="F1485" s="25"/>
      <c r="G1485" s="25"/>
      <c r="H1485" s="25"/>
      <c r="I1485" s="25"/>
      <c r="J1485" s="25"/>
      <c r="K1485" s="25"/>
      <c r="L1485" s="25"/>
      <c r="M1485" s="22" t="s">
        <v>86</v>
      </c>
      <c r="N1485" s="23">
        <v>46083</v>
      </c>
      <c r="O1485" s="26" t="str">
        <f t="shared" si="72"/>
        <v/>
      </c>
      <c r="P1485" s="26" t="str">
        <f t="shared" si="73"/>
        <v/>
      </c>
      <c r="Q1485" s="26" t="str">
        <f t="shared" si="74"/>
        <v/>
      </c>
    </row>
    <row r="1486" spans="1:17" x14ac:dyDescent="0.3">
      <c r="A1486" s="35"/>
      <c r="B1486" s="25"/>
      <c r="C1486" s="25"/>
      <c r="D1486" s="25"/>
      <c r="E1486" s="25"/>
      <c r="F1486" s="25"/>
      <c r="G1486" s="25"/>
      <c r="H1486" s="25"/>
      <c r="I1486" s="25"/>
      <c r="J1486" s="25"/>
      <c r="K1486" s="25"/>
      <c r="L1486" s="25"/>
      <c r="M1486" s="22" t="s">
        <v>86</v>
      </c>
      <c r="N1486" s="23">
        <v>46083</v>
      </c>
      <c r="O1486" s="26" t="str">
        <f t="shared" si="72"/>
        <v/>
      </c>
      <c r="P1486" s="26" t="str">
        <f t="shared" si="73"/>
        <v/>
      </c>
      <c r="Q1486" s="26" t="str">
        <f t="shared" si="74"/>
        <v/>
      </c>
    </row>
    <row r="1487" spans="1:17" x14ac:dyDescent="0.3">
      <c r="A1487" s="35"/>
      <c r="B1487" s="25"/>
      <c r="C1487" s="25"/>
      <c r="D1487" s="25"/>
      <c r="E1487" s="25"/>
      <c r="F1487" s="25"/>
      <c r="G1487" s="25"/>
      <c r="H1487" s="25"/>
      <c r="I1487" s="25"/>
      <c r="J1487" s="25"/>
      <c r="K1487" s="25"/>
      <c r="L1487" s="25"/>
      <c r="M1487" s="22" t="s">
        <v>86</v>
      </c>
      <c r="N1487" s="23">
        <v>46083</v>
      </c>
      <c r="O1487" s="26" t="str">
        <f t="shared" si="72"/>
        <v/>
      </c>
      <c r="P1487" s="26" t="str">
        <f t="shared" si="73"/>
        <v/>
      </c>
      <c r="Q1487" s="26" t="str">
        <f t="shared" si="74"/>
        <v/>
      </c>
    </row>
    <row r="1488" spans="1:17" x14ac:dyDescent="0.3">
      <c r="A1488" s="35"/>
      <c r="B1488" s="25"/>
      <c r="C1488" s="25"/>
      <c r="D1488" s="25"/>
      <c r="E1488" s="25"/>
      <c r="F1488" s="25"/>
      <c r="G1488" s="25"/>
      <c r="H1488" s="25"/>
      <c r="I1488" s="25"/>
      <c r="J1488" s="25"/>
      <c r="K1488" s="25"/>
      <c r="L1488" s="25"/>
      <c r="M1488" s="22" t="s">
        <v>86</v>
      </c>
      <c r="N1488" s="23">
        <v>46083</v>
      </c>
      <c r="O1488" s="26" t="str">
        <f t="shared" si="72"/>
        <v/>
      </c>
      <c r="P1488" s="26" t="str">
        <f t="shared" si="73"/>
        <v/>
      </c>
      <c r="Q1488" s="26" t="str">
        <f t="shared" si="74"/>
        <v/>
      </c>
    </row>
    <row r="1489" spans="1:17" x14ac:dyDescent="0.3">
      <c r="A1489" s="35"/>
      <c r="B1489" s="25"/>
      <c r="C1489" s="25"/>
      <c r="D1489" s="25"/>
      <c r="E1489" s="25"/>
      <c r="F1489" s="25"/>
      <c r="G1489" s="25"/>
      <c r="H1489" s="25"/>
      <c r="I1489" s="25"/>
      <c r="J1489" s="25"/>
      <c r="K1489" s="25"/>
      <c r="L1489" s="25"/>
      <c r="M1489" s="22" t="s">
        <v>86</v>
      </c>
      <c r="N1489" s="23">
        <v>46083</v>
      </c>
      <c r="O1489" s="26" t="str">
        <f t="shared" si="72"/>
        <v/>
      </c>
      <c r="P1489" s="26" t="str">
        <f t="shared" si="73"/>
        <v/>
      </c>
      <c r="Q1489" s="26" t="str">
        <f t="shared" si="74"/>
        <v/>
      </c>
    </row>
    <row r="1490" spans="1:17" x14ac:dyDescent="0.3">
      <c r="A1490" s="35"/>
      <c r="B1490" s="25"/>
      <c r="C1490" s="25"/>
      <c r="D1490" s="25"/>
      <c r="E1490" s="25"/>
      <c r="F1490" s="25"/>
      <c r="G1490" s="25"/>
      <c r="H1490" s="25"/>
      <c r="I1490" s="25"/>
      <c r="J1490" s="25"/>
      <c r="K1490" s="25"/>
      <c r="L1490" s="25"/>
      <c r="M1490" s="22" t="s">
        <v>86</v>
      </c>
      <c r="N1490" s="23">
        <v>46083</v>
      </c>
      <c r="O1490" s="26" t="str">
        <f t="shared" si="72"/>
        <v/>
      </c>
      <c r="P1490" s="26" t="str">
        <f t="shared" si="73"/>
        <v/>
      </c>
      <c r="Q1490" s="26" t="str">
        <f t="shared" si="74"/>
        <v/>
      </c>
    </row>
    <row r="1491" spans="1:17" x14ac:dyDescent="0.3">
      <c r="A1491" s="35"/>
      <c r="B1491" s="25"/>
      <c r="C1491" s="25"/>
      <c r="D1491" s="25"/>
      <c r="E1491" s="25"/>
      <c r="F1491" s="25"/>
      <c r="G1491" s="25"/>
      <c r="H1491" s="25"/>
      <c r="I1491" s="25"/>
      <c r="J1491" s="25"/>
      <c r="K1491" s="25"/>
      <c r="L1491" s="25"/>
      <c r="M1491" s="22" t="s">
        <v>86</v>
      </c>
      <c r="N1491" s="23">
        <v>46083</v>
      </c>
      <c r="O1491" s="26" t="str">
        <f t="shared" si="72"/>
        <v/>
      </c>
      <c r="P1491" s="26" t="str">
        <f t="shared" si="73"/>
        <v/>
      </c>
      <c r="Q1491" s="26" t="str">
        <f t="shared" si="74"/>
        <v/>
      </c>
    </row>
    <row r="1492" spans="1:17" x14ac:dyDescent="0.3">
      <c r="A1492" s="35"/>
      <c r="B1492" s="25"/>
      <c r="C1492" s="25"/>
      <c r="D1492" s="25"/>
      <c r="E1492" s="25"/>
      <c r="F1492" s="25"/>
      <c r="G1492" s="25"/>
      <c r="H1492" s="25"/>
      <c r="I1492" s="25"/>
      <c r="J1492" s="25"/>
      <c r="K1492" s="25"/>
      <c r="L1492" s="25"/>
      <c r="M1492" s="22" t="s">
        <v>86</v>
      </c>
      <c r="N1492" s="23">
        <v>46083</v>
      </c>
      <c r="O1492" s="26" t="str">
        <f t="shared" si="72"/>
        <v/>
      </c>
      <c r="P1492" s="26" t="str">
        <f t="shared" si="73"/>
        <v/>
      </c>
      <c r="Q1492" s="26" t="str">
        <f t="shared" si="74"/>
        <v/>
      </c>
    </row>
    <row r="1493" spans="1:17" x14ac:dyDescent="0.3">
      <c r="A1493" s="35"/>
      <c r="B1493" s="25"/>
      <c r="C1493" s="25"/>
      <c r="D1493" s="25"/>
      <c r="E1493" s="25"/>
      <c r="F1493" s="25"/>
      <c r="G1493" s="25"/>
      <c r="H1493" s="25"/>
      <c r="I1493" s="25"/>
      <c r="J1493" s="25"/>
      <c r="K1493" s="25"/>
      <c r="L1493" s="25"/>
      <c r="M1493" s="22" t="s">
        <v>86</v>
      </c>
      <c r="N1493" s="23">
        <v>46083</v>
      </c>
      <c r="O1493" s="26" t="str">
        <f t="shared" si="72"/>
        <v/>
      </c>
      <c r="P1493" s="26" t="str">
        <f t="shared" si="73"/>
        <v/>
      </c>
      <c r="Q1493" s="26" t="str">
        <f t="shared" si="74"/>
        <v/>
      </c>
    </row>
    <row r="1494" spans="1:17" x14ac:dyDescent="0.3">
      <c r="A1494" s="35"/>
      <c r="B1494" s="25"/>
      <c r="C1494" s="25"/>
      <c r="D1494" s="25"/>
      <c r="E1494" s="25"/>
      <c r="F1494" s="25"/>
      <c r="G1494" s="25"/>
      <c r="H1494" s="25"/>
      <c r="I1494" s="25"/>
      <c r="J1494" s="25"/>
      <c r="K1494" s="25"/>
      <c r="L1494" s="25"/>
      <c r="M1494" s="22" t="s">
        <v>86</v>
      </c>
      <c r="N1494" s="23">
        <v>46083</v>
      </c>
      <c r="O1494" s="26" t="str">
        <f t="shared" si="72"/>
        <v/>
      </c>
      <c r="P1494" s="26" t="str">
        <f t="shared" si="73"/>
        <v/>
      </c>
      <c r="Q1494" s="26" t="str">
        <f t="shared" si="74"/>
        <v/>
      </c>
    </row>
    <row r="1495" spans="1:17" x14ac:dyDescent="0.3">
      <c r="A1495" s="35"/>
      <c r="B1495" s="25"/>
      <c r="C1495" s="25"/>
      <c r="D1495" s="25"/>
      <c r="E1495" s="25"/>
      <c r="F1495" s="25"/>
      <c r="G1495" s="25"/>
      <c r="H1495" s="25"/>
      <c r="I1495" s="25"/>
      <c r="J1495" s="25"/>
      <c r="K1495" s="25"/>
      <c r="L1495" s="25"/>
      <c r="M1495" s="22" t="s">
        <v>86</v>
      </c>
      <c r="N1495" s="23">
        <v>46083</v>
      </c>
      <c r="O1495" s="26" t="str">
        <f t="shared" si="72"/>
        <v/>
      </c>
      <c r="P1495" s="26" t="str">
        <f t="shared" si="73"/>
        <v/>
      </c>
      <c r="Q1495" s="26" t="str">
        <f t="shared" si="74"/>
        <v/>
      </c>
    </row>
    <row r="1496" spans="1:17" x14ac:dyDescent="0.3">
      <c r="A1496" s="35"/>
      <c r="B1496" s="25"/>
      <c r="C1496" s="25"/>
      <c r="D1496" s="25"/>
      <c r="E1496" s="25"/>
      <c r="F1496" s="25"/>
      <c r="G1496" s="25"/>
      <c r="H1496" s="25"/>
      <c r="I1496" s="25"/>
      <c r="J1496" s="25"/>
      <c r="K1496" s="25"/>
      <c r="L1496" s="25"/>
      <c r="M1496" s="22" t="s">
        <v>86</v>
      </c>
      <c r="N1496" s="23">
        <v>46083</v>
      </c>
      <c r="O1496" s="26" t="str">
        <f t="shared" si="72"/>
        <v/>
      </c>
      <c r="P1496" s="26" t="str">
        <f t="shared" si="73"/>
        <v/>
      </c>
      <c r="Q1496" s="26" t="str">
        <f t="shared" si="74"/>
        <v/>
      </c>
    </row>
    <row r="1497" spans="1:17" x14ac:dyDescent="0.3">
      <c r="A1497" s="35"/>
      <c r="B1497" s="25"/>
      <c r="C1497" s="25"/>
      <c r="D1497" s="25"/>
      <c r="E1497" s="25"/>
      <c r="F1497" s="25"/>
      <c r="G1497" s="25"/>
      <c r="H1497" s="25"/>
      <c r="I1497" s="25"/>
      <c r="J1497" s="25"/>
      <c r="K1497" s="25"/>
      <c r="L1497" s="25"/>
      <c r="M1497" s="22" t="s">
        <v>86</v>
      </c>
      <c r="N1497" s="23">
        <v>46083</v>
      </c>
      <c r="O1497" s="26" t="str">
        <f t="shared" si="72"/>
        <v/>
      </c>
      <c r="P1497" s="26" t="str">
        <f t="shared" si="73"/>
        <v/>
      </c>
      <c r="Q1497" s="26" t="str">
        <f t="shared" si="74"/>
        <v/>
      </c>
    </row>
    <row r="1498" spans="1:17" x14ac:dyDescent="0.3">
      <c r="A1498" s="35"/>
      <c r="B1498" s="25"/>
      <c r="C1498" s="25"/>
      <c r="D1498" s="25"/>
      <c r="E1498" s="25"/>
      <c r="F1498" s="25"/>
      <c r="G1498" s="25"/>
      <c r="H1498" s="25"/>
      <c r="I1498" s="25"/>
      <c r="J1498" s="25"/>
      <c r="K1498" s="25"/>
      <c r="L1498" s="25"/>
      <c r="M1498" s="22" t="s">
        <v>86</v>
      </c>
      <c r="N1498" s="23">
        <v>46083</v>
      </c>
      <c r="O1498" s="26" t="str">
        <f t="shared" si="72"/>
        <v/>
      </c>
      <c r="P1498" s="26" t="str">
        <f t="shared" si="73"/>
        <v/>
      </c>
      <c r="Q1498" s="26" t="str">
        <f t="shared" si="74"/>
        <v/>
      </c>
    </row>
    <row r="1499" spans="1:17" x14ac:dyDescent="0.3">
      <c r="A1499" s="35"/>
      <c r="B1499" s="25"/>
      <c r="C1499" s="25"/>
      <c r="D1499" s="25"/>
      <c r="E1499" s="25"/>
      <c r="F1499" s="25"/>
      <c r="G1499" s="25"/>
      <c r="H1499" s="25"/>
      <c r="I1499" s="25"/>
      <c r="J1499" s="25"/>
      <c r="K1499" s="25"/>
      <c r="L1499" s="25"/>
      <c r="M1499" s="22" t="s">
        <v>86</v>
      </c>
      <c r="N1499" s="23">
        <v>46083</v>
      </c>
      <c r="O1499" s="26" t="str">
        <f t="shared" si="72"/>
        <v/>
      </c>
      <c r="P1499" s="26" t="str">
        <f t="shared" si="73"/>
        <v/>
      </c>
      <c r="Q1499" s="26" t="str">
        <f t="shared" si="74"/>
        <v/>
      </c>
    </row>
    <row r="1500" spans="1:17" x14ac:dyDescent="0.3">
      <c r="A1500" s="35"/>
      <c r="B1500" s="25"/>
      <c r="C1500" s="25"/>
      <c r="D1500" s="25"/>
      <c r="E1500" s="25"/>
      <c r="F1500" s="25"/>
      <c r="G1500" s="25"/>
      <c r="H1500" s="25"/>
      <c r="I1500" s="25"/>
      <c r="J1500" s="25"/>
      <c r="K1500" s="25"/>
      <c r="L1500" s="25"/>
      <c r="M1500" s="22" t="s">
        <v>86</v>
      </c>
      <c r="N1500" s="23">
        <v>46083</v>
      </c>
      <c r="O1500" s="26" t="str">
        <f t="shared" si="72"/>
        <v/>
      </c>
      <c r="P1500" s="26" t="str">
        <f t="shared" si="73"/>
        <v/>
      </c>
      <c r="Q1500" s="26" t="str">
        <f t="shared" si="74"/>
        <v/>
      </c>
    </row>
    <row r="1501" spans="1:17" x14ac:dyDescent="0.3">
      <c r="A1501" s="35"/>
      <c r="B1501" s="25"/>
      <c r="C1501" s="25"/>
      <c r="D1501" s="25"/>
      <c r="E1501" s="25"/>
      <c r="F1501" s="25"/>
      <c r="G1501" s="25"/>
      <c r="H1501" s="25"/>
      <c r="I1501" s="25"/>
      <c r="J1501" s="25"/>
      <c r="K1501" s="25"/>
      <c r="L1501" s="25"/>
      <c r="M1501" s="22" t="s">
        <v>86</v>
      </c>
      <c r="N1501" s="23">
        <v>46083</v>
      </c>
      <c r="O1501" s="26" t="str">
        <f t="shared" si="72"/>
        <v/>
      </c>
      <c r="P1501" s="26" t="str">
        <f t="shared" si="73"/>
        <v/>
      </c>
      <c r="Q1501" s="26" t="str">
        <f t="shared" si="74"/>
        <v/>
      </c>
    </row>
    <row r="1502" spans="1:17" x14ac:dyDescent="0.3">
      <c r="A1502" s="35"/>
      <c r="B1502" s="25"/>
      <c r="C1502" s="25"/>
      <c r="D1502" s="25"/>
      <c r="E1502" s="25"/>
      <c r="F1502" s="25"/>
      <c r="G1502" s="25"/>
      <c r="H1502" s="25"/>
      <c r="I1502" s="25"/>
      <c r="J1502" s="25"/>
      <c r="K1502" s="25"/>
      <c r="L1502" s="25"/>
      <c r="M1502" s="22" t="s">
        <v>86</v>
      </c>
      <c r="N1502" s="23">
        <v>46083</v>
      </c>
      <c r="O1502" s="26" t="str">
        <f t="shared" si="72"/>
        <v/>
      </c>
      <c r="P1502" s="26" t="str">
        <f t="shared" si="73"/>
        <v/>
      </c>
      <c r="Q1502" s="26" t="str">
        <f t="shared" si="74"/>
        <v/>
      </c>
    </row>
    <row r="1503" spans="1:17" x14ac:dyDescent="0.3">
      <c r="A1503" s="35"/>
      <c r="B1503" s="25"/>
      <c r="C1503" s="25"/>
      <c r="D1503" s="25"/>
      <c r="E1503" s="25"/>
      <c r="F1503" s="25"/>
      <c r="G1503" s="25"/>
      <c r="H1503" s="25"/>
      <c r="I1503" s="25"/>
      <c r="J1503" s="25"/>
      <c r="K1503" s="25"/>
      <c r="L1503" s="25"/>
      <c r="M1503" s="22" t="s">
        <v>86</v>
      </c>
      <c r="N1503" s="23">
        <v>46083</v>
      </c>
      <c r="O1503" s="26" t="str">
        <f t="shared" si="72"/>
        <v/>
      </c>
      <c r="P1503" s="26" t="str">
        <f t="shared" si="73"/>
        <v/>
      </c>
      <c r="Q1503" s="26" t="str">
        <f t="shared" si="74"/>
        <v/>
      </c>
    </row>
    <row r="1504" spans="1:17" x14ac:dyDescent="0.3">
      <c r="A1504" s="35"/>
      <c r="B1504" s="25"/>
      <c r="C1504" s="25"/>
      <c r="D1504" s="25"/>
      <c r="E1504" s="25"/>
      <c r="F1504" s="25"/>
      <c r="G1504" s="25"/>
      <c r="H1504" s="25"/>
      <c r="I1504" s="25"/>
      <c r="J1504" s="25"/>
      <c r="K1504" s="25"/>
      <c r="L1504" s="25"/>
      <c r="M1504" s="22" t="s">
        <v>86</v>
      </c>
      <c r="N1504" s="23">
        <v>46083</v>
      </c>
      <c r="O1504" s="26" t="str">
        <f t="shared" si="72"/>
        <v/>
      </c>
      <c r="P1504" s="26" t="str">
        <f t="shared" si="73"/>
        <v/>
      </c>
      <c r="Q1504" s="26" t="str">
        <f t="shared" si="74"/>
        <v/>
      </c>
    </row>
    <row r="1505" spans="1:17" x14ac:dyDescent="0.3">
      <c r="A1505" s="35"/>
      <c r="B1505" s="25"/>
      <c r="C1505" s="25"/>
      <c r="D1505" s="25"/>
      <c r="E1505" s="25"/>
      <c r="F1505" s="25"/>
      <c r="G1505" s="25"/>
      <c r="H1505" s="25"/>
      <c r="I1505" s="25"/>
      <c r="J1505" s="25"/>
      <c r="K1505" s="25"/>
      <c r="L1505" s="25"/>
      <c r="M1505" s="22" t="s">
        <v>86</v>
      </c>
      <c r="N1505" s="23">
        <v>46083</v>
      </c>
      <c r="O1505" s="26" t="str">
        <f t="shared" si="72"/>
        <v/>
      </c>
      <c r="P1505" s="26" t="str">
        <f t="shared" si="73"/>
        <v/>
      </c>
      <c r="Q1505" s="26" t="str">
        <f t="shared" si="74"/>
        <v/>
      </c>
    </row>
    <row r="1506" spans="1:17" x14ac:dyDescent="0.3">
      <c r="A1506" s="35"/>
      <c r="B1506" s="25"/>
      <c r="C1506" s="25"/>
      <c r="D1506" s="25"/>
      <c r="E1506" s="25"/>
      <c r="F1506" s="25"/>
      <c r="G1506" s="25"/>
      <c r="H1506" s="25"/>
      <c r="I1506" s="25"/>
      <c r="J1506" s="25"/>
      <c r="K1506" s="25"/>
      <c r="L1506" s="25"/>
      <c r="M1506" s="22" t="s">
        <v>86</v>
      </c>
      <c r="N1506" s="23">
        <v>46083</v>
      </c>
      <c r="O1506" s="26" t="str">
        <f t="shared" si="72"/>
        <v/>
      </c>
      <c r="P1506" s="26" t="str">
        <f t="shared" si="73"/>
        <v/>
      </c>
      <c r="Q1506" s="26" t="str">
        <f t="shared" si="74"/>
        <v/>
      </c>
    </row>
    <row r="1507" spans="1:17" x14ac:dyDescent="0.3">
      <c r="A1507" s="35"/>
      <c r="B1507" s="25"/>
      <c r="C1507" s="25"/>
      <c r="D1507" s="25"/>
      <c r="E1507" s="25"/>
      <c r="F1507" s="25"/>
      <c r="G1507" s="25"/>
      <c r="H1507" s="25"/>
      <c r="I1507" s="25"/>
      <c r="J1507" s="25"/>
      <c r="K1507" s="25"/>
      <c r="L1507" s="25"/>
      <c r="M1507" s="22" t="s">
        <v>86</v>
      </c>
      <c r="N1507" s="23">
        <v>46083</v>
      </c>
      <c r="O1507" s="26" t="str">
        <f t="shared" si="72"/>
        <v/>
      </c>
      <c r="P1507" s="26" t="str">
        <f t="shared" si="73"/>
        <v/>
      </c>
      <c r="Q1507" s="26" t="str">
        <f t="shared" si="74"/>
        <v/>
      </c>
    </row>
    <row r="1508" spans="1:17" x14ac:dyDescent="0.3">
      <c r="A1508" s="35"/>
      <c r="B1508" s="25"/>
      <c r="C1508" s="25"/>
      <c r="D1508" s="25"/>
      <c r="E1508" s="25"/>
      <c r="F1508" s="25"/>
      <c r="G1508" s="25"/>
      <c r="H1508" s="25"/>
      <c r="I1508" s="25"/>
      <c r="J1508" s="25"/>
      <c r="K1508" s="25"/>
      <c r="L1508" s="25"/>
      <c r="M1508" s="22" t="s">
        <v>86</v>
      </c>
      <c r="N1508" s="23">
        <v>46083</v>
      </c>
      <c r="O1508" s="26" t="str">
        <f t="shared" si="72"/>
        <v/>
      </c>
      <c r="P1508" s="26" t="str">
        <f t="shared" si="73"/>
        <v/>
      </c>
      <c r="Q1508" s="26" t="str">
        <f t="shared" si="74"/>
        <v/>
      </c>
    </row>
    <row r="1509" spans="1:17" x14ac:dyDescent="0.3">
      <c r="A1509" s="35"/>
      <c r="B1509" s="25"/>
      <c r="C1509" s="25"/>
      <c r="D1509" s="25"/>
      <c r="E1509" s="25"/>
      <c r="F1509" s="25"/>
      <c r="G1509" s="25"/>
      <c r="H1509" s="25"/>
      <c r="I1509" s="25"/>
      <c r="J1509" s="25"/>
      <c r="K1509" s="25"/>
      <c r="L1509" s="25"/>
      <c r="M1509" s="22" t="s">
        <v>86</v>
      </c>
      <c r="N1509" s="23">
        <v>46083</v>
      </c>
      <c r="O1509" s="26" t="str">
        <f t="shared" si="72"/>
        <v/>
      </c>
      <c r="P1509" s="26" t="str">
        <f t="shared" si="73"/>
        <v/>
      </c>
      <c r="Q1509" s="26" t="str">
        <f t="shared" si="74"/>
        <v/>
      </c>
    </row>
    <row r="1510" spans="1:17" x14ac:dyDescent="0.3">
      <c r="A1510" s="35"/>
      <c r="B1510" s="25"/>
      <c r="C1510" s="25"/>
      <c r="D1510" s="25"/>
      <c r="E1510" s="25"/>
      <c r="F1510" s="25"/>
      <c r="G1510" s="25"/>
      <c r="H1510" s="25"/>
      <c r="I1510" s="25"/>
      <c r="J1510" s="25"/>
      <c r="K1510" s="25"/>
      <c r="L1510" s="25"/>
      <c r="M1510" s="22" t="s">
        <v>86</v>
      </c>
      <c r="N1510" s="23">
        <v>46083</v>
      </c>
      <c r="O1510" s="26" t="str">
        <f t="shared" si="72"/>
        <v/>
      </c>
      <c r="P1510" s="26" t="str">
        <f t="shared" si="73"/>
        <v/>
      </c>
      <c r="Q1510" s="26" t="str">
        <f t="shared" si="74"/>
        <v/>
      </c>
    </row>
    <row r="1511" spans="1:17" x14ac:dyDescent="0.3">
      <c r="A1511" s="35"/>
      <c r="B1511" s="25"/>
      <c r="C1511" s="25"/>
      <c r="D1511" s="25"/>
      <c r="E1511" s="25"/>
      <c r="F1511" s="25"/>
      <c r="G1511" s="25"/>
      <c r="H1511" s="25"/>
      <c r="I1511" s="25"/>
      <c r="J1511" s="25"/>
      <c r="K1511" s="25"/>
      <c r="L1511" s="25"/>
      <c r="M1511" s="22" t="s">
        <v>86</v>
      </c>
      <c r="N1511" s="23">
        <v>46083</v>
      </c>
      <c r="O1511" s="26" t="str">
        <f t="shared" si="72"/>
        <v/>
      </c>
      <c r="P1511" s="26" t="str">
        <f t="shared" si="73"/>
        <v/>
      </c>
      <c r="Q1511" s="26" t="str">
        <f t="shared" si="74"/>
        <v/>
      </c>
    </row>
    <row r="1512" spans="1:17" x14ac:dyDescent="0.3">
      <c r="A1512" s="35"/>
      <c r="B1512" s="25"/>
      <c r="C1512" s="25"/>
      <c r="D1512" s="25"/>
      <c r="E1512" s="25"/>
      <c r="F1512" s="25"/>
      <c r="G1512" s="25"/>
      <c r="H1512" s="25"/>
      <c r="I1512" s="25"/>
      <c r="J1512" s="25"/>
      <c r="K1512" s="25"/>
      <c r="L1512" s="25"/>
      <c r="M1512" s="22" t="s">
        <v>86</v>
      </c>
      <c r="N1512" s="23">
        <v>46083</v>
      </c>
      <c r="O1512" s="26" t="str">
        <f t="shared" si="72"/>
        <v/>
      </c>
      <c r="P1512" s="26" t="str">
        <f t="shared" si="73"/>
        <v/>
      </c>
      <c r="Q1512" s="26" t="str">
        <f t="shared" si="74"/>
        <v/>
      </c>
    </row>
    <row r="1513" spans="1:17" x14ac:dyDescent="0.3">
      <c r="A1513" s="35"/>
      <c r="B1513" s="25"/>
      <c r="C1513" s="25"/>
      <c r="D1513" s="25"/>
      <c r="E1513" s="25"/>
      <c r="F1513" s="25"/>
      <c r="G1513" s="25"/>
      <c r="H1513" s="25"/>
      <c r="I1513" s="25"/>
      <c r="J1513" s="25"/>
      <c r="K1513" s="25"/>
      <c r="L1513" s="25"/>
      <c r="M1513" s="22" t="s">
        <v>86</v>
      </c>
      <c r="N1513" s="23">
        <v>46083</v>
      </c>
      <c r="O1513" s="26" t="str">
        <f t="shared" si="72"/>
        <v/>
      </c>
      <c r="P1513" s="26" t="str">
        <f t="shared" si="73"/>
        <v/>
      </c>
      <c r="Q1513" s="26" t="str">
        <f t="shared" si="74"/>
        <v/>
      </c>
    </row>
    <row r="1514" spans="1:17" x14ac:dyDescent="0.3">
      <c r="A1514" s="35"/>
      <c r="B1514" s="25"/>
      <c r="C1514" s="25"/>
      <c r="D1514" s="25"/>
      <c r="E1514" s="25"/>
      <c r="F1514" s="25"/>
      <c r="G1514" s="25"/>
      <c r="H1514" s="25"/>
      <c r="I1514" s="25"/>
      <c r="J1514" s="25"/>
      <c r="K1514" s="25"/>
      <c r="L1514" s="25"/>
      <c r="M1514" s="22" t="s">
        <v>86</v>
      </c>
      <c r="N1514" s="23">
        <v>46083</v>
      </c>
      <c r="O1514" s="26" t="str">
        <f t="shared" si="72"/>
        <v/>
      </c>
      <c r="P1514" s="26" t="str">
        <f t="shared" si="73"/>
        <v/>
      </c>
      <c r="Q1514" s="26" t="str">
        <f t="shared" si="74"/>
        <v/>
      </c>
    </row>
    <row r="1515" spans="1:17" x14ac:dyDescent="0.3">
      <c r="A1515" s="35"/>
      <c r="B1515" s="25"/>
      <c r="C1515" s="25"/>
      <c r="D1515" s="25"/>
      <c r="E1515" s="25"/>
      <c r="F1515" s="25"/>
      <c r="G1515" s="25"/>
      <c r="H1515" s="25"/>
      <c r="I1515" s="25"/>
      <c r="J1515" s="25"/>
      <c r="K1515" s="25"/>
      <c r="L1515" s="25"/>
      <c r="M1515" s="22" t="s">
        <v>86</v>
      </c>
      <c r="N1515" s="23">
        <v>46083</v>
      </c>
      <c r="O1515" s="26" t="str">
        <f t="shared" si="72"/>
        <v/>
      </c>
      <c r="P1515" s="26" t="str">
        <f t="shared" si="73"/>
        <v/>
      </c>
      <c r="Q1515" s="26" t="str">
        <f t="shared" si="74"/>
        <v/>
      </c>
    </row>
    <row r="1516" spans="1:17" x14ac:dyDescent="0.3">
      <c r="A1516" s="35"/>
      <c r="B1516" s="25"/>
      <c r="C1516" s="25"/>
      <c r="D1516" s="25"/>
      <c r="E1516" s="25"/>
      <c r="F1516" s="25"/>
      <c r="G1516" s="25"/>
      <c r="H1516" s="25"/>
      <c r="I1516" s="25"/>
      <c r="J1516" s="25"/>
      <c r="K1516" s="25"/>
      <c r="L1516" s="25"/>
      <c r="M1516" s="22" t="s">
        <v>86</v>
      </c>
      <c r="N1516" s="23">
        <v>46083</v>
      </c>
      <c r="O1516" s="26" t="str">
        <f t="shared" si="72"/>
        <v/>
      </c>
      <c r="P1516" s="26" t="str">
        <f t="shared" si="73"/>
        <v/>
      </c>
      <c r="Q1516" s="26" t="str">
        <f t="shared" si="74"/>
        <v/>
      </c>
    </row>
    <row r="1517" spans="1:17" x14ac:dyDescent="0.3">
      <c r="A1517" s="35"/>
      <c r="B1517" s="25"/>
      <c r="C1517" s="25"/>
      <c r="D1517" s="25"/>
      <c r="E1517" s="25"/>
      <c r="F1517" s="25"/>
      <c r="G1517" s="25"/>
      <c r="H1517" s="25"/>
      <c r="I1517" s="25"/>
      <c r="J1517" s="25"/>
      <c r="K1517" s="25"/>
      <c r="L1517" s="25"/>
      <c r="M1517" s="22" t="s">
        <v>86</v>
      </c>
      <c r="N1517" s="23">
        <v>46083</v>
      </c>
      <c r="O1517" s="26" t="str">
        <f t="shared" si="72"/>
        <v/>
      </c>
      <c r="P1517" s="26" t="str">
        <f t="shared" si="73"/>
        <v/>
      </c>
      <c r="Q1517" s="26" t="str">
        <f t="shared" si="74"/>
        <v/>
      </c>
    </row>
    <row r="1518" spans="1:17" x14ac:dyDescent="0.3">
      <c r="A1518" s="35"/>
      <c r="B1518" s="25"/>
      <c r="C1518" s="25"/>
      <c r="D1518" s="25"/>
      <c r="E1518" s="25"/>
      <c r="F1518" s="25"/>
      <c r="G1518" s="25"/>
      <c r="H1518" s="25"/>
      <c r="I1518" s="25"/>
      <c r="J1518" s="25"/>
      <c r="K1518" s="25"/>
      <c r="L1518" s="25"/>
      <c r="M1518" s="22" t="s">
        <v>86</v>
      </c>
      <c r="N1518" s="23">
        <v>46083</v>
      </c>
      <c r="O1518" s="26" t="str">
        <f t="shared" si="72"/>
        <v/>
      </c>
      <c r="P1518" s="26" t="str">
        <f t="shared" si="73"/>
        <v/>
      </c>
      <c r="Q1518" s="26" t="str">
        <f t="shared" si="74"/>
        <v/>
      </c>
    </row>
    <row r="1519" spans="1:17" x14ac:dyDescent="0.3">
      <c r="A1519" s="35"/>
      <c r="B1519" s="25"/>
      <c r="C1519" s="25"/>
      <c r="D1519" s="25"/>
      <c r="E1519" s="25"/>
      <c r="F1519" s="25"/>
      <c r="G1519" s="25"/>
      <c r="H1519" s="25"/>
      <c r="I1519" s="25"/>
      <c r="J1519" s="25"/>
      <c r="K1519" s="25"/>
      <c r="L1519" s="25"/>
      <c r="M1519" s="22" t="s">
        <v>86</v>
      </c>
      <c r="N1519" s="23">
        <v>46083</v>
      </c>
      <c r="O1519" s="26" t="str">
        <f t="shared" si="72"/>
        <v/>
      </c>
      <c r="P1519" s="26" t="str">
        <f t="shared" si="73"/>
        <v/>
      </c>
      <c r="Q1519" s="26" t="str">
        <f t="shared" si="74"/>
        <v/>
      </c>
    </row>
    <row r="1520" spans="1:17" x14ac:dyDescent="0.3">
      <c r="A1520" s="35"/>
      <c r="B1520" s="25"/>
      <c r="C1520" s="25"/>
      <c r="D1520" s="25"/>
      <c r="E1520" s="25"/>
      <c r="F1520" s="25"/>
      <c r="G1520" s="25"/>
      <c r="H1520" s="25"/>
      <c r="I1520" s="25"/>
      <c r="J1520" s="25"/>
      <c r="K1520" s="25"/>
      <c r="L1520" s="25"/>
      <c r="M1520" s="22" t="s">
        <v>86</v>
      </c>
      <c r="N1520" s="23">
        <v>46083</v>
      </c>
      <c r="O1520" s="26" t="str">
        <f t="shared" si="72"/>
        <v/>
      </c>
      <c r="P1520" s="26" t="str">
        <f t="shared" si="73"/>
        <v/>
      </c>
      <c r="Q1520" s="26" t="str">
        <f t="shared" si="74"/>
        <v/>
      </c>
    </row>
    <row r="1521" spans="1:17" x14ac:dyDescent="0.3">
      <c r="A1521" s="35"/>
      <c r="B1521" s="25"/>
      <c r="C1521" s="25"/>
      <c r="D1521" s="25"/>
      <c r="E1521" s="25"/>
      <c r="F1521" s="25"/>
      <c r="G1521" s="25"/>
      <c r="H1521" s="25"/>
      <c r="I1521" s="25"/>
      <c r="J1521" s="25"/>
      <c r="K1521" s="25"/>
      <c r="L1521" s="25"/>
      <c r="M1521" s="22" t="s">
        <v>86</v>
      </c>
      <c r="N1521" s="23">
        <v>46083</v>
      </c>
      <c r="O1521" s="26" t="str">
        <f t="shared" si="72"/>
        <v/>
      </c>
      <c r="P1521" s="26" t="str">
        <f t="shared" si="73"/>
        <v/>
      </c>
      <c r="Q1521" s="26" t="str">
        <f t="shared" si="74"/>
        <v/>
      </c>
    </row>
    <row r="1522" spans="1:17" x14ac:dyDescent="0.3">
      <c r="A1522" s="35"/>
      <c r="B1522" s="25"/>
      <c r="C1522" s="25"/>
      <c r="D1522" s="25"/>
      <c r="E1522" s="25"/>
      <c r="F1522" s="25"/>
      <c r="G1522" s="25"/>
      <c r="H1522" s="25"/>
      <c r="I1522" s="25"/>
      <c r="J1522" s="25"/>
      <c r="K1522" s="25"/>
      <c r="L1522" s="25"/>
      <c r="M1522" s="22" t="s">
        <v>86</v>
      </c>
      <c r="N1522" s="23">
        <v>46083</v>
      </c>
      <c r="O1522" s="26" t="str">
        <f t="shared" si="72"/>
        <v/>
      </c>
      <c r="P1522" s="26" t="str">
        <f t="shared" si="73"/>
        <v/>
      </c>
      <c r="Q1522" s="26" t="str">
        <f t="shared" si="74"/>
        <v/>
      </c>
    </row>
    <row r="1523" spans="1:17" x14ac:dyDescent="0.3">
      <c r="A1523" s="35"/>
      <c r="B1523" s="25"/>
      <c r="C1523" s="25"/>
      <c r="D1523" s="25"/>
      <c r="E1523" s="25"/>
      <c r="F1523" s="25"/>
      <c r="G1523" s="25"/>
      <c r="H1523" s="25"/>
      <c r="I1523" s="25"/>
      <c r="J1523" s="25"/>
      <c r="K1523" s="25"/>
      <c r="L1523" s="25"/>
      <c r="M1523" s="22" t="s">
        <v>86</v>
      </c>
      <c r="N1523" s="23">
        <v>46083</v>
      </c>
      <c r="O1523" s="26" t="str">
        <f t="shared" si="72"/>
        <v/>
      </c>
      <c r="P1523" s="26" t="str">
        <f t="shared" si="73"/>
        <v/>
      </c>
      <c r="Q1523" s="26" t="str">
        <f t="shared" si="74"/>
        <v/>
      </c>
    </row>
    <row r="1524" spans="1:17" x14ac:dyDescent="0.3">
      <c r="A1524" s="35"/>
      <c r="B1524" s="25"/>
      <c r="C1524" s="25"/>
      <c r="D1524" s="25"/>
      <c r="E1524" s="25"/>
      <c r="F1524" s="25"/>
      <c r="G1524" s="25"/>
      <c r="H1524" s="25"/>
      <c r="I1524" s="25"/>
      <c r="J1524" s="25"/>
      <c r="K1524" s="25"/>
      <c r="L1524" s="25"/>
      <c r="M1524" s="22" t="s">
        <v>86</v>
      </c>
      <c r="N1524" s="23">
        <v>46083</v>
      </c>
      <c r="O1524" s="26" t="str">
        <f t="shared" si="72"/>
        <v/>
      </c>
      <c r="P1524" s="26" t="str">
        <f t="shared" si="73"/>
        <v/>
      </c>
      <c r="Q1524" s="26" t="str">
        <f t="shared" si="74"/>
        <v/>
      </c>
    </row>
    <row r="1525" spans="1:17" x14ac:dyDescent="0.3">
      <c r="A1525" s="35"/>
      <c r="B1525" s="25"/>
      <c r="C1525" s="25"/>
      <c r="D1525" s="25"/>
      <c r="E1525" s="25"/>
      <c r="F1525" s="25"/>
      <c r="G1525" s="25"/>
      <c r="H1525" s="25"/>
      <c r="I1525" s="25"/>
      <c r="J1525" s="25"/>
      <c r="K1525" s="25"/>
      <c r="L1525" s="25"/>
      <c r="M1525" s="22" t="s">
        <v>86</v>
      </c>
      <c r="N1525" s="23">
        <v>46083</v>
      </c>
      <c r="O1525" s="26" t="str">
        <f t="shared" si="72"/>
        <v/>
      </c>
      <c r="P1525" s="26" t="str">
        <f t="shared" si="73"/>
        <v/>
      </c>
      <c r="Q1525" s="26" t="str">
        <f t="shared" si="74"/>
        <v/>
      </c>
    </row>
    <row r="1526" spans="1:17" x14ac:dyDescent="0.3">
      <c r="A1526" s="35"/>
      <c r="B1526" s="25"/>
      <c r="C1526" s="25"/>
      <c r="D1526" s="25"/>
      <c r="E1526" s="25"/>
      <c r="F1526" s="25"/>
      <c r="G1526" s="25"/>
      <c r="H1526" s="25"/>
      <c r="I1526" s="25"/>
      <c r="J1526" s="25"/>
      <c r="K1526" s="25"/>
      <c r="L1526" s="25"/>
      <c r="M1526" s="22" t="s">
        <v>86</v>
      </c>
      <c r="N1526" s="23">
        <v>46083</v>
      </c>
      <c r="O1526" s="26" t="str">
        <f t="shared" si="72"/>
        <v/>
      </c>
      <c r="P1526" s="26" t="str">
        <f t="shared" si="73"/>
        <v/>
      </c>
      <c r="Q1526" s="26" t="str">
        <f t="shared" si="74"/>
        <v/>
      </c>
    </row>
    <row r="1527" spans="1:17" x14ac:dyDescent="0.3">
      <c r="A1527" s="35"/>
      <c r="B1527" s="25"/>
      <c r="C1527" s="25"/>
      <c r="D1527" s="25"/>
      <c r="E1527" s="25"/>
      <c r="F1527" s="25"/>
      <c r="G1527" s="25"/>
      <c r="H1527" s="25"/>
      <c r="I1527" s="25"/>
      <c r="J1527" s="25"/>
      <c r="K1527" s="25"/>
      <c r="L1527" s="25"/>
      <c r="M1527" s="22" t="s">
        <v>86</v>
      </c>
      <c r="N1527" s="23">
        <v>46083</v>
      </c>
      <c r="O1527" s="26" t="str">
        <f t="shared" si="72"/>
        <v/>
      </c>
      <c r="P1527" s="26" t="str">
        <f t="shared" si="73"/>
        <v/>
      </c>
      <c r="Q1527" s="26" t="str">
        <f t="shared" si="74"/>
        <v/>
      </c>
    </row>
    <row r="1528" spans="1:17" x14ac:dyDescent="0.3">
      <c r="A1528" s="35"/>
      <c r="B1528" s="25"/>
      <c r="C1528" s="25"/>
      <c r="D1528" s="25"/>
      <c r="E1528" s="25"/>
      <c r="F1528" s="25"/>
      <c r="G1528" s="25"/>
      <c r="H1528" s="25"/>
      <c r="I1528" s="25"/>
      <c r="J1528" s="25"/>
      <c r="K1528" s="25"/>
      <c r="L1528" s="25"/>
      <c r="M1528" s="22" t="s">
        <v>86</v>
      </c>
      <c r="N1528" s="23">
        <v>46083</v>
      </c>
      <c r="O1528" s="26" t="str">
        <f t="shared" si="72"/>
        <v/>
      </c>
      <c r="P1528" s="26" t="str">
        <f t="shared" si="73"/>
        <v/>
      </c>
      <c r="Q1528" s="26" t="str">
        <f t="shared" si="74"/>
        <v/>
      </c>
    </row>
    <row r="1529" spans="1:17" x14ac:dyDescent="0.3">
      <c r="A1529" s="35"/>
      <c r="B1529" s="25"/>
      <c r="C1529" s="25"/>
      <c r="D1529" s="25"/>
      <c r="E1529" s="25"/>
      <c r="F1529" s="25"/>
      <c r="G1529" s="25"/>
      <c r="H1529" s="25"/>
      <c r="I1529" s="25"/>
      <c r="J1529" s="25"/>
      <c r="K1529" s="25"/>
      <c r="L1529" s="25"/>
      <c r="M1529" s="22" t="s">
        <v>86</v>
      </c>
      <c r="N1529" s="23">
        <v>46083</v>
      </c>
      <c r="O1529" s="26" t="str">
        <f t="shared" si="72"/>
        <v/>
      </c>
      <c r="P1529" s="26" t="str">
        <f t="shared" si="73"/>
        <v/>
      </c>
      <c r="Q1529" s="26" t="str">
        <f t="shared" si="74"/>
        <v/>
      </c>
    </row>
    <row r="1530" spans="1:17" x14ac:dyDescent="0.3">
      <c r="A1530" s="35"/>
      <c r="B1530" s="25"/>
      <c r="C1530" s="25"/>
      <c r="D1530" s="25"/>
      <c r="E1530" s="25"/>
      <c r="F1530" s="25"/>
      <c r="G1530" s="25"/>
      <c r="H1530" s="25"/>
      <c r="I1530" s="25"/>
      <c r="J1530" s="25"/>
      <c r="K1530" s="25"/>
      <c r="L1530" s="25"/>
      <c r="M1530" s="22" t="s">
        <v>86</v>
      </c>
      <c r="N1530" s="23">
        <v>46083</v>
      </c>
      <c r="O1530" s="26" t="str">
        <f t="shared" si="72"/>
        <v/>
      </c>
      <c r="P1530" s="26" t="str">
        <f t="shared" si="73"/>
        <v/>
      </c>
      <c r="Q1530" s="26" t="str">
        <f t="shared" si="74"/>
        <v/>
      </c>
    </row>
    <row r="1531" spans="1:17" x14ac:dyDescent="0.3">
      <c r="A1531" s="35"/>
      <c r="B1531" s="25"/>
      <c r="C1531" s="25"/>
      <c r="D1531" s="25"/>
      <c r="E1531" s="25"/>
      <c r="F1531" s="25"/>
      <c r="G1531" s="25"/>
      <c r="H1531" s="25"/>
      <c r="I1531" s="25"/>
      <c r="J1531" s="25"/>
      <c r="K1531" s="25"/>
      <c r="L1531" s="25"/>
      <c r="M1531" s="22" t="s">
        <v>86</v>
      </c>
      <c r="N1531" s="23">
        <v>46083</v>
      </c>
      <c r="O1531" s="26" t="str">
        <f t="shared" si="72"/>
        <v/>
      </c>
      <c r="P1531" s="26" t="str">
        <f t="shared" si="73"/>
        <v/>
      </c>
      <c r="Q1531" s="26" t="str">
        <f t="shared" si="74"/>
        <v/>
      </c>
    </row>
    <row r="1532" spans="1:17" x14ac:dyDescent="0.3">
      <c r="A1532" s="35"/>
      <c r="B1532" s="25"/>
      <c r="C1532" s="25"/>
      <c r="D1532" s="25"/>
      <c r="E1532" s="25"/>
      <c r="F1532" s="25"/>
      <c r="G1532" s="25"/>
      <c r="H1532" s="25"/>
      <c r="I1532" s="25"/>
      <c r="J1532" s="25"/>
      <c r="K1532" s="25"/>
      <c r="L1532" s="25"/>
      <c r="M1532" s="22" t="s">
        <v>86</v>
      </c>
      <c r="N1532" s="23">
        <v>46083</v>
      </c>
      <c r="O1532" s="26" t="str">
        <f t="shared" si="72"/>
        <v/>
      </c>
      <c r="P1532" s="26" t="str">
        <f t="shared" si="73"/>
        <v/>
      </c>
      <c r="Q1532" s="26" t="str">
        <f t="shared" si="74"/>
        <v/>
      </c>
    </row>
    <row r="1533" spans="1:17" x14ac:dyDescent="0.3">
      <c r="A1533" s="35"/>
      <c r="B1533" s="25"/>
      <c r="C1533" s="25"/>
      <c r="D1533" s="25"/>
      <c r="E1533" s="25"/>
      <c r="F1533" s="25"/>
      <c r="G1533" s="25"/>
      <c r="H1533" s="25"/>
      <c r="I1533" s="25"/>
      <c r="J1533" s="25"/>
      <c r="K1533" s="25"/>
      <c r="L1533" s="25"/>
      <c r="M1533" s="22" t="s">
        <v>86</v>
      </c>
      <c r="N1533" s="23">
        <v>46083</v>
      </c>
      <c r="O1533" s="26" t="str">
        <f t="shared" si="72"/>
        <v/>
      </c>
      <c r="P1533" s="26" t="str">
        <f t="shared" si="73"/>
        <v/>
      </c>
      <c r="Q1533" s="26" t="str">
        <f t="shared" si="74"/>
        <v/>
      </c>
    </row>
    <row r="1534" spans="1:17" x14ac:dyDescent="0.3">
      <c r="A1534" s="35"/>
      <c r="B1534" s="25"/>
      <c r="C1534" s="25"/>
      <c r="D1534" s="25"/>
      <c r="E1534" s="25"/>
      <c r="F1534" s="25"/>
      <c r="G1534" s="25"/>
      <c r="H1534" s="25"/>
      <c r="I1534" s="25"/>
      <c r="J1534" s="25"/>
      <c r="K1534" s="25"/>
      <c r="L1534" s="25"/>
      <c r="M1534" s="22" t="s">
        <v>86</v>
      </c>
      <c r="N1534" s="23">
        <v>46083</v>
      </c>
      <c r="O1534" s="26" t="str">
        <f t="shared" si="72"/>
        <v/>
      </c>
      <c r="P1534" s="26" t="str">
        <f t="shared" si="73"/>
        <v/>
      </c>
      <c r="Q1534" s="26" t="str">
        <f t="shared" si="74"/>
        <v/>
      </c>
    </row>
    <row r="1535" spans="1:17" x14ac:dyDescent="0.3">
      <c r="A1535" s="35"/>
      <c r="B1535" s="25"/>
      <c r="C1535" s="25"/>
      <c r="D1535" s="25"/>
      <c r="E1535" s="25"/>
      <c r="F1535" s="25"/>
      <c r="G1535" s="25"/>
      <c r="H1535" s="25"/>
      <c r="I1535" s="25"/>
      <c r="J1535" s="25"/>
      <c r="K1535" s="25"/>
      <c r="L1535" s="25"/>
      <c r="M1535" s="22" t="s">
        <v>86</v>
      </c>
      <c r="N1535" s="23">
        <v>46083</v>
      </c>
      <c r="O1535" s="26" t="str">
        <f t="shared" si="72"/>
        <v/>
      </c>
      <c r="P1535" s="26" t="str">
        <f t="shared" si="73"/>
        <v/>
      </c>
      <c r="Q1535" s="26" t="str">
        <f t="shared" si="74"/>
        <v/>
      </c>
    </row>
    <row r="1536" spans="1:17" x14ac:dyDescent="0.3">
      <c r="A1536" s="35"/>
      <c r="B1536" s="25"/>
      <c r="C1536" s="25"/>
      <c r="D1536" s="25"/>
      <c r="E1536" s="25"/>
      <c r="F1536" s="25"/>
      <c r="G1536" s="25"/>
      <c r="H1536" s="25"/>
      <c r="I1536" s="25"/>
      <c r="J1536" s="25"/>
      <c r="K1536" s="25"/>
      <c r="L1536" s="25"/>
      <c r="M1536" s="22" t="s">
        <v>86</v>
      </c>
      <c r="N1536" s="23">
        <v>46083</v>
      </c>
      <c r="O1536" s="26" t="str">
        <f t="shared" si="72"/>
        <v/>
      </c>
      <c r="P1536" s="26" t="str">
        <f t="shared" si="73"/>
        <v/>
      </c>
      <c r="Q1536" s="26" t="str">
        <f t="shared" si="74"/>
        <v/>
      </c>
    </row>
    <row r="1537" spans="1:17" x14ac:dyDescent="0.3">
      <c r="A1537" s="35"/>
      <c r="B1537" s="25"/>
      <c r="C1537" s="25"/>
      <c r="D1537" s="25"/>
      <c r="E1537" s="25"/>
      <c r="F1537" s="25"/>
      <c r="G1537" s="25"/>
      <c r="H1537" s="25"/>
      <c r="I1537" s="25"/>
      <c r="J1537" s="25"/>
      <c r="K1537" s="25"/>
      <c r="L1537" s="25"/>
      <c r="M1537" s="22" t="s">
        <v>86</v>
      </c>
      <c r="N1537" s="23">
        <v>46083</v>
      </c>
      <c r="O1537" s="26" t="str">
        <f t="shared" si="72"/>
        <v/>
      </c>
      <c r="P1537" s="26" t="str">
        <f t="shared" si="73"/>
        <v/>
      </c>
      <c r="Q1537" s="26" t="str">
        <f t="shared" si="74"/>
        <v/>
      </c>
    </row>
    <row r="1538" spans="1:17" x14ac:dyDescent="0.3">
      <c r="A1538" s="35"/>
      <c r="B1538" s="25"/>
      <c r="C1538" s="25"/>
      <c r="D1538" s="25"/>
      <c r="E1538" s="25"/>
      <c r="F1538" s="25"/>
      <c r="G1538" s="25"/>
      <c r="H1538" s="25"/>
      <c r="I1538" s="25"/>
      <c r="J1538" s="25"/>
      <c r="K1538" s="25"/>
      <c r="L1538" s="25"/>
      <c r="M1538" s="22" t="s">
        <v>86</v>
      </c>
      <c r="N1538" s="23">
        <v>46083</v>
      </c>
      <c r="O1538" s="26" t="str">
        <f t="shared" ref="O1538:O1601" si="75">IF(A1538="","",IFERROR(IF(AND(LEN(A1538)=10,NOT(ISERROR(VALUE(A1538)))),"OK","확인"),"확인"))</f>
        <v/>
      </c>
      <c r="P1538" s="26" t="str">
        <f t="shared" ref="P1538:P1601" si="76">IF(A1538="","",IF(COUNTIF($A$2:$A$1946,A1538)&gt;1,"중복",""))</f>
        <v/>
      </c>
      <c r="Q1538" s="26" t="str">
        <f t="shared" ref="Q1538:Q1601" si="77">IF(G1538="","",IF(ISNUMBER(SEARCH("@",G1538)),"","확인"))</f>
        <v/>
      </c>
    </row>
    <row r="1539" spans="1:17" x14ac:dyDescent="0.3">
      <c r="A1539" s="35"/>
      <c r="B1539" s="25"/>
      <c r="C1539" s="25"/>
      <c r="D1539" s="25"/>
      <c r="E1539" s="25"/>
      <c r="F1539" s="25"/>
      <c r="G1539" s="25"/>
      <c r="H1539" s="25"/>
      <c r="I1539" s="25"/>
      <c r="J1539" s="25"/>
      <c r="K1539" s="25"/>
      <c r="L1539" s="25"/>
      <c r="M1539" s="22" t="s">
        <v>86</v>
      </c>
      <c r="N1539" s="23">
        <v>46083</v>
      </c>
      <c r="O1539" s="26" t="str">
        <f t="shared" si="75"/>
        <v/>
      </c>
      <c r="P1539" s="26" t="str">
        <f t="shared" si="76"/>
        <v/>
      </c>
      <c r="Q1539" s="26" t="str">
        <f t="shared" si="77"/>
        <v/>
      </c>
    </row>
    <row r="1540" spans="1:17" x14ac:dyDescent="0.3">
      <c r="A1540" s="35"/>
      <c r="B1540" s="25"/>
      <c r="C1540" s="25"/>
      <c r="D1540" s="25"/>
      <c r="E1540" s="25"/>
      <c r="F1540" s="25"/>
      <c r="G1540" s="25"/>
      <c r="H1540" s="25"/>
      <c r="I1540" s="25"/>
      <c r="J1540" s="25"/>
      <c r="K1540" s="25"/>
      <c r="L1540" s="25"/>
      <c r="M1540" s="22" t="s">
        <v>86</v>
      </c>
      <c r="N1540" s="23">
        <v>46083</v>
      </c>
      <c r="O1540" s="26" t="str">
        <f t="shared" si="75"/>
        <v/>
      </c>
      <c r="P1540" s="26" t="str">
        <f t="shared" si="76"/>
        <v/>
      </c>
      <c r="Q1540" s="26" t="str">
        <f t="shared" si="77"/>
        <v/>
      </c>
    </row>
    <row r="1541" spans="1:17" x14ac:dyDescent="0.3">
      <c r="A1541" s="35"/>
      <c r="B1541" s="25"/>
      <c r="C1541" s="25"/>
      <c r="D1541" s="25"/>
      <c r="E1541" s="25"/>
      <c r="F1541" s="25"/>
      <c r="G1541" s="25"/>
      <c r="H1541" s="25"/>
      <c r="I1541" s="25"/>
      <c r="J1541" s="25"/>
      <c r="K1541" s="25"/>
      <c r="L1541" s="25"/>
      <c r="M1541" s="22" t="s">
        <v>86</v>
      </c>
      <c r="N1541" s="23">
        <v>46083</v>
      </c>
      <c r="O1541" s="26" t="str">
        <f t="shared" si="75"/>
        <v/>
      </c>
      <c r="P1541" s="26" t="str">
        <f t="shared" si="76"/>
        <v/>
      </c>
      <c r="Q1541" s="26" t="str">
        <f t="shared" si="77"/>
        <v/>
      </c>
    </row>
    <row r="1542" spans="1:17" x14ac:dyDescent="0.3">
      <c r="A1542" s="35"/>
      <c r="B1542" s="25"/>
      <c r="C1542" s="25"/>
      <c r="D1542" s="25"/>
      <c r="E1542" s="25"/>
      <c r="F1542" s="25"/>
      <c r="G1542" s="25"/>
      <c r="H1542" s="25"/>
      <c r="I1542" s="25"/>
      <c r="J1542" s="25"/>
      <c r="K1542" s="25"/>
      <c r="L1542" s="25"/>
      <c r="M1542" s="22" t="s">
        <v>86</v>
      </c>
      <c r="N1542" s="23">
        <v>46083</v>
      </c>
      <c r="O1542" s="26" t="str">
        <f t="shared" si="75"/>
        <v/>
      </c>
      <c r="P1542" s="26" t="str">
        <f t="shared" si="76"/>
        <v/>
      </c>
      <c r="Q1542" s="26" t="str">
        <f t="shared" si="77"/>
        <v/>
      </c>
    </row>
    <row r="1543" spans="1:17" x14ac:dyDescent="0.3">
      <c r="A1543" s="35"/>
      <c r="B1543" s="25"/>
      <c r="C1543" s="25"/>
      <c r="D1543" s="25"/>
      <c r="E1543" s="25"/>
      <c r="F1543" s="25"/>
      <c r="G1543" s="25"/>
      <c r="H1543" s="25"/>
      <c r="I1543" s="25"/>
      <c r="J1543" s="25"/>
      <c r="K1543" s="25"/>
      <c r="L1543" s="25"/>
      <c r="M1543" s="22" t="s">
        <v>86</v>
      </c>
      <c r="N1543" s="23">
        <v>46083</v>
      </c>
      <c r="O1543" s="26" t="str">
        <f t="shared" si="75"/>
        <v/>
      </c>
      <c r="P1543" s="26" t="str">
        <f t="shared" si="76"/>
        <v/>
      </c>
      <c r="Q1543" s="26" t="str">
        <f t="shared" si="77"/>
        <v/>
      </c>
    </row>
    <row r="1544" spans="1:17" x14ac:dyDescent="0.3">
      <c r="A1544" s="35"/>
      <c r="B1544" s="25"/>
      <c r="C1544" s="25"/>
      <c r="D1544" s="25"/>
      <c r="E1544" s="25"/>
      <c r="F1544" s="25"/>
      <c r="G1544" s="25"/>
      <c r="H1544" s="25"/>
      <c r="I1544" s="25"/>
      <c r="J1544" s="25"/>
      <c r="K1544" s="25"/>
      <c r="L1544" s="25"/>
      <c r="M1544" s="22" t="s">
        <v>86</v>
      </c>
      <c r="N1544" s="23">
        <v>46083</v>
      </c>
      <c r="O1544" s="26" t="str">
        <f t="shared" si="75"/>
        <v/>
      </c>
      <c r="P1544" s="26" t="str">
        <f t="shared" si="76"/>
        <v/>
      </c>
      <c r="Q1544" s="26" t="str">
        <f t="shared" si="77"/>
        <v/>
      </c>
    </row>
    <row r="1545" spans="1:17" x14ac:dyDescent="0.3">
      <c r="A1545" s="35"/>
      <c r="B1545" s="25"/>
      <c r="C1545" s="25"/>
      <c r="D1545" s="25"/>
      <c r="E1545" s="25"/>
      <c r="F1545" s="25"/>
      <c r="G1545" s="25"/>
      <c r="H1545" s="25"/>
      <c r="I1545" s="25"/>
      <c r="J1545" s="25"/>
      <c r="K1545" s="25"/>
      <c r="L1545" s="25"/>
      <c r="M1545" s="22" t="s">
        <v>86</v>
      </c>
      <c r="N1545" s="23">
        <v>46083</v>
      </c>
      <c r="O1545" s="26" t="str">
        <f t="shared" si="75"/>
        <v/>
      </c>
      <c r="P1545" s="26" t="str">
        <f t="shared" si="76"/>
        <v/>
      </c>
      <c r="Q1545" s="26" t="str">
        <f t="shared" si="77"/>
        <v/>
      </c>
    </row>
    <row r="1546" spans="1:17" x14ac:dyDescent="0.3">
      <c r="A1546" s="35"/>
      <c r="B1546" s="25"/>
      <c r="C1546" s="25"/>
      <c r="D1546" s="25"/>
      <c r="E1546" s="25"/>
      <c r="F1546" s="25"/>
      <c r="G1546" s="25"/>
      <c r="H1546" s="25"/>
      <c r="I1546" s="25"/>
      <c r="J1546" s="25"/>
      <c r="K1546" s="25"/>
      <c r="L1546" s="25"/>
      <c r="M1546" s="22" t="s">
        <v>86</v>
      </c>
      <c r="N1546" s="23">
        <v>46083</v>
      </c>
      <c r="O1546" s="26" t="str">
        <f t="shared" si="75"/>
        <v/>
      </c>
      <c r="P1546" s="26" t="str">
        <f t="shared" si="76"/>
        <v/>
      </c>
      <c r="Q1546" s="26" t="str">
        <f t="shared" si="77"/>
        <v/>
      </c>
    </row>
    <row r="1547" spans="1:17" x14ac:dyDescent="0.3">
      <c r="A1547" s="35"/>
      <c r="B1547" s="25"/>
      <c r="C1547" s="25"/>
      <c r="D1547" s="25"/>
      <c r="E1547" s="25"/>
      <c r="F1547" s="25"/>
      <c r="G1547" s="25"/>
      <c r="H1547" s="25"/>
      <c r="I1547" s="25"/>
      <c r="J1547" s="25"/>
      <c r="K1547" s="25"/>
      <c r="L1547" s="25"/>
      <c r="M1547" s="22" t="s">
        <v>86</v>
      </c>
      <c r="N1547" s="23">
        <v>46083</v>
      </c>
      <c r="O1547" s="26" t="str">
        <f t="shared" si="75"/>
        <v/>
      </c>
      <c r="P1547" s="26" t="str">
        <f t="shared" si="76"/>
        <v/>
      </c>
      <c r="Q1547" s="26" t="str">
        <f t="shared" si="77"/>
        <v/>
      </c>
    </row>
    <row r="1548" spans="1:17" x14ac:dyDescent="0.3">
      <c r="A1548" s="35"/>
      <c r="B1548" s="25"/>
      <c r="C1548" s="25"/>
      <c r="D1548" s="25"/>
      <c r="E1548" s="25"/>
      <c r="F1548" s="25"/>
      <c r="G1548" s="25"/>
      <c r="H1548" s="25"/>
      <c r="I1548" s="25"/>
      <c r="J1548" s="25"/>
      <c r="K1548" s="25"/>
      <c r="L1548" s="25"/>
      <c r="M1548" s="22" t="s">
        <v>86</v>
      </c>
      <c r="N1548" s="23">
        <v>46083</v>
      </c>
      <c r="O1548" s="26" t="str">
        <f t="shared" si="75"/>
        <v/>
      </c>
      <c r="P1548" s="26" t="str">
        <f t="shared" si="76"/>
        <v/>
      </c>
      <c r="Q1548" s="26" t="str">
        <f t="shared" si="77"/>
        <v/>
      </c>
    </row>
    <row r="1549" spans="1:17" x14ac:dyDescent="0.3">
      <c r="A1549" s="35"/>
      <c r="B1549" s="25"/>
      <c r="C1549" s="25"/>
      <c r="D1549" s="25"/>
      <c r="E1549" s="25"/>
      <c r="F1549" s="25"/>
      <c r="G1549" s="25"/>
      <c r="H1549" s="25"/>
      <c r="I1549" s="25"/>
      <c r="J1549" s="25"/>
      <c r="K1549" s="25"/>
      <c r="L1549" s="25"/>
      <c r="M1549" s="22" t="s">
        <v>86</v>
      </c>
      <c r="N1549" s="23">
        <v>46083</v>
      </c>
      <c r="O1549" s="26" t="str">
        <f t="shared" si="75"/>
        <v/>
      </c>
      <c r="P1549" s="26" t="str">
        <f t="shared" si="76"/>
        <v/>
      </c>
      <c r="Q1549" s="26" t="str">
        <f t="shared" si="77"/>
        <v/>
      </c>
    </row>
    <row r="1550" spans="1:17" x14ac:dyDescent="0.3">
      <c r="A1550" s="35"/>
      <c r="B1550" s="25"/>
      <c r="C1550" s="25"/>
      <c r="D1550" s="25"/>
      <c r="E1550" s="25"/>
      <c r="F1550" s="25"/>
      <c r="G1550" s="25"/>
      <c r="H1550" s="25"/>
      <c r="I1550" s="25"/>
      <c r="J1550" s="25"/>
      <c r="K1550" s="25"/>
      <c r="L1550" s="25"/>
      <c r="M1550" s="22" t="s">
        <v>86</v>
      </c>
      <c r="N1550" s="23">
        <v>46083</v>
      </c>
      <c r="O1550" s="26" t="str">
        <f t="shared" si="75"/>
        <v/>
      </c>
      <c r="P1550" s="26" t="str">
        <f t="shared" si="76"/>
        <v/>
      </c>
      <c r="Q1550" s="26" t="str">
        <f t="shared" si="77"/>
        <v/>
      </c>
    </row>
    <row r="1551" spans="1:17" x14ac:dyDescent="0.3">
      <c r="A1551" s="35"/>
      <c r="B1551" s="25"/>
      <c r="C1551" s="25"/>
      <c r="D1551" s="25"/>
      <c r="E1551" s="25"/>
      <c r="F1551" s="25"/>
      <c r="G1551" s="25"/>
      <c r="H1551" s="25"/>
      <c r="I1551" s="25"/>
      <c r="J1551" s="25"/>
      <c r="K1551" s="25"/>
      <c r="L1551" s="25"/>
      <c r="M1551" s="22" t="s">
        <v>86</v>
      </c>
      <c r="N1551" s="23">
        <v>46083</v>
      </c>
      <c r="O1551" s="26" t="str">
        <f t="shared" si="75"/>
        <v/>
      </c>
      <c r="P1551" s="26" t="str">
        <f t="shared" si="76"/>
        <v/>
      </c>
      <c r="Q1551" s="26" t="str">
        <f t="shared" si="77"/>
        <v/>
      </c>
    </row>
    <row r="1552" spans="1:17" x14ac:dyDescent="0.3">
      <c r="A1552" s="35"/>
      <c r="B1552" s="25"/>
      <c r="C1552" s="25"/>
      <c r="D1552" s="25"/>
      <c r="E1552" s="25"/>
      <c r="F1552" s="25"/>
      <c r="G1552" s="25"/>
      <c r="H1552" s="25"/>
      <c r="I1552" s="25"/>
      <c r="J1552" s="25"/>
      <c r="K1552" s="25"/>
      <c r="L1552" s="25"/>
      <c r="M1552" s="22" t="s">
        <v>86</v>
      </c>
      <c r="N1552" s="23">
        <v>46083</v>
      </c>
      <c r="O1552" s="26" t="str">
        <f t="shared" si="75"/>
        <v/>
      </c>
      <c r="P1552" s="26" t="str">
        <f t="shared" si="76"/>
        <v/>
      </c>
      <c r="Q1552" s="26" t="str">
        <f t="shared" si="77"/>
        <v/>
      </c>
    </row>
    <row r="1553" spans="1:17" x14ac:dyDescent="0.3">
      <c r="A1553" s="35"/>
      <c r="B1553" s="25"/>
      <c r="C1553" s="25"/>
      <c r="D1553" s="25"/>
      <c r="E1553" s="25"/>
      <c r="F1553" s="25"/>
      <c r="G1553" s="25"/>
      <c r="H1553" s="25"/>
      <c r="I1553" s="25"/>
      <c r="J1553" s="25"/>
      <c r="K1553" s="25"/>
      <c r="L1553" s="25"/>
      <c r="M1553" s="22" t="s">
        <v>86</v>
      </c>
      <c r="N1553" s="23">
        <v>46083</v>
      </c>
      <c r="O1553" s="26" t="str">
        <f t="shared" si="75"/>
        <v/>
      </c>
      <c r="P1553" s="26" t="str">
        <f t="shared" si="76"/>
        <v/>
      </c>
      <c r="Q1553" s="26" t="str">
        <f t="shared" si="77"/>
        <v/>
      </c>
    </row>
    <row r="1554" spans="1:17" x14ac:dyDescent="0.3">
      <c r="A1554" s="35"/>
      <c r="B1554" s="25"/>
      <c r="C1554" s="25"/>
      <c r="D1554" s="25"/>
      <c r="E1554" s="25"/>
      <c r="F1554" s="25"/>
      <c r="G1554" s="25"/>
      <c r="H1554" s="25"/>
      <c r="I1554" s="25"/>
      <c r="J1554" s="25"/>
      <c r="K1554" s="25"/>
      <c r="L1554" s="25"/>
      <c r="M1554" s="22" t="s">
        <v>86</v>
      </c>
      <c r="N1554" s="23">
        <v>46083</v>
      </c>
      <c r="O1554" s="26" t="str">
        <f t="shared" si="75"/>
        <v/>
      </c>
      <c r="P1554" s="26" t="str">
        <f t="shared" si="76"/>
        <v/>
      </c>
      <c r="Q1554" s="26" t="str">
        <f t="shared" si="77"/>
        <v/>
      </c>
    </row>
    <row r="1555" spans="1:17" x14ac:dyDescent="0.3">
      <c r="A1555" s="35"/>
      <c r="B1555" s="25"/>
      <c r="C1555" s="25"/>
      <c r="D1555" s="25"/>
      <c r="E1555" s="25"/>
      <c r="F1555" s="25"/>
      <c r="G1555" s="25"/>
      <c r="H1555" s="25"/>
      <c r="I1555" s="25"/>
      <c r="J1555" s="25"/>
      <c r="K1555" s="25"/>
      <c r="L1555" s="25"/>
      <c r="M1555" s="22" t="s">
        <v>86</v>
      </c>
      <c r="N1555" s="23">
        <v>46083</v>
      </c>
      <c r="O1555" s="26" t="str">
        <f t="shared" si="75"/>
        <v/>
      </c>
      <c r="P1555" s="26" t="str">
        <f t="shared" si="76"/>
        <v/>
      </c>
      <c r="Q1555" s="26" t="str">
        <f t="shared" si="77"/>
        <v/>
      </c>
    </row>
    <row r="1556" spans="1:17" x14ac:dyDescent="0.3">
      <c r="A1556" s="35"/>
      <c r="B1556" s="25"/>
      <c r="C1556" s="25"/>
      <c r="D1556" s="25"/>
      <c r="E1556" s="25"/>
      <c r="F1556" s="25"/>
      <c r="G1556" s="25"/>
      <c r="H1556" s="25"/>
      <c r="I1556" s="25"/>
      <c r="J1556" s="25"/>
      <c r="K1556" s="25"/>
      <c r="L1556" s="25"/>
      <c r="M1556" s="22" t="s">
        <v>86</v>
      </c>
      <c r="N1556" s="23">
        <v>46083</v>
      </c>
      <c r="O1556" s="26" t="str">
        <f t="shared" si="75"/>
        <v/>
      </c>
      <c r="P1556" s="26" t="str">
        <f t="shared" si="76"/>
        <v/>
      </c>
      <c r="Q1556" s="26" t="str">
        <f t="shared" si="77"/>
        <v/>
      </c>
    </row>
    <row r="1557" spans="1:17" x14ac:dyDescent="0.3">
      <c r="A1557" s="35"/>
      <c r="B1557" s="25"/>
      <c r="C1557" s="25"/>
      <c r="D1557" s="25"/>
      <c r="E1557" s="25"/>
      <c r="F1557" s="25"/>
      <c r="G1557" s="25"/>
      <c r="H1557" s="25"/>
      <c r="I1557" s="25"/>
      <c r="J1557" s="25"/>
      <c r="K1557" s="25"/>
      <c r="L1557" s="25"/>
      <c r="M1557" s="22" t="s">
        <v>86</v>
      </c>
      <c r="N1557" s="23">
        <v>46083</v>
      </c>
      <c r="O1557" s="26" t="str">
        <f t="shared" si="75"/>
        <v/>
      </c>
      <c r="P1557" s="26" t="str">
        <f t="shared" si="76"/>
        <v/>
      </c>
      <c r="Q1557" s="26" t="str">
        <f t="shared" si="77"/>
        <v/>
      </c>
    </row>
    <row r="1558" spans="1:17" x14ac:dyDescent="0.3">
      <c r="A1558" s="35"/>
      <c r="B1558" s="25"/>
      <c r="C1558" s="25"/>
      <c r="D1558" s="25"/>
      <c r="E1558" s="25"/>
      <c r="F1558" s="25"/>
      <c r="G1558" s="25"/>
      <c r="H1558" s="25"/>
      <c r="I1558" s="25"/>
      <c r="J1558" s="25"/>
      <c r="K1558" s="25"/>
      <c r="L1558" s="25"/>
      <c r="M1558" s="22" t="s">
        <v>86</v>
      </c>
      <c r="N1558" s="23">
        <v>46083</v>
      </c>
      <c r="O1558" s="26" t="str">
        <f t="shared" si="75"/>
        <v/>
      </c>
      <c r="P1558" s="26" t="str">
        <f t="shared" si="76"/>
        <v/>
      </c>
      <c r="Q1558" s="26" t="str">
        <f t="shared" si="77"/>
        <v/>
      </c>
    </row>
    <row r="1559" spans="1:17" x14ac:dyDescent="0.3">
      <c r="A1559" s="35"/>
      <c r="B1559" s="25"/>
      <c r="C1559" s="25"/>
      <c r="D1559" s="25"/>
      <c r="E1559" s="25"/>
      <c r="F1559" s="25"/>
      <c r="G1559" s="25"/>
      <c r="H1559" s="25"/>
      <c r="I1559" s="25"/>
      <c r="J1559" s="25"/>
      <c r="K1559" s="25"/>
      <c r="L1559" s="25"/>
      <c r="M1559" s="22" t="s">
        <v>86</v>
      </c>
      <c r="N1559" s="23">
        <v>46083</v>
      </c>
      <c r="O1559" s="26" t="str">
        <f t="shared" si="75"/>
        <v/>
      </c>
      <c r="P1559" s="26" t="str">
        <f t="shared" si="76"/>
        <v/>
      </c>
      <c r="Q1559" s="26" t="str">
        <f t="shared" si="77"/>
        <v/>
      </c>
    </row>
    <row r="1560" spans="1:17" x14ac:dyDescent="0.3">
      <c r="A1560" s="35"/>
      <c r="B1560" s="25"/>
      <c r="C1560" s="25"/>
      <c r="D1560" s="25"/>
      <c r="E1560" s="25"/>
      <c r="F1560" s="25"/>
      <c r="G1560" s="25"/>
      <c r="H1560" s="25"/>
      <c r="I1560" s="25"/>
      <c r="J1560" s="25"/>
      <c r="K1560" s="25"/>
      <c r="L1560" s="25"/>
      <c r="M1560" s="22" t="s">
        <v>86</v>
      </c>
      <c r="N1560" s="23">
        <v>46083</v>
      </c>
      <c r="O1560" s="26" t="str">
        <f t="shared" si="75"/>
        <v/>
      </c>
      <c r="P1560" s="26" t="str">
        <f t="shared" si="76"/>
        <v/>
      </c>
      <c r="Q1560" s="26" t="str">
        <f t="shared" si="77"/>
        <v/>
      </c>
    </row>
    <row r="1561" spans="1:17" x14ac:dyDescent="0.3">
      <c r="A1561" s="35"/>
      <c r="B1561" s="25"/>
      <c r="C1561" s="25"/>
      <c r="D1561" s="25"/>
      <c r="E1561" s="25"/>
      <c r="F1561" s="25"/>
      <c r="G1561" s="25"/>
      <c r="H1561" s="25"/>
      <c r="I1561" s="25"/>
      <c r="J1561" s="25"/>
      <c r="K1561" s="25"/>
      <c r="L1561" s="25"/>
      <c r="M1561" s="22" t="s">
        <v>86</v>
      </c>
      <c r="N1561" s="23">
        <v>46083</v>
      </c>
      <c r="O1561" s="26" t="str">
        <f t="shared" si="75"/>
        <v/>
      </c>
      <c r="P1561" s="26" t="str">
        <f t="shared" si="76"/>
        <v/>
      </c>
      <c r="Q1561" s="26" t="str">
        <f t="shared" si="77"/>
        <v/>
      </c>
    </row>
    <row r="1562" spans="1:17" x14ac:dyDescent="0.3">
      <c r="A1562" s="35"/>
      <c r="B1562" s="25"/>
      <c r="C1562" s="25"/>
      <c r="D1562" s="25"/>
      <c r="E1562" s="25"/>
      <c r="F1562" s="25"/>
      <c r="G1562" s="25"/>
      <c r="H1562" s="25"/>
      <c r="I1562" s="25"/>
      <c r="J1562" s="25"/>
      <c r="K1562" s="25"/>
      <c r="L1562" s="25"/>
      <c r="M1562" s="22" t="s">
        <v>86</v>
      </c>
      <c r="N1562" s="23">
        <v>46083</v>
      </c>
      <c r="O1562" s="26" t="str">
        <f t="shared" si="75"/>
        <v/>
      </c>
      <c r="P1562" s="26" t="str">
        <f t="shared" si="76"/>
        <v/>
      </c>
      <c r="Q1562" s="26" t="str">
        <f t="shared" si="77"/>
        <v/>
      </c>
    </row>
    <row r="1563" spans="1:17" x14ac:dyDescent="0.3">
      <c r="A1563" s="35"/>
      <c r="B1563" s="25"/>
      <c r="C1563" s="25"/>
      <c r="D1563" s="25"/>
      <c r="E1563" s="25"/>
      <c r="F1563" s="25"/>
      <c r="G1563" s="25"/>
      <c r="H1563" s="25"/>
      <c r="I1563" s="25"/>
      <c r="J1563" s="25"/>
      <c r="K1563" s="25"/>
      <c r="L1563" s="25"/>
      <c r="M1563" s="22" t="s">
        <v>86</v>
      </c>
      <c r="N1563" s="23">
        <v>46083</v>
      </c>
      <c r="O1563" s="26" t="str">
        <f t="shared" si="75"/>
        <v/>
      </c>
      <c r="P1563" s="26" t="str">
        <f t="shared" si="76"/>
        <v/>
      </c>
      <c r="Q1563" s="26" t="str">
        <f t="shared" si="77"/>
        <v/>
      </c>
    </row>
    <row r="1564" spans="1:17" x14ac:dyDescent="0.3">
      <c r="A1564" s="35"/>
      <c r="B1564" s="25"/>
      <c r="C1564" s="25"/>
      <c r="D1564" s="25"/>
      <c r="E1564" s="25"/>
      <c r="F1564" s="25"/>
      <c r="G1564" s="25"/>
      <c r="H1564" s="25"/>
      <c r="I1564" s="25"/>
      <c r="J1564" s="25"/>
      <c r="K1564" s="25"/>
      <c r="L1564" s="25"/>
      <c r="M1564" s="22" t="s">
        <v>86</v>
      </c>
      <c r="N1564" s="23">
        <v>46083</v>
      </c>
      <c r="O1564" s="26" t="str">
        <f t="shared" si="75"/>
        <v/>
      </c>
      <c r="P1564" s="26" t="str">
        <f t="shared" si="76"/>
        <v/>
      </c>
      <c r="Q1564" s="26" t="str">
        <f t="shared" si="77"/>
        <v/>
      </c>
    </row>
    <row r="1565" spans="1:17" x14ac:dyDescent="0.3">
      <c r="A1565" s="35"/>
      <c r="B1565" s="25"/>
      <c r="C1565" s="25"/>
      <c r="D1565" s="25"/>
      <c r="E1565" s="25"/>
      <c r="F1565" s="25"/>
      <c r="G1565" s="25"/>
      <c r="H1565" s="25"/>
      <c r="I1565" s="25"/>
      <c r="J1565" s="25"/>
      <c r="K1565" s="25"/>
      <c r="L1565" s="25"/>
      <c r="M1565" s="22" t="s">
        <v>86</v>
      </c>
      <c r="N1565" s="23">
        <v>46083</v>
      </c>
      <c r="O1565" s="26" t="str">
        <f t="shared" si="75"/>
        <v/>
      </c>
      <c r="P1565" s="26" t="str">
        <f t="shared" si="76"/>
        <v/>
      </c>
      <c r="Q1565" s="26" t="str">
        <f t="shared" si="77"/>
        <v/>
      </c>
    </row>
    <row r="1566" spans="1:17" x14ac:dyDescent="0.3">
      <c r="A1566" s="35"/>
      <c r="B1566" s="25"/>
      <c r="C1566" s="25"/>
      <c r="D1566" s="25"/>
      <c r="E1566" s="25"/>
      <c r="F1566" s="25"/>
      <c r="G1566" s="25"/>
      <c r="H1566" s="25"/>
      <c r="I1566" s="25"/>
      <c r="J1566" s="25"/>
      <c r="K1566" s="25"/>
      <c r="L1566" s="25"/>
      <c r="M1566" s="22" t="s">
        <v>86</v>
      </c>
      <c r="N1566" s="23">
        <v>46083</v>
      </c>
      <c r="O1566" s="26" t="str">
        <f t="shared" si="75"/>
        <v/>
      </c>
      <c r="P1566" s="26" t="str">
        <f t="shared" si="76"/>
        <v/>
      </c>
      <c r="Q1566" s="26" t="str">
        <f t="shared" si="77"/>
        <v/>
      </c>
    </row>
    <row r="1567" spans="1:17" x14ac:dyDescent="0.3">
      <c r="A1567" s="35"/>
      <c r="B1567" s="25"/>
      <c r="C1567" s="25"/>
      <c r="D1567" s="25"/>
      <c r="E1567" s="25"/>
      <c r="F1567" s="25"/>
      <c r="G1567" s="25"/>
      <c r="H1567" s="25"/>
      <c r="I1567" s="25"/>
      <c r="J1567" s="25"/>
      <c r="K1567" s="25"/>
      <c r="L1567" s="25"/>
      <c r="M1567" s="22" t="s">
        <v>86</v>
      </c>
      <c r="N1567" s="23">
        <v>46083</v>
      </c>
      <c r="O1567" s="26" t="str">
        <f t="shared" si="75"/>
        <v/>
      </c>
      <c r="P1567" s="26" t="str">
        <f t="shared" si="76"/>
        <v/>
      </c>
      <c r="Q1567" s="26" t="str">
        <f t="shared" si="77"/>
        <v/>
      </c>
    </row>
    <row r="1568" spans="1:17" x14ac:dyDescent="0.3">
      <c r="A1568" s="35"/>
      <c r="B1568" s="25"/>
      <c r="C1568" s="25"/>
      <c r="D1568" s="25"/>
      <c r="E1568" s="25"/>
      <c r="F1568" s="25"/>
      <c r="G1568" s="25"/>
      <c r="H1568" s="25"/>
      <c r="I1568" s="25"/>
      <c r="J1568" s="25"/>
      <c r="K1568" s="25"/>
      <c r="L1568" s="25"/>
      <c r="M1568" s="22" t="s">
        <v>86</v>
      </c>
      <c r="N1568" s="23">
        <v>46083</v>
      </c>
      <c r="O1568" s="26" t="str">
        <f t="shared" si="75"/>
        <v/>
      </c>
      <c r="P1568" s="26" t="str">
        <f t="shared" si="76"/>
        <v/>
      </c>
      <c r="Q1568" s="26" t="str">
        <f t="shared" si="77"/>
        <v/>
      </c>
    </row>
    <row r="1569" spans="1:17" x14ac:dyDescent="0.3">
      <c r="A1569" s="35"/>
      <c r="B1569" s="25"/>
      <c r="C1569" s="25"/>
      <c r="D1569" s="25"/>
      <c r="E1569" s="25"/>
      <c r="F1569" s="25"/>
      <c r="G1569" s="25"/>
      <c r="H1569" s="25"/>
      <c r="I1569" s="25"/>
      <c r="J1569" s="25"/>
      <c r="K1569" s="25"/>
      <c r="L1569" s="25"/>
      <c r="M1569" s="22" t="s">
        <v>86</v>
      </c>
      <c r="N1569" s="23">
        <v>46083</v>
      </c>
      <c r="O1569" s="26" t="str">
        <f t="shared" si="75"/>
        <v/>
      </c>
      <c r="P1569" s="26" t="str">
        <f t="shared" si="76"/>
        <v/>
      </c>
      <c r="Q1569" s="26" t="str">
        <f t="shared" si="77"/>
        <v/>
      </c>
    </row>
    <row r="1570" spans="1:17" x14ac:dyDescent="0.3">
      <c r="A1570" s="35"/>
      <c r="B1570" s="25"/>
      <c r="C1570" s="25"/>
      <c r="D1570" s="25"/>
      <c r="E1570" s="25"/>
      <c r="F1570" s="25"/>
      <c r="G1570" s="25"/>
      <c r="H1570" s="25"/>
      <c r="I1570" s="25"/>
      <c r="J1570" s="25"/>
      <c r="K1570" s="25"/>
      <c r="L1570" s="25"/>
      <c r="M1570" s="22" t="s">
        <v>86</v>
      </c>
      <c r="N1570" s="23">
        <v>46083</v>
      </c>
      <c r="O1570" s="26" t="str">
        <f t="shared" si="75"/>
        <v/>
      </c>
      <c r="P1570" s="26" t="str">
        <f t="shared" si="76"/>
        <v/>
      </c>
      <c r="Q1570" s="26" t="str">
        <f t="shared" si="77"/>
        <v/>
      </c>
    </row>
    <row r="1571" spans="1:17" x14ac:dyDescent="0.3">
      <c r="A1571" s="35"/>
      <c r="B1571" s="25"/>
      <c r="C1571" s="25"/>
      <c r="D1571" s="25"/>
      <c r="E1571" s="25"/>
      <c r="F1571" s="25"/>
      <c r="G1571" s="25"/>
      <c r="H1571" s="25"/>
      <c r="I1571" s="25"/>
      <c r="J1571" s="25"/>
      <c r="K1571" s="25"/>
      <c r="L1571" s="25"/>
      <c r="M1571" s="22" t="s">
        <v>86</v>
      </c>
      <c r="N1571" s="23">
        <v>46083</v>
      </c>
      <c r="O1571" s="26" t="str">
        <f t="shared" si="75"/>
        <v/>
      </c>
      <c r="P1571" s="26" t="str">
        <f t="shared" si="76"/>
        <v/>
      </c>
      <c r="Q1571" s="26" t="str">
        <f t="shared" si="77"/>
        <v/>
      </c>
    </row>
    <row r="1572" spans="1:17" x14ac:dyDescent="0.3">
      <c r="A1572" s="35"/>
      <c r="B1572" s="25"/>
      <c r="C1572" s="25"/>
      <c r="D1572" s="25"/>
      <c r="E1572" s="25"/>
      <c r="F1572" s="25"/>
      <c r="G1572" s="25"/>
      <c r="H1572" s="25"/>
      <c r="I1572" s="25"/>
      <c r="J1572" s="25"/>
      <c r="K1572" s="25"/>
      <c r="L1572" s="25"/>
      <c r="M1572" s="22" t="s">
        <v>86</v>
      </c>
      <c r="N1572" s="23">
        <v>46083</v>
      </c>
      <c r="O1572" s="26" t="str">
        <f t="shared" si="75"/>
        <v/>
      </c>
      <c r="P1572" s="26" t="str">
        <f t="shared" si="76"/>
        <v/>
      </c>
      <c r="Q1572" s="26" t="str">
        <f t="shared" si="77"/>
        <v/>
      </c>
    </row>
    <row r="1573" spans="1:17" x14ac:dyDescent="0.3">
      <c r="A1573" s="35"/>
      <c r="B1573" s="25"/>
      <c r="C1573" s="25"/>
      <c r="D1573" s="25"/>
      <c r="E1573" s="25"/>
      <c r="F1573" s="25"/>
      <c r="G1573" s="25"/>
      <c r="H1573" s="25"/>
      <c r="I1573" s="25"/>
      <c r="J1573" s="25"/>
      <c r="K1573" s="25"/>
      <c r="L1573" s="25"/>
      <c r="M1573" s="22" t="s">
        <v>86</v>
      </c>
      <c r="N1573" s="23">
        <v>46083</v>
      </c>
      <c r="O1573" s="26" t="str">
        <f t="shared" si="75"/>
        <v/>
      </c>
      <c r="P1573" s="26" t="str">
        <f t="shared" si="76"/>
        <v/>
      </c>
      <c r="Q1573" s="26" t="str">
        <f t="shared" si="77"/>
        <v/>
      </c>
    </row>
    <row r="1574" spans="1:17" x14ac:dyDescent="0.3">
      <c r="A1574" s="35"/>
      <c r="B1574" s="25"/>
      <c r="C1574" s="25"/>
      <c r="D1574" s="25"/>
      <c r="E1574" s="25"/>
      <c r="F1574" s="25"/>
      <c r="G1574" s="25"/>
      <c r="H1574" s="25"/>
      <c r="I1574" s="25"/>
      <c r="J1574" s="25"/>
      <c r="K1574" s="25"/>
      <c r="L1574" s="25"/>
      <c r="M1574" s="22" t="s">
        <v>86</v>
      </c>
      <c r="N1574" s="23">
        <v>46083</v>
      </c>
      <c r="O1574" s="26" t="str">
        <f t="shared" si="75"/>
        <v/>
      </c>
      <c r="P1574" s="26" t="str">
        <f t="shared" si="76"/>
        <v/>
      </c>
      <c r="Q1574" s="26" t="str">
        <f t="shared" si="77"/>
        <v/>
      </c>
    </row>
    <row r="1575" spans="1:17" x14ac:dyDescent="0.3">
      <c r="A1575" s="35"/>
      <c r="B1575" s="25"/>
      <c r="C1575" s="25"/>
      <c r="D1575" s="25"/>
      <c r="E1575" s="25"/>
      <c r="F1575" s="25"/>
      <c r="G1575" s="25"/>
      <c r="H1575" s="25"/>
      <c r="I1575" s="25"/>
      <c r="J1575" s="25"/>
      <c r="K1575" s="25"/>
      <c r="L1575" s="25"/>
      <c r="M1575" s="22" t="s">
        <v>86</v>
      </c>
      <c r="N1575" s="23">
        <v>46083</v>
      </c>
      <c r="O1575" s="26" t="str">
        <f t="shared" si="75"/>
        <v/>
      </c>
      <c r="P1575" s="26" t="str">
        <f t="shared" si="76"/>
        <v/>
      </c>
      <c r="Q1575" s="26" t="str">
        <f t="shared" si="77"/>
        <v/>
      </c>
    </row>
    <row r="1576" spans="1:17" x14ac:dyDescent="0.3">
      <c r="A1576" s="35"/>
      <c r="B1576" s="25"/>
      <c r="C1576" s="25"/>
      <c r="D1576" s="25"/>
      <c r="E1576" s="25"/>
      <c r="F1576" s="25"/>
      <c r="G1576" s="25"/>
      <c r="H1576" s="25"/>
      <c r="I1576" s="25"/>
      <c r="J1576" s="25"/>
      <c r="K1576" s="25"/>
      <c r="L1576" s="25"/>
      <c r="M1576" s="22" t="s">
        <v>86</v>
      </c>
      <c r="N1576" s="23">
        <v>46083</v>
      </c>
      <c r="O1576" s="26" t="str">
        <f t="shared" si="75"/>
        <v/>
      </c>
      <c r="P1576" s="26" t="str">
        <f t="shared" si="76"/>
        <v/>
      </c>
      <c r="Q1576" s="26" t="str">
        <f t="shared" si="77"/>
        <v/>
      </c>
    </row>
    <row r="1577" spans="1:17" x14ac:dyDescent="0.3">
      <c r="A1577" s="35"/>
      <c r="B1577" s="25"/>
      <c r="C1577" s="25"/>
      <c r="D1577" s="25"/>
      <c r="E1577" s="25"/>
      <c r="F1577" s="25"/>
      <c r="G1577" s="25"/>
      <c r="H1577" s="25"/>
      <c r="I1577" s="25"/>
      <c r="J1577" s="25"/>
      <c r="K1577" s="25"/>
      <c r="L1577" s="25"/>
      <c r="M1577" s="22" t="s">
        <v>86</v>
      </c>
      <c r="N1577" s="23">
        <v>46083</v>
      </c>
      <c r="O1577" s="26" t="str">
        <f t="shared" si="75"/>
        <v/>
      </c>
      <c r="P1577" s="26" t="str">
        <f t="shared" si="76"/>
        <v/>
      </c>
      <c r="Q1577" s="26" t="str">
        <f t="shared" si="77"/>
        <v/>
      </c>
    </row>
    <row r="1578" spans="1:17" x14ac:dyDescent="0.3">
      <c r="A1578" s="35"/>
      <c r="B1578" s="25"/>
      <c r="C1578" s="25"/>
      <c r="D1578" s="25"/>
      <c r="E1578" s="25"/>
      <c r="F1578" s="25"/>
      <c r="G1578" s="25"/>
      <c r="H1578" s="25"/>
      <c r="I1578" s="25"/>
      <c r="J1578" s="25"/>
      <c r="K1578" s="25"/>
      <c r="L1578" s="25"/>
      <c r="M1578" s="22" t="s">
        <v>86</v>
      </c>
      <c r="N1578" s="23">
        <v>46083</v>
      </c>
      <c r="O1578" s="26" t="str">
        <f t="shared" si="75"/>
        <v/>
      </c>
      <c r="P1578" s="26" t="str">
        <f t="shared" si="76"/>
        <v/>
      </c>
      <c r="Q1578" s="26" t="str">
        <f t="shared" si="77"/>
        <v/>
      </c>
    </row>
    <row r="1579" spans="1:17" x14ac:dyDescent="0.3">
      <c r="A1579" s="35"/>
      <c r="B1579" s="25"/>
      <c r="C1579" s="25"/>
      <c r="D1579" s="25"/>
      <c r="E1579" s="25"/>
      <c r="F1579" s="25"/>
      <c r="G1579" s="25"/>
      <c r="H1579" s="25"/>
      <c r="I1579" s="25"/>
      <c r="J1579" s="25"/>
      <c r="K1579" s="25"/>
      <c r="L1579" s="25"/>
      <c r="M1579" s="22" t="s">
        <v>86</v>
      </c>
      <c r="N1579" s="23">
        <v>46083</v>
      </c>
      <c r="O1579" s="26" t="str">
        <f t="shared" si="75"/>
        <v/>
      </c>
      <c r="P1579" s="26" t="str">
        <f t="shared" si="76"/>
        <v/>
      </c>
      <c r="Q1579" s="26" t="str">
        <f t="shared" si="77"/>
        <v/>
      </c>
    </row>
    <row r="1580" spans="1:17" x14ac:dyDescent="0.3">
      <c r="A1580" s="35"/>
      <c r="B1580" s="25"/>
      <c r="C1580" s="25"/>
      <c r="D1580" s="25"/>
      <c r="E1580" s="25"/>
      <c r="F1580" s="25"/>
      <c r="G1580" s="25"/>
      <c r="H1580" s="25"/>
      <c r="I1580" s="25"/>
      <c r="J1580" s="25"/>
      <c r="K1580" s="25"/>
      <c r="L1580" s="25"/>
      <c r="M1580" s="22" t="s">
        <v>86</v>
      </c>
      <c r="N1580" s="23">
        <v>46083</v>
      </c>
      <c r="O1580" s="26" t="str">
        <f t="shared" si="75"/>
        <v/>
      </c>
      <c r="P1580" s="26" t="str">
        <f t="shared" si="76"/>
        <v/>
      </c>
      <c r="Q1580" s="26" t="str">
        <f t="shared" si="77"/>
        <v/>
      </c>
    </row>
    <row r="1581" spans="1:17" x14ac:dyDescent="0.3">
      <c r="A1581" s="35"/>
      <c r="B1581" s="25"/>
      <c r="C1581" s="25"/>
      <c r="D1581" s="25"/>
      <c r="E1581" s="25"/>
      <c r="F1581" s="25"/>
      <c r="G1581" s="25"/>
      <c r="H1581" s="25"/>
      <c r="I1581" s="25"/>
      <c r="J1581" s="25"/>
      <c r="K1581" s="25"/>
      <c r="L1581" s="25"/>
      <c r="M1581" s="22" t="s">
        <v>86</v>
      </c>
      <c r="N1581" s="23">
        <v>46083</v>
      </c>
      <c r="O1581" s="26" t="str">
        <f t="shared" si="75"/>
        <v/>
      </c>
      <c r="P1581" s="26" t="str">
        <f t="shared" si="76"/>
        <v/>
      </c>
      <c r="Q1581" s="26" t="str">
        <f t="shared" si="77"/>
        <v/>
      </c>
    </row>
    <row r="1582" spans="1:17" x14ac:dyDescent="0.3">
      <c r="A1582" s="35"/>
      <c r="B1582" s="25"/>
      <c r="C1582" s="25"/>
      <c r="D1582" s="25"/>
      <c r="E1582" s="25"/>
      <c r="F1582" s="25"/>
      <c r="G1582" s="25"/>
      <c r="H1582" s="25"/>
      <c r="I1582" s="25"/>
      <c r="J1582" s="25"/>
      <c r="K1582" s="25"/>
      <c r="L1582" s="25"/>
      <c r="M1582" s="22" t="s">
        <v>86</v>
      </c>
      <c r="N1582" s="23">
        <v>46083</v>
      </c>
      <c r="O1582" s="26" t="str">
        <f t="shared" si="75"/>
        <v/>
      </c>
      <c r="P1582" s="26" t="str">
        <f t="shared" si="76"/>
        <v/>
      </c>
      <c r="Q1582" s="26" t="str">
        <f t="shared" si="77"/>
        <v/>
      </c>
    </row>
    <row r="1583" spans="1:17" x14ac:dyDescent="0.3">
      <c r="A1583" s="35"/>
      <c r="B1583" s="25"/>
      <c r="C1583" s="25"/>
      <c r="D1583" s="25"/>
      <c r="E1583" s="25"/>
      <c r="F1583" s="25"/>
      <c r="G1583" s="25"/>
      <c r="H1583" s="25"/>
      <c r="I1583" s="25"/>
      <c r="J1583" s="25"/>
      <c r="K1583" s="25"/>
      <c r="L1583" s="25"/>
      <c r="M1583" s="22" t="s">
        <v>86</v>
      </c>
      <c r="N1583" s="23">
        <v>46083</v>
      </c>
      <c r="O1583" s="26" t="str">
        <f t="shared" si="75"/>
        <v/>
      </c>
      <c r="P1583" s="26" t="str">
        <f t="shared" si="76"/>
        <v/>
      </c>
      <c r="Q1583" s="26" t="str">
        <f t="shared" si="77"/>
        <v/>
      </c>
    </row>
    <row r="1584" spans="1:17" x14ac:dyDescent="0.3">
      <c r="A1584" s="35"/>
      <c r="B1584" s="25"/>
      <c r="C1584" s="25"/>
      <c r="D1584" s="25"/>
      <c r="E1584" s="25"/>
      <c r="F1584" s="25"/>
      <c r="G1584" s="25"/>
      <c r="H1584" s="25"/>
      <c r="I1584" s="25"/>
      <c r="J1584" s="25"/>
      <c r="K1584" s="25"/>
      <c r="L1584" s="25"/>
      <c r="M1584" s="22" t="s">
        <v>86</v>
      </c>
      <c r="N1584" s="23">
        <v>46083</v>
      </c>
      <c r="O1584" s="26" t="str">
        <f t="shared" si="75"/>
        <v/>
      </c>
      <c r="P1584" s="26" t="str">
        <f t="shared" si="76"/>
        <v/>
      </c>
      <c r="Q1584" s="26" t="str">
        <f t="shared" si="77"/>
        <v/>
      </c>
    </row>
    <row r="1585" spans="1:17" x14ac:dyDescent="0.3">
      <c r="A1585" s="35"/>
      <c r="B1585" s="25"/>
      <c r="C1585" s="25"/>
      <c r="D1585" s="25"/>
      <c r="E1585" s="25"/>
      <c r="F1585" s="25"/>
      <c r="G1585" s="25"/>
      <c r="H1585" s="25"/>
      <c r="I1585" s="25"/>
      <c r="J1585" s="25"/>
      <c r="K1585" s="25"/>
      <c r="L1585" s="25"/>
      <c r="M1585" s="22" t="s">
        <v>86</v>
      </c>
      <c r="N1585" s="23">
        <v>46083</v>
      </c>
      <c r="O1585" s="26" t="str">
        <f t="shared" si="75"/>
        <v/>
      </c>
      <c r="P1585" s="26" t="str">
        <f t="shared" si="76"/>
        <v/>
      </c>
      <c r="Q1585" s="26" t="str">
        <f t="shared" si="77"/>
        <v/>
      </c>
    </row>
    <row r="1586" spans="1:17" x14ac:dyDescent="0.3">
      <c r="A1586" s="35"/>
      <c r="B1586" s="25"/>
      <c r="C1586" s="25"/>
      <c r="D1586" s="25"/>
      <c r="E1586" s="25"/>
      <c r="F1586" s="25"/>
      <c r="G1586" s="25"/>
      <c r="H1586" s="25"/>
      <c r="I1586" s="25"/>
      <c r="J1586" s="25"/>
      <c r="K1586" s="25"/>
      <c r="L1586" s="25"/>
      <c r="M1586" s="22" t="s">
        <v>86</v>
      </c>
      <c r="N1586" s="23">
        <v>46083</v>
      </c>
      <c r="O1586" s="26" t="str">
        <f t="shared" si="75"/>
        <v/>
      </c>
      <c r="P1586" s="26" t="str">
        <f t="shared" si="76"/>
        <v/>
      </c>
      <c r="Q1586" s="26" t="str">
        <f t="shared" si="77"/>
        <v/>
      </c>
    </row>
    <row r="1587" spans="1:17" x14ac:dyDescent="0.3">
      <c r="A1587" s="35"/>
      <c r="B1587" s="25"/>
      <c r="C1587" s="25"/>
      <c r="D1587" s="25"/>
      <c r="E1587" s="25"/>
      <c r="F1587" s="25"/>
      <c r="G1587" s="25"/>
      <c r="H1587" s="25"/>
      <c r="I1587" s="25"/>
      <c r="J1587" s="25"/>
      <c r="K1587" s="25"/>
      <c r="L1587" s="25"/>
      <c r="M1587" s="22" t="s">
        <v>86</v>
      </c>
      <c r="N1587" s="23">
        <v>46083</v>
      </c>
      <c r="O1587" s="26" t="str">
        <f t="shared" si="75"/>
        <v/>
      </c>
      <c r="P1587" s="26" t="str">
        <f t="shared" si="76"/>
        <v/>
      </c>
      <c r="Q1587" s="26" t="str">
        <f t="shared" si="77"/>
        <v/>
      </c>
    </row>
    <row r="1588" spans="1:17" x14ac:dyDescent="0.3">
      <c r="A1588" s="35"/>
      <c r="B1588" s="25"/>
      <c r="C1588" s="25"/>
      <c r="D1588" s="25"/>
      <c r="E1588" s="25"/>
      <c r="F1588" s="25"/>
      <c r="G1588" s="25"/>
      <c r="H1588" s="25"/>
      <c r="I1588" s="25"/>
      <c r="J1588" s="25"/>
      <c r="K1588" s="25"/>
      <c r="L1588" s="25"/>
      <c r="M1588" s="22" t="s">
        <v>86</v>
      </c>
      <c r="N1588" s="23">
        <v>46083</v>
      </c>
      <c r="O1588" s="26" t="str">
        <f t="shared" si="75"/>
        <v/>
      </c>
      <c r="P1588" s="26" t="str">
        <f t="shared" si="76"/>
        <v/>
      </c>
      <c r="Q1588" s="26" t="str">
        <f t="shared" si="77"/>
        <v/>
      </c>
    </row>
    <row r="1589" spans="1:17" x14ac:dyDescent="0.3">
      <c r="A1589" s="35"/>
      <c r="B1589" s="25"/>
      <c r="C1589" s="25"/>
      <c r="D1589" s="25"/>
      <c r="E1589" s="25"/>
      <c r="F1589" s="25"/>
      <c r="G1589" s="25"/>
      <c r="H1589" s="25"/>
      <c r="I1589" s="25"/>
      <c r="J1589" s="25"/>
      <c r="K1589" s="25"/>
      <c r="L1589" s="25"/>
      <c r="M1589" s="22" t="s">
        <v>86</v>
      </c>
      <c r="N1589" s="23">
        <v>46083</v>
      </c>
      <c r="O1589" s="26" t="str">
        <f t="shared" si="75"/>
        <v/>
      </c>
      <c r="P1589" s="26" t="str">
        <f t="shared" si="76"/>
        <v/>
      </c>
      <c r="Q1589" s="26" t="str">
        <f t="shared" si="77"/>
        <v/>
      </c>
    </row>
    <row r="1590" spans="1:17" x14ac:dyDescent="0.3">
      <c r="A1590" s="35"/>
      <c r="B1590" s="25"/>
      <c r="C1590" s="25"/>
      <c r="D1590" s="25"/>
      <c r="E1590" s="25"/>
      <c r="F1590" s="25"/>
      <c r="G1590" s="25"/>
      <c r="H1590" s="25"/>
      <c r="I1590" s="25"/>
      <c r="J1590" s="25"/>
      <c r="K1590" s="25"/>
      <c r="L1590" s="25"/>
      <c r="M1590" s="22" t="s">
        <v>86</v>
      </c>
      <c r="N1590" s="23">
        <v>46083</v>
      </c>
      <c r="O1590" s="26" t="str">
        <f t="shared" si="75"/>
        <v/>
      </c>
      <c r="P1590" s="26" t="str">
        <f t="shared" si="76"/>
        <v/>
      </c>
      <c r="Q1590" s="26" t="str">
        <f t="shared" si="77"/>
        <v/>
      </c>
    </row>
    <row r="1591" spans="1:17" x14ac:dyDescent="0.3">
      <c r="A1591" s="35"/>
      <c r="B1591" s="25"/>
      <c r="C1591" s="25"/>
      <c r="D1591" s="25"/>
      <c r="E1591" s="25"/>
      <c r="F1591" s="25"/>
      <c r="G1591" s="25"/>
      <c r="H1591" s="25"/>
      <c r="I1591" s="25"/>
      <c r="J1591" s="25"/>
      <c r="K1591" s="25"/>
      <c r="L1591" s="25"/>
      <c r="M1591" s="22" t="s">
        <v>86</v>
      </c>
      <c r="N1591" s="23">
        <v>46083</v>
      </c>
      <c r="O1591" s="26" t="str">
        <f t="shared" si="75"/>
        <v/>
      </c>
      <c r="P1591" s="26" t="str">
        <f t="shared" si="76"/>
        <v/>
      </c>
      <c r="Q1591" s="26" t="str">
        <f t="shared" si="77"/>
        <v/>
      </c>
    </row>
    <row r="1592" spans="1:17" x14ac:dyDescent="0.3">
      <c r="A1592" s="35"/>
      <c r="B1592" s="25"/>
      <c r="C1592" s="25"/>
      <c r="D1592" s="25"/>
      <c r="E1592" s="25"/>
      <c r="F1592" s="25"/>
      <c r="G1592" s="25"/>
      <c r="H1592" s="25"/>
      <c r="I1592" s="25"/>
      <c r="J1592" s="25"/>
      <c r="K1592" s="25"/>
      <c r="L1592" s="25"/>
      <c r="M1592" s="22" t="s">
        <v>86</v>
      </c>
      <c r="N1592" s="23">
        <v>46083</v>
      </c>
      <c r="O1592" s="26" t="str">
        <f t="shared" si="75"/>
        <v/>
      </c>
      <c r="P1592" s="26" t="str">
        <f t="shared" si="76"/>
        <v/>
      </c>
      <c r="Q1592" s="26" t="str">
        <f t="shared" si="77"/>
        <v/>
      </c>
    </row>
    <row r="1593" spans="1:17" x14ac:dyDescent="0.3">
      <c r="A1593" s="35"/>
      <c r="B1593" s="25"/>
      <c r="C1593" s="25"/>
      <c r="D1593" s="25"/>
      <c r="E1593" s="25"/>
      <c r="F1593" s="25"/>
      <c r="G1593" s="25"/>
      <c r="H1593" s="25"/>
      <c r="I1593" s="25"/>
      <c r="J1593" s="25"/>
      <c r="K1593" s="25"/>
      <c r="L1593" s="25"/>
      <c r="M1593" s="22" t="s">
        <v>86</v>
      </c>
      <c r="N1593" s="23">
        <v>46083</v>
      </c>
      <c r="O1593" s="26" t="str">
        <f t="shared" si="75"/>
        <v/>
      </c>
      <c r="P1593" s="26" t="str">
        <f t="shared" si="76"/>
        <v/>
      </c>
      <c r="Q1593" s="26" t="str">
        <f t="shared" si="77"/>
        <v/>
      </c>
    </row>
    <row r="1594" spans="1:17" x14ac:dyDescent="0.3">
      <c r="A1594" s="35"/>
      <c r="B1594" s="25"/>
      <c r="C1594" s="25"/>
      <c r="D1594" s="25"/>
      <c r="E1594" s="25"/>
      <c r="F1594" s="25"/>
      <c r="G1594" s="25"/>
      <c r="H1594" s="25"/>
      <c r="I1594" s="25"/>
      <c r="J1594" s="25"/>
      <c r="K1594" s="25"/>
      <c r="L1594" s="25"/>
      <c r="M1594" s="22" t="s">
        <v>86</v>
      </c>
      <c r="N1594" s="23">
        <v>46083</v>
      </c>
      <c r="O1594" s="26" t="str">
        <f t="shared" si="75"/>
        <v/>
      </c>
      <c r="P1594" s="26" t="str">
        <f t="shared" si="76"/>
        <v/>
      </c>
      <c r="Q1594" s="26" t="str">
        <f t="shared" si="77"/>
        <v/>
      </c>
    </row>
    <row r="1595" spans="1:17" x14ac:dyDescent="0.3">
      <c r="A1595" s="35"/>
      <c r="B1595" s="25"/>
      <c r="C1595" s="25"/>
      <c r="D1595" s="25"/>
      <c r="E1595" s="25"/>
      <c r="F1595" s="25"/>
      <c r="G1595" s="25"/>
      <c r="H1595" s="25"/>
      <c r="I1595" s="25"/>
      <c r="J1595" s="25"/>
      <c r="K1595" s="25"/>
      <c r="L1595" s="25"/>
      <c r="M1595" s="22" t="s">
        <v>86</v>
      </c>
      <c r="N1595" s="23">
        <v>46083</v>
      </c>
      <c r="O1595" s="26" t="str">
        <f t="shared" si="75"/>
        <v/>
      </c>
      <c r="P1595" s="26" t="str">
        <f t="shared" si="76"/>
        <v/>
      </c>
      <c r="Q1595" s="26" t="str">
        <f t="shared" si="77"/>
        <v/>
      </c>
    </row>
    <row r="1596" spans="1:17" x14ac:dyDescent="0.3">
      <c r="A1596" s="35"/>
      <c r="B1596" s="25"/>
      <c r="C1596" s="25"/>
      <c r="D1596" s="25"/>
      <c r="E1596" s="25"/>
      <c r="F1596" s="25"/>
      <c r="G1596" s="25"/>
      <c r="H1596" s="25"/>
      <c r="I1596" s="25"/>
      <c r="J1596" s="25"/>
      <c r="K1596" s="25"/>
      <c r="L1596" s="25"/>
      <c r="M1596" s="22" t="s">
        <v>86</v>
      </c>
      <c r="N1596" s="23">
        <v>46083</v>
      </c>
      <c r="O1596" s="26" t="str">
        <f t="shared" si="75"/>
        <v/>
      </c>
      <c r="P1596" s="26" t="str">
        <f t="shared" si="76"/>
        <v/>
      </c>
      <c r="Q1596" s="26" t="str">
        <f t="shared" si="77"/>
        <v/>
      </c>
    </row>
    <row r="1597" spans="1:17" x14ac:dyDescent="0.3">
      <c r="A1597" s="35"/>
      <c r="B1597" s="25"/>
      <c r="C1597" s="25"/>
      <c r="D1597" s="25"/>
      <c r="E1597" s="25"/>
      <c r="F1597" s="25"/>
      <c r="G1597" s="25"/>
      <c r="H1597" s="25"/>
      <c r="I1597" s="25"/>
      <c r="J1597" s="25"/>
      <c r="K1597" s="25"/>
      <c r="L1597" s="25"/>
      <c r="M1597" s="22" t="s">
        <v>86</v>
      </c>
      <c r="N1597" s="23">
        <v>46083</v>
      </c>
      <c r="O1597" s="26" t="str">
        <f t="shared" si="75"/>
        <v/>
      </c>
      <c r="P1597" s="26" t="str">
        <f t="shared" si="76"/>
        <v/>
      </c>
      <c r="Q1597" s="26" t="str">
        <f t="shared" si="77"/>
        <v/>
      </c>
    </row>
    <row r="1598" spans="1:17" x14ac:dyDescent="0.3">
      <c r="A1598" s="35"/>
      <c r="B1598" s="25"/>
      <c r="C1598" s="25"/>
      <c r="D1598" s="25"/>
      <c r="E1598" s="25"/>
      <c r="F1598" s="25"/>
      <c r="G1598" s="25"/>
      <c r="H1598" s="25"/>
      <c r="I1598" s="25"/>
      <c r="J1598" s="25"/>
      <c r="K1598" s="25"/>
      <c r="L1598" s="25"/>
      <c r="M1598" s="22" t="s">
        <v>86</v>
      </c>
      <c r="N1598" s="23">
        <v>46083</v>
      </c>
      <c r="O1598" s="26" t="str">
        <f t="shared" si="75"/>
        <v/>
      </c>
      <c r="P1598" s="26" t="str">
        <f t="shared" si="76"/>
        <v/>
      </c>
      <c r="Q1598" s="26" t="str">
        <f t="shared" si="77"/>
        <v/>
      </c>
    </row>
    <row r="1599" spans="1:17" x14ac:dyDescent="0.3">
      <c r="A1599" s="35"/>
      <c r="B1599" s="25"/>
      <c r="C1599" s="25"/>
      <c r="D1599" s="25"/>
      <c r="E1599" s="25"/>
      <c r="F1599" s="25"/>
      <c r="G1599" s="25"/>
      <c r="H1599" s="25"/>
      <c r="I1599" s="25"/>
      <c r="J1599" s="25"/>
      <c r="K1599" s="25"/>
      <c r="L1599" s="25"/>
      <c r="M1599" s="22" t="s">
        <v>86</v>
      </c>
      <c r="N1599" s="23">
        <v>46083</v>
      </c>
      <c r="O1599" s="26" t="str">
        <f t="shared" si="75"/>
        <v/>
      </c>
      <c r="P1599" s="26" t="str">
        <f t="shared" si="76"/>
        <v/>
      </c>
      <c r="Q1599" s="26" t="str">
        <f t="shared" si="77"/>
        <v/>
      </c>
    </row>
    <row r="1600" spans="1:17" x14ac:dyDescent="0.3">
      <c r="A1600" s="35"/>
      <c r="B1600" s="25"/>
      <c r="C1600" s="25"/>
      <c r="D1600" s="25"/>
      <c r="E1600" s="25"/>
      <c r="F1600" s="25"/>
      <c r="G1600" s="25"/>
      <c r="H1600" s="25"/>
      <c r="I1600" s="25"/>
      <c r="J1600" s="25"/>
      <c r="K1600" s="25"/>
      <c r="L1600" s="25"/>
      <c r="M1600" s="22" t="s">
        <v>86</v>
      </c>
      <c r="N1600" s="23">
        <v>46083</v>
      </c>
      <c r="O1600" s="26" t="str">
        <f t="shared" si="75"/>
        <v/>
      </c>
      <c r="P1600" s="26" t="str">
        <f t="shared" si="76"/>
        <v/>
      </c>
      <c r="Q1600" s="26" t="str">
        <f t="shared" si="77"/>
        <v/>
      </c>
    </row>
    <row r="1601" spans="1:17" x14ac:dyDescent="0.3">
      <c r="A1601" s="35"/>
      <c r="B1601" s="25"/>
      <c r="C1601" s="25"/>
      <c r="D1601" s="25"/>
      <c r="E1601" s="25"/>
      <c r="F1601" s="25"/>
      <c r="G1601" s="25"/>
      <c r="H1601" s="25"/>
      <c r="I1601" s="25"/>
      <c r="J1601" s="25"/>
      <c r="K1601" s="25"/>
      <c r="L1601" s="25"/>
      <c r="M1601" s="22" t="s">
        <v>86</v>
      </c>
      <c r="N1601" s="23">
        <v>46083</v>
      </c>
      <c r="O1601" s="26" t="str">
        <f t="shared" si="75"/>
        <v/>
      </c>
      <c r="P1601" s="26" t="str">
        <f t="shared" si="76"/>
        <v/>
      </c>
      <c r="Q1601" s="26" t="str">
        <f t="shared" si="77"/>
        <v/>
      </c>
    </row>
    <row r="1602" spans="1:17" x14ac:dyDescent="0.3">
      <c r="A1602" s="35"/>
      <c r="B1602" s="25"/>
      <c r="C1602" s="25"/>
      <c r="D1602" s="25"/>
      <c r="E1602" s="25"/>
      <c r="F1602" s="25"/>
      <c r="G1602" s="25"/>
      <c r="H1602" s="25"/>
      <c r="I1602" s="25"/>
      <c r="J1602" s="25"/>
      <c r="K1602" s="25"/>
      <c r="L1602" s="25"/>
      <c r="M1602" s="22" t="s">
        <v>86</v>
      </c>
      <c r="N1602" s="23">
        <v>46083</v>
      </c>
      <c r="O1602" s="26" t="str">
        <f t="shared" ref="O1602:O1665" si="78">IF(A1602="","",IFERROR(IF(AND(LEN(A1602)=10,NOT(ISERROR(VALUE(A1602)))),"OK","확인"),"확인"))</f>
        <v/>
      </c>
      <c r="P1602" s="26" t="str">
        <f t="shared" ref="P1602:P1665" si="79">IF(A1602="","",IF(COUNTIF($A$2:$A$1946,A1602)&gt;1,"중복",""))</f>
        <v/>
      </c>
      <c r="Q1602" s="26" t="str">
        <f t="shared" ref="Q1602:Q1665" si="80">IF(G1602="","",IF(ISNUMBER(SEARCH("@",G1602)),"","확인"))</f>
        <v/>
      </c>
    </row>
    <row r="1603" spans="1:17" x14ac:dyDescent="0.3">
      <c r="A1603" s="35"/>
      <c r="B1603" s="25"/>
      <c r="C1603" s="25"/>
      <c r="D1603" s="25"/>
      <c r="E1603" s="25"/>
      <c r="F1603" s="25"/>
      <c r="G1603" s="25"/>
      <c r="H1603" s="25"/>
      <c r="I1603" s="25"/>
      <c r="J1603" s="25"/>
      <c r="K1603" s="25"/>
      <c r="L1603" s="25"/>
      <c r="M1603" s="22" t="s">
        <v>86</v>
      </c>
      <c r="N1603" s="23">
        <v>46083</v>
      </c>
      <c r="O1603" s="26" t="str">
        <f t="shared" si="78"/>
        <v/>
      </c>
      <c r="P1603" s="26" t="str">
        <f t="shared" si="79"/>
        <v/>
      </c>
      <c r="Q1603" s="26" t="str">
        <f t="shared" si="80"/>
        <v/>
      </c>
    </row>
    <row r="1604" spans="1:17" x14ac:dyDescent="0.3">
      <c r="A1604" s="35"/>
      <c r="B1604" s="25"/>
      <c r="C1604" s="25"/>
      <c r="D1604" s="25"/>
      <c r="E1604" s="25"/>
      <c r="F1604" s="25"/>
      <c r="G1604" s="25"/>
      <c r="H1604" s="25"/>
      <c r="I1604" s="25"/>
      <c r="J1604" s="25"/>
      <c r="K1604" s="25"/>
      <c r="L1604" s="25"/>
      <c r="M1604" s="22" t="s">
        <v>86</v>
      </c>
      <c r="N1604" s="23">
        <v>46083</v>
      </c>
      <c r="O1604" s="26" t="str">
        <f t="shared" si="78"/>
        <v/>
      </c>
      <c r="P1604" s="26" t="str">
        <f t="shared" si="79"/>
        <v/>
      </c>
      <c r="Q1604" s="26" t="str">
        <f t="shared" si="80"/>
        <v/>
      </c>
    </row>
    <row r="1605" spans="1:17" x14ac:dyDescent="0.3">
      <c r="A1605" s="35"/>
      <c r="B1605" s="25"/>
      <c r="C1605" s="25"/>
      <c r="D1605" s="25"/>
      <c r="E1605" s="25"/>
      <c r="F1605" s="25"/>
      <c r="G1605" s="25"/>
      <c r="H1605" s="25"/>
      <c r="I1605" s="25"/>
      <c r="J1605" s="25"/>
      <c r="K1605" s="25"/>
      <c r="L1605" s="25"/>
      <c r="M1605" s="22" t="s">
        <v>86</v>
      </c>
      <c r="N1605" s="23">
        <v>46083</v>
      </c>
      <c r="O1605" s="26" t="str">
        <f t="shared" si="78"/>
        <v/>
      </c>
      <c r="P1605" s="26" t="str">
        <f t="shared" si="79"/>
        <v/>
      </c>
      <c r="Q1605" s="26" t="str">
        <f t="shared" si="80"/>
        <v/>
      </c>
    </row>
    <row r="1606" spans="1:17" x14ac:dyDescent="0.3">
      <c r="A1606" s="35"/>
      <c r="B1606" s="25"/>
      <c r="C1606" s="25"/>
      <c r="D1606" s="25"/>
      <c r="E1606" s="25"/>
      <c r="F1606" s="25"/>
      <c r="G1606" s="25"/>
      <c r="H1606" s="25"/>
      <c r="I1606" s="25"/>
      <c r="J1606" s="25"/>
      <c r="K1606" s="25"/>
      <c r="L1606" s="25"/>
      <c r="M1606" s="22" t="s">
        <v>86</v>
      </c>
      <c r="N1606" s="23">
        <v>46083</v>
      </c>
      <c r="O1606" s="26" t="str">
        <f t="shared" si="78"/>
        <v/>
      </c>
      <c r="P1606" s="26" t="str">
        <f t="shared" si="79"/>
        <v/>
      </c>
      <c r="Q1606" s="26" t="str">
        <f t="shared" si="80"/>
        <v/>
      </c>
    </row>
    <row r="1607" spans="1:17" x14ac:dyDescent="0.3">
      <c r="A1607" s="35"/>
      <c r="B1607" s="25"/>
      <c r="C1607" s="25"/>
      <c r="D1607" s="25"/>
      <c r="E1607" s="25"/>
      <c r="F1607" s="25"/>
      <c r="G1607" s="25"/>
      <c r="H1607" s="25"/>
      <c r="I1607" s="25"/>
      <c r="J1607" s="25"/>
      <c r="K1607" s="25"/>
      <c r="L1607" s="25"/>
      <c r="M1607" s="22" t="s">
        <v>86</v>
      </c>
      <c r="N1607" s="23">
        <v>46083</v>
      </c>
      <c r="O1607" s="26" t="str">
        <f t="shared" si="78"/>
        <v/>
      </c>
      <c r="P1607" s="26" t="str">
        <f t="shared" si="79"/>
        <v/>
      </c>
      <c r="Q1607" s="26" t="str">
        <f t="shared" si="80"/>
        <v/>
      </c>
    </row>
    <row r="1608" spans="1:17" x14ac:dyDescent="0.3">
      <c r="A1608" s="35"/>
      <c r="B1608" s="25"/>
      <c r="C1608" s="25"/>
      <c r="D1608" s="25"/>
      <c r="E1608" s="25"/>
      <c r="F1608" s="25"/>
      <c r="G1608" s="25"/>
      <c r="H1608" s="25"/>
      <c r="I1608" s="25"/>
      <c r="J1608" s="25"/>
      <c r="K1608" s="25"/>
      <c r="L1608" s="25"/>
      <c r="M1608" s="22" t="s">
        <v>86</v>
      </c>
      <c r="N1608" s="23">
        <v>46083</v>
      </c>
      <c r="O1608" s="26" t="str">
        <f t="shared" si="78"/>
        <v/>
      </c>
      <c r="P1608" s="26" t="str">
        <f t="shared" si="79"/>
        <v/>
      </c>
      <c r="Q1608" s="26" t="str">
        <f t="shared" si="80"/>
        <v/>
      </c>
    </row>
    <row r="1609" spans="1:17" x14ac:dyDescent="0.3">
      <c r="A1609" s="35"/>
      <c r="B1609" s="25"/>
      <c r="C1609" s="25"/>
      <c r="D1609" s="25"/>
      <c r="E1609" s="25"/>
      <c r="F1609" s="25"/>
      <c r="G1609" s="25"/>
      <c r="H1609" s="25"/>
      <c r="I1609" s="25"/>
      <c r="J1609" s="25"/>
      <c r="K1609" s="25"/>
      <c r="L1609" s="25"/>
      <c r="M1609" s="22" t="s">
        <v>86</v>
      </c>
      <c r="N1609" s="23">
        <v>46083</v>
      </c>
      <c r="O1609" s="26" t="str">
        <f t="shared" si="78"/>
        <v/>
      </c>
      <c r="P1609" s="26" t="str">
        <f t="shared" si="79"/>
        <v/>
      </c>
      <c r="Q1609" s="26" t="str">
        <f t="shared" si="80"/>
        <v/>
      </c>
    </row>
    <row r="1610" spans="1:17" x14ac:dyDescent="0.3">
      <c r="A1610" s="35"/>
      <c r="B1610" s="25"/>
      <c r="C1610" s="25"/>
      <c r="D1610" s="25"/>
      <c r="E1610" s="25"/>
      <c r="F1610" s="25"/>
      <c r="G1610" s="25"/>
      <c r="H1610" s="25"/>
      <c r="I1610" s="25"/>
      <c r="J1610" s="25"/>
      <c r="K1610" s="25"/>
      <c r="L1610" s="25"/>
      <c r="M1610" s="22" t="s">
        <v>86</v>
      </c>
      <c r="N1610" s="23">
        <v>46083</v>
      </c>
      <c r="O1610" s="26" t="str">
        <f t="shared" si="78"/>
        <v/>
      </c>
      <c r="P1610" s="26" t="str">
        <f t="shared" si="79"/>
        <v/>
      </c>
      <c r="Q1610" s="26" t="str">
        <f t="shared" si="80"/>
        <v/>
      </c>
    </row>
    <row r="1611" spans="1:17" x14ac:dyDescent="0.3">
      <c r="A1611" s="35"/>
      <c r="B1611" s="25"/>
      <c r="C1611" s="25"/>
      <c r="D1611" s="25"/>
      <c r="E1611" s="25"/>
      <c r="F1611" s="25"/>
      <c r="G1611" s="25"/>
      <c r="H1611" s="25"/>
      <c r="I1611" s="25"/>
      <c r="J1611" s="25"/>
      <c r="K1611" s="25"/>
      <c r="L1611" s="25"/>
      <c r="M1611" s="22" t="s">
        <v>86</v>
      </c>
      <c r="N1611" s="23">
        <v>46083</v>
      </c>
      <c r="O1611" s="26" t="str">
        <f t="shared" si="78"/>
        <v/>
      </c>
      <c r="P1611" s="26" t="str">
        <f t="shared" si="79"/>
        <v/>
      </c>
      <c r="Q1611" s="26" t="str">
        <f t="shared" si="80"/>
        <v/>
      </c>
    </row>
    <row r="1612" spans="1:17" x14ac:dyDescent="0.3">
      <c r="A1612" s="35"/>
      <c r="B1612" s="25"/>
      <c r="C1612" s="25"/>
      <c r="D1612" s="25"/>
      <c r="E1612" s="25"/>
      <c r="F1612" s="25"/>
      <c r="G1612" s="25"/>
      <c r="H1612" s="25"/>
      <c r="I1612" s="25"/>
      <c r="J1612" s="25"/>
      <c r="K1612" s="25"/>
      <c r="L1612" s="25"/>
      <c r="M1612" s="22" t="s">
        <v>86</v>
      </c>
      <c r="N1612" s="23">
        <v>46083</v>
      </c>
      <c r="O1612" s="26" t="str">
        <f t="shared" si="78"/>
        <v/>
      </c>
      <c r="P1612" s="26" t="str">
        <f t="shared" si="79"/>
        <v/>
      </c>
      <c r="Q1612" s="26" t="str">
        <f t="shared" si="80"/>
        <v/>
      </c>
    </row>
    <row r="1613" spans="1:17" x14ac:dyDescent="0.3">
      <c r="A1613" s="35"/>
      <c r="B1613" s="25"/>
      <c r="C1613" s="25"/>
      <c r="D1613" s="25"/>
      <c r="E1613" s="25"/>
      <c r="F1613" s="25"/>
      <c r="G1613" s="25"/>
      <c r="H1613" s="25"/>
      <c r="I1613" s="25"/>
      <c r="J1613" s="25"/>
      <c r="K1613" s="25"/>
      <c r="L1613" s="25"/>
      <c r="M1613" s="22" t="s">
        <v>86</v>
      </c>
      <c r="N1613" s="23">
        <v>46083</v>
      </c>
      <c r="O1613" s="26" t="str">
        <f t="shared" si="78"/>
        <v/>
      </c>
      <c r="P1613" s="26" t="str">
        <f t="shared" si="79"/>
        <v/>
      </c>
      <c r="Q1613" s="26" t="str">
        <f t="shared" si="80"/>
        <v/>
      </c>
    </row>
    <row r="1614" spans="1:17" x14ac:dyDescent="0.3">
      <c r="A1614" s="35"/>
      <c r="B1614" s="25"/>
      <c r="C1614" s="25"/>
      <c r="D1614" s="25"/>
      <c r="E1614" s="25"/>
      <c r="F1614" s="25"/>
      <c r="G1614" s="25"/>
      <c r="H1614" s="25"/>
      <c r="I1614" s="25"/>
      <c r="J1614" s="25"/>
      <c r="K1614" s="25"/>
      <c r="L1614" s="25"/>
      <c r="M1614" s="22" t="s">
        <v>86</v>
      </c>
      <c r="N1614" s="23">
        <v>46083</v>
      </c>
      <c r="O1614" s="26" t="str">
        <f t="shared" si="78"/>
        <v/>
      </c>
      <c r="P1614" s="26" t="str">
        <f t="shared" si="79"/>
        <v/>
      </c>
      <c r="Q1614" s="26" t="str">
        <f t="shared" si="80"/>
        <v/>
      </c>
    </row>
    <row r="1615" spans="1:17" x14ac:dyDescent="0.3">
      <c r="A1615" s="35"/>
      <c r="B1615" s="25"/>
      <c r="C1615" s="25"/>
      <c r="D1615" s="25"/>
      <c r="E1615" s="25"/>
      <c r="F1615" s="25"/>
      <c r="G1615" s="25"/>
      <c r="H1615" s="25"/>
      <c r="I1615" s="25"/>
      <c r="J1615" s="25"/>
      <c r="K1615" s="25"/>
      <c r="L1615" s="25"/>
      <c r="M1615" s="22" t="s">
        <v>86</v>
      </c>
      <c r="N1615" s="23">
        <v>46083</v>
      </c>
      <c r="O1615" s="26" t="str">
        <f t="shared" si="78"/>
        <v/>
      </c>
      <c r="P1615" s="26" t="str">
        <f t="shared" si="79"/>
        <v/>
      </c>
      <c r="Q1615" s="26" t="str">
        <f t="shared" si="80"/>
        <v/>
      </c>
    </row>
    <row r="1616" spans="1:17" x14ac:dyDescent="0.3">
      <c r="A1616" s="35"/>
      <c r="B1616" s="25"/>
      <c r="C1616" s="25"/>
      <c r="D1616" s="25"/>
      <c r="E1616" s="25"/>
      <c r="F1616" s="25"/>
      <c r="G1616" s="25"/>
      <c r="H1616" s="25"/>
      <c r="I1616" s="25"/>
      <c r="J1616" s="25"/>
      <c r="K1616" s="25"/>
      <c r="L1616" s="25"/>
      <c r="M1616" s="22" t="s">
        <v>86</v>
      </c>
      <c r="N1616" s="23">
        <v>46083</v>
      </c>
      <c r="O1616" s="26" t="str">
        <f t="shared" si="78"/>
        <v/>
      </c>
      <c r="P1616" s="26" t="str">
        <f t="shared" si="79"/>
        <v/>
      </c>
      <c r="Q1616" s="26" t="str">
        <f t="shared" si="80"/>
        <v/>
      </c>
    </row>
    <row r="1617" spans="1:17" x14ac:dyDescent="0.3">
      <c r="A1617" s="35"/>
      <c r="B1617" s="25"/>
      <c r="C1617" s="25"/>
      <c r="D1617" s="25"/>
      <c r="E1617" s="25"/>
      <c r="F1617" s="25"/>
      <c r="G1617" s="25"/>
      <c r="H1617" s="25"/>
      <c r="I1617" s="25"/>
      <c r="J1617" s="25"/>
      <c r="K1617" s="25"/>
      <c r="L1617" s="25"/>
      <c r="M1617" s="22" t="s">
        <v>86</v>
      </c>
      <c r="N1617" s="23">
        <v>46083</v>
      </c>
      <c r="O1617" s="26" t="str">
        <f t="shared" si="78"/>
        <v/>
      </c>
      <c r="P1617" s="26" t="str">
        <f t="shared" si="79"/>
        <v/>
      </c>
      <c r="Q1617" s="26" t="str">
        <f t="shared" si="80"/>
        <v/>
      </c>
    </row>
    <row r="1618" spans="1:17" x14ac:dyDescent="0.3">
      <c r="A1618" s="35"/>
      <c r="B1618" s="25"/>
      <c r="C1618" s="25"/>
      <c r="D1618" s="25"/>
      <c r="E1618" s="25"/>
      <c r="F1618" s="25"/>
      <c r="G1618" s="25"/>
      <c r="H1618" s="25"/>
      <c r="I1618" s="25"/>
      <c r="J1618" s="25"/>
      <c r="K1618" s="25"/>
      <c r="L1618" s="25"/>
      <c r="M1618" s="22" t="s">
        <v>86</v>
      </c>
      <c r="N1618" s="23">
        <v>46083</v>
      </c>
      <c r="O1618" s="26" t="str">
        <f t="shared" si="78"/>
        <v/>
      </c>
      <c r="P1618" s="26" t="str">
        <f t="shared" si="79"/>
        <v/>
      </c>
      <c r="Q1618" s="26" t="str">
        <f t="shared" si="80"/>
        <v/>
      </c>
    </row>
    <row r="1619" spans="1:17" x14ac:dyDescent="0.3">
      <c r="A1619" s="35"/>
      <c r="B1619" s="25"/>
      <c r="C1619" s="25"/>
      <c r="D1619" s="25"/>
      <c r="E1619" s="25"/>
      <c r="F1619" s="25"/>
      <c r="G1619" s="25"/>
      <c r="H1619" s="25"/>
      <c r="I1619" s="25"/>
      <c r="J1619" s="25"/>
      <c r="K1619" s="25"/>
      <c r="L1619" s="25"/>
      <c r="M1619" s="22" t="s">
        <v>86</v>
      </c>
      <c r="N1619" s="23">
        <v>46083</v>
      </c>
      <c r="O1619" s="26" t="str">
        <f t="shared" si="78"/>
        <v/>
      </c>
      <c r="P1619" s="26" t="str">
        <f t="shared" si="79"/>
        <v/>
      </c>
      <c r="Q1619" s="26" t="str">
        <f t="shared" si="80"/>
        <v/>
      </c>
    </row>
    <row r="1620" spans="1:17" x14ac:dyDescent="0.3">
      <c r="A1620" s="35"/>
      <c r="B1620" s="25"/>
      <c r="C1620" s="25"/>
      <c r="D1620" s="25"/>
      <c r="E1620" s="25"/>
      <c r="F1620" s="25"/>
      <c r="G1620" s="25"/>
      <c r="H1620" s="25"/>
      <c r="I1620" s="25"/>
      <c r="J1620" s="25"/>
      <c r="K1620" s="25"/>
      <c r="L1620" s="25"/>
      <c r="M1620" s="22" t="s">
        <v>86</v>
      </c>
      <c r="N1620" s="23">
        <v>46083</v>
      </c>
      <c r="O1620" s="26" t="str">
        <f t="shared" si="78"/>
        <v/>
      </c>
      <c r="P1620" s="26" t="str">
        <f t="shared" si="79"/>
        <v/>
      </c>
      <c r="Q1620" s="26" t="str">
        <f t="shared" si="80"/>
        <v/>
      </c>
    </row>
    <row r="1621" spans="1:17" x14ac:dyDescent="0.3">
      <c r="A1621" s="35"/>
      <c r="B1621" s="25"/>
      <c r="C1621" s="25"/>
      <c r="D1621" s="25"/>
      <c r="E1621" s="25"/>
      <c r="F1621" s="25"/>
      <c r="G1621" s="25"/>
      <c r="H1621" s="25"/>
      <c r="I1621" s="25"/>
      <c r="J1621" s="25"/>
      <c r="K1621" s="25"/>
      <c r="L1621" s="25"/>
      <c r="M1621" s="22" t="s">
        <v>86</v>
      </c>
      <c r="N1621" s="23">
        <v>46083</v>
      </c>
      <c r="O1621" s="26" t="str">
        <f t="shared" si="78"/>
        <v/>
      </c>
      <c r="P1621" s="26" t="str">
        <f t="shared" si="79"/>
        <v/>
      </c>
      <c r="Q1621" s="26" t="str">
        <f t="shared" si="80"/>
        <v/>
      </c>
    </row>
    <row r="1622" spans="1:17" x14ac:dyDescent="0.3">
      <c r="A1622" s="35"/>
      <c r="B1622" s="25"/>
      <c r="C1622" s="25"/>
      <c r="D1622" s="25"/>
      <c r="E1622" s="25"/>
      <c r="F1622" s="25"/>
      <c r="G1622" s="25"/>
      <c r="H1622" s="25"/>
      <c r="I1622" s="25"/>
      <c r="J1622" s="25"/>
      <c r="K1622" s="25"/>
      <c r="L1622" s="25"/>
      <c r="M1622" s="22" t="s">
        <v>86</v>
      </c>
      <c r="N1622" s="23">
        <v>46083</v>
      </c>
      <c r="O1622" s="26" t="str">
        <f t="shared" si="78"/>
        <v/>
      </c>
      <c r="P1622" s="26" t="str">
        <f t="shared" si="79"/>
        <v/>
      </c>
      <c r="Q1622" s="26" t="str">
        <f t="shared" si="80"/>
        <v/>
      </c>
    </row>
    <row r="1623" spans="1:17" x14ac:dyDescent="0.3">
      <c r="A1623" s="35"/>
      <c r="B1623" s="25"/>
      <c r="C1623" s="25"/>
      <c r="D1623" s="25"/>
      <c r="E1623" s="25"/>
      <c r="F1623" s="25"/>
      <c r="G1623" s="25"/>
      <c r="H1623" s="25"/>
      <c r="I1623" s="25"/>
      <c r="J1623" s="25"/>
      <c r="K1623" s="25"/>
      <c r="L1623" s="25"/>
      <c r="M1623" s="22" t="s">
        <v>86</v>
      </c>
      <c r="N1623" s="23">
        <v>46083</v>
      </c>
      <c r="O1623" s="26" t="str">
        <f t="shared" si="78"/>
        <v/>
      </c>
      <c r="P1623" s="26" t="str">
        <f t="shared" si="79"/>
        <v/>
      </c>
      <c r="Q1623" s="26" t="str">
        <f t="shared" si="80"/>
        <v/>
      </c>
    </row>
    <row r="1624" spans="1:17" x14ac:dyDescent="0.3">
      <c r="A1624" s="35"/>
      <c r="B1624" s="25"/>
      <c r="C1624" s="25"/>
      <c r="D1624" s="25"/>
      <c r="E1624" s="25"/>
      <c r="F1624" s="25"/>
      <c r="G1624" s="25"/>
      <c r="H1624" s="25"/>
      <c r="I1624" s="25"/>
      <c r="J1624" s="25"/>
      <c r="K1624" s="25"/>
      <c r="L1624" s="25"/>
      <c r="M1624" s="22" t="s">
        <v>86</v>
      </c>
      <c r="N1624" s="23">
        <v>46083</v>
      </c>
      <c r="O1624" s="26" t="str">
        <f t="shared" si="78"/>
        <v/>
      </c>
      <c r="P1624" s="26" t="str">
        <f t="shared" si="79"/>
        <v/>
      </c>
      <c r="Q1624" s="26" t="str">
        <f t="shared" si="80"/>
        <v/>
      </c>
    </row>
    <row r="1625" spans="1:17" x14ac:dyDescent="0.3">
      <c r="A1625" s="35"/>
      <c r="B1625" s="25"/>
      <c r="C1625" s="25"/>
      <c r="D1625" s="25"/>
      <c r="E1625" s="25"/>
      <c r="F1625" s="25"/>
      <c r="G1625" s="25"/>
      <c r="H1625" s="25"/>
      <c r="I1625" s="25"/>
      <c r="J1625" s="25"/>
      <c r="K1625" s="25"/>
      <c r="L1625" s="25"/>
      <c r="M1625" s="22" t="s">
        <v>86</v>
      </c>
      <c r="N1625" s="23">
        <v>46083</v>
      </c>
      <c r="O1625" s="26" t="str">
        <f t="shared" si="78"/>
        <v/>
      </c>
      <c r="P1625" s="26" t="str">
        <f t="shared" si="79"/>
        <v/>
      </c>
      <c r="Q1625" s="26" t="str">
        <f t="shared" si="80"/>
        <v/>
      </c>
    </row>
    <row r="1626" spans="1:17" x14ac:dyDescent="0.3">
      <c r="A1626" s="35"/>
      <c r="B1626" s="25"/>
      <c r="C1626" s="25"/>
      <c r="D1626" s="25"/>
      <c r="E1626" s="25"/>
      <c r="F1626" s="25"/>
      <c r="G1626" s="25"/>
      <c r="H1626" s="25"/>
      <c r="I1626" s="25"/>
      <c r="J1626" s="25"/>
      <c r="K1626" s="25"/>
      <c r="L1626" s="25"/>
      <c r="M1626" s="22" t="s">
        <v>86</v>
      </c>
      <c r="N1626" s="23">
        <v>46083</v>
      </c>
      <c r="O1626" s="26" t="str">
        <f t="shared" si="78"/>
        <v/>
      </c>
      <c r="P1626" s="26" t="str">
        <f t="shared" si="79"/>
        <v/>
      </c>
      <c r="Q1626" s="26" t="str">
        <f t="shared" si="80"/>
        <v/>
      </c>
    </row>
    <row r="1627" spans="1:17" x14ac:dyDescent="0.3">
      <c r="A1627" s="35"/>
      <c r="B1627" s="25"/>
      <c r="C1627" s="25"/>
      <c r="D1627" s="25"/>
      <c r="E1627" s="25"/>
      <c r="F1627" s="25"/>
      <c r="G1627" s="25"/>
      <c r="H1627" s="25"/>
      <c r="I1627" s="25"/>
      <c r="J1627" s="25"/>
      <c r="K1627" s="25"/>
      <c r="L1627" s="25"/>
      <c r="M1627" s="22" t="s">
        <v>86</v>
      </c>
      <c r="N1627" s="23">
        <v>46083</v>
      </c>
      <c r="O1627" s="26" t="str">
        <f t="shared" si="78"/>
        <v/>
      </c>
      <c r="P1627" s="26" t="str">
        <f t="shared" si="79"/>
        <v/>
      </c>
      <c r="Q1627" s="26" t="str">
        <f t="shared" si="80"/>
        <v/>
      </c>
    </row>
    <row r="1628" spans="1:17" x14ac:dyDescent="0.3">
      <c r="A1628" s="35"/>
      <c r="B1628" s="25"/>
      <c r="C1628" s="25"/>
      <c r="D1628" s="25"/>
      <c r="E1628" s="25"/>
      <c r="F1628" s="25"/>
      <c r="G1628" s="25"/>
      <c r="H1628" s="25"/>
      <c r="I1628" s="25"/>
      <c r="J1628" s="25"/>
      <c r="K1628" s="25"/>
      <c r="L1628" s="25"/>
      <c r="M1628" s="22" t="s">
        <v>86</v>
      </c>
      <c r="N1628" s="23">
        <v>46083</v>
      </c>
      <c r="O1628" s="26" t="str">
        <f t="shared" si="78"/>
        <v/>
      </c>
      <c r="P1628" s="26" t="str">
        <f t="shared" si="79"/>
        <v/>
      </c>
      <c r="Q1628" s="26" t="str">
        <f t="shared" si="80"/>
        <v/>
      </c>
    </row>
    <row r="1629" spans="1:17" x14ac:dyDescent="0.3">
      <c r="A1629" s="35"/>
      <c r="B1629" s="25"/>
      <c r="C1629" s="25"/>
      <c r="D1629" s="25"/>
      <c r="E1629" s="25"/>
      <c r="F1629" s="25"/>
      <c r="G1629" s="25"/>
      <c r="H1629" s="25"/>
      <c r="I1629" s="25"/>
      <c r="J1629" s="25"/>
      <c r="K1629" s="25"/>
      <c r="L1629" s="25"/>
      <c r="M1629" s="22" t="s">
        <v>86</v>
      </c>
      <c r="N1629" s="23">
        <v>46083</v>
      </c>
      <c r="O1629" s="26" t="str">
        <f t="shared" si="78"/>
        <v/>
      </c>
      <c r="P1629" s="26" t="str">
        <f t="shared" si="79"/>
        <v/>
      </c>
      <c r="Q1629" s="26" t="str">
        <f t="shared" si="80"/>
        <v/>
      </c>
    </row>
    <row r="1630" spans="1:17" x14ac:dyDescent="0.3">
      <c r="A1630" s="35"/>
      <c r="B1630" s="25"/>
      <c r="C1630" s="25"/>
      <c r="D1630" s="25"/>
      <c r="E1630" s="25"/>
      <c r="F1630" s="25"/>
      <c r="G1630" s="25"/>
      <c r="H1630" s="25"/>
      <c r="I1630" s="25"/>
      <c r="J1630" s="25"/>
      <c r="K1630" s="25"/>
      <c r="L1630" s="25"/>
      <c r="M1630" s="22" t="s">
        <v>86</v>
      </c>
      <c r="N1630" s="23">
        <v>46083</v>
      </c>
      <c r="O1630" s="26" t="str">
        <f t="shared" si="78"/>
        <v/>
      </c>
      <c r="P1630" s="26" t="str">
        <f t="shared" si="79"/>
        <v/>
      </c>
      <c r="Q1630" s="26" t="str">
        <f t="shared" si="80"/>
        <v/>
      </c>
    </row>
    <row r="1631" spans="1:17" x14ac:dyDescent="0.3">
      <c r="A1631" s="35"/>
      <c r="B1631" s="25"/>
      <c r="C1631" s="25"/>
      <c r="D1631" s="25"/>
      <c r="E1631" s="25"/>
      <c r="F1631" s="25"/>
      <c r="G1631" s="25"/>
      <c r="H1631" s="25"/>
      <c r="I1631" s="25"/>
      <c r="J1631" s="25"/>
      <c r="K1631" s="25"/>
      <c r="L1631" s="25"/>
      <c r="M1631" s="22" t="s">
        <v>86</v>
      </c>
      <c r="N1631" s="23">
        <v>46083</v>
      </c>
      <c r="O1631" s="26" t="str">
        <f t="shared" si="78"/>
        <v/>
      </c>
      <c r="P1631" s="26" t="str">
        <f t="shared" si="79"/>
        <v/>
      </c>
      <c r="Q1631" s="26" t="str">
        <f t="shared" si="80"/>
        <v/>
      </c>
    </row>
    <row r="1632" spans="1:17" x14ac:dyDescent="0.3">
      <c r="A1632" s="35"/>
      <c r="B1632" s="25"/>
      <c r="C1632" s="25"/>
      <c r="D1632" s="25"/>
      <c r="E1632" s="25"/>
      <c r="F1632" s="25"/>
      <c r="G1632" s="25"/>
      <c r="H1632" s="25"/>
      <c r="I1632" s="25"/>
      <c r="J1632" s="25"/>
      <c r="K1632" s="25"/>
      <c r="L1632" s="25"/>
      <c r="M1632" s="22" t="s">
        <v>86</v>
      </c>
      <c r="N1632" s="23">
        <v>46083</v>
      </c>
      <c r="O1632" s="26" t="str">
        <f t="shared" si="78"/>
        <v/>
      </c>
      <c r="P1632" s="26" t="str">
        <f t="shared" si="79"/>
        <v/>
      </c>
      <c r="Q1632" s="26" t="str">
        <f t="shared" si="80"/>
        <v/>
      </c>
    </row>
    <row r="1633" spans="1:17" x14ac:dyDescent="0.3">
      <c r="A1633" s="35"/>
      <c r="B1633" s="25"/>
      <c r="C1633" s="25"/>
      <c r="D1633" s="25"/>
      <c r="E1633" s="25"/>
      <c r="F1633" s="25"/>
      <c r="G1633" s="25"/>
      <c r="H1633" s="25"/>
      <c r="I1633" s="25"/>
      <c r="J1633" s="25"/>
      <c r="K1633" s="25"/>
      <c r="L1633" s="25"/>
      <c r="M1633" s="22" t="s">
        <v>86</v>
      </c>
      <c r="N1633" s="23">
        <v>46083</v>
      </c>
      <c r="O1633" s="26" t="str">
        <f t="shared" si="78"/>
        <v/>
      </c>
      <c r="P1633" s="26" t="str">
        <f t="shared" si="79"/>
        <v/>
      </c>
      <c r="Q1633" s="26" t="str">
        <f t="shared" si="80"/>
        <v/>
      </c>
    </row>
    <row r="1634" spans="1:17" x14ac:dyDescent="0.3">
      <c r="A1634" s="35"/>
      <c r="B1634" s="25"/>
      <c r="C1634" s="25"/>
      <c r="D1634" s="25"/>
      <c r="E1634" s="25"/>
      <c r="F1634" s="25"/>
      <c r="G1634" s="25"/>
      <c r="H1634" s="25"/>
      <c r="I1634" s="25"/>
      <c r="J1634" s="25"/>
      <c r="K1634" s="25"/>
      <c r="L1634" s="25"/>
      <c r="M1634" s="22" t="s">
        <v>86</v>
      </c>
      <c r="N1634" s="23">
        <v>46083</v>
      </c>
      <c r="O1634" s="26" t="str">
        <f t="shared" si="78"/>
        <v/>
      </c>
      <c r="P1634" s="26" t="str">
        <f t="shared" si="79"/>
        <v/>
      </c>
      <c r="Q1634" s="26" t="str">
        <f t="shared" si="80"/>
        <v/>
      </c>
    </row>
    <row r="1635" spans="1:17" x14ac:dyDescent="0.3">
      <c r="A1635" s="35"/>
      <c r="B1635" s="25"/>
      <c r="C1635" s="25"/>
      <c r="D1635" s="25"/>
      <c r="E1635" s="25"/>
      <c r="F1635" s="25"/>
      <c r="G1635" s="25"/>
      <c r="H1635" s="25"/>
      <c r="I1635" s="25"/>
      <c r="J1635" s="25"/>
      <c r="K1635" s="25"/>
      <c r="L1635" s="25"/>
      <c r="M1635" s="22" t="s">
        <v>86</v>
      </c>
      <c r="N1635" s="23">
        <v>46083</v>
      </c>
      <c r="O1635" s="26" t="str">
        <f t="shared" si="78"/>
        <v/>
      </c>
      <c r="P1635" s="26" t="str">
        <f t="shared" si="79"/>
        <v/>
      </c>
      <c r="Q1635" s="26" t="str">
        <f t="shared" si="80"/>
        <v/>
      </c>
    </row>
    <row r="1636" spans="1:17" x14ac:dyDescent="0.3">
      <c r="A1636" s="35"/>
      <c r="B1636" s="25"/>
      <c r="C1636" s="25"/>
      <c r="D1636" s="25"/>
      <c r="E1636" s="25"/>
      <c r="F1636" s="25"/>
      <c r="G1636" s="25"/>
      <c r="H1636" s="25"/>
      <c r="I1636" s="25"/>
      <c r="J1636" s="25"/>
      <c r="K1636" s="25"/>
      <c r="L1636" s="25"/>
      <c r="M1636" s="22" t="s">
        <v>86</v>
      </c>
      <c r="N1636" s="23">
        <v>46083</v>
      </c>
      <c r="O1636" s="26" t="str">
        <f t="shared" si="78"/>
        <v/>
      </c>
      <c r="P1636" s="26" t="str">
        <f t="shared" si="79"/>
        <v/>
      </c>
      <c r="Q1636" s="26" t="str">
        <f t="shared" si="80"/>
        <v/>
      </c>
    </row>
    <row r="1637" spans="1:17" x14ac:dyDescent="0.3">
      <c r="A1637" s="35"/>
      <c r="B1637" s="25"/>
      <c r="C1637" s="25"/>
      <c r="D1637" s="25"/>
      <c r="E1637" s="25"/>
      <c r="F1637" s="25"/>
      <c r="G1637" s="25"/>
      <c r="H1637" s="25"/>
      <c r="I1637" s="25"/>
      <c r="J1637" s="25"/>
      <c r="K1637" s="25"/>
      <c r="L1637" s="25"/>
      <c r="M1637" s="22" t="s">
        <v>86</v>
      </c>
      <c r="N1637" s="23">
        <v>46083</v>
      </c>
      <c r="O1637" s="26" t="str">
        <f t="shared" si="78"/>
        <v/>
      </c>
      <c r="P1637" s="26" t="str">
        <f t="shared" si="79"/>
        <v/>
      </c>
      <c r="Q1637" s="26" t="str">
        <f t="shared" si="80"/>
        <v/>
      </c>
    </row>
    <row r="1638" spans="1:17" x14ac:dyDescent="0.3">
      <c r="A1638" s="35"/>
      <c r="B1638" s="25"/>
      <c r="C1638" s="25"/>
      <c r="D1638" s="25"/>
      <c r="E1638" s="25"/>
      <c r="F1638" s="25"/>
      <c r="G1638" s="25"/>
      <c r="H1638" s="25"/>
      <c r="I1638" s="25"/>
      <c r="J1638" s="25"/>
      <c r="K1638" s="25"/>
      <c r="L1638" s="25"/>
      <c r="M1638" s="22" t="s">
        <v>86</v>
      </c>
      <c r="N1638" s="23">
        <v>46083</v>
      </c>
      <c r="O1638" s="26" t="str">
        <f t="shared" si="78"/>
        <v/>
      </c>
      <c r="P1638" s="26" t="str">
        <f t="shared" si="79"/>
        <v/>
      </c>
      <c r="Q1638" s="26" t="str">
        <f t="shared" si="80"/>
        <v/>
      </c>
    </row>
    <row r="1639" spans="1:17" x14ac:dyDescent="0.3">
      <c r="A1639" s="35"/>
      <c r="B1639" s="25"/>
      <c r="C1639" s="25"/>
      <c r="D1639" s="25"/>
      <c r="E1639" s="25"/>
      <c r="F1639" s="25"/>
      <c r="G1639" s="25"/>
      <c r="H1639" s="25"/>
      <c r="I1639" s="25"/>
      <c r="J1639" s="25"/>
      <c r="K1639" s="25"/>
      <c r="L1639" s="25"/>
      <c r="M1639" s="22" t="s">
        <v>86</v>
      </c>
      <c r="N1639" s="23">
        <v>46083</v>
      </c>
      <c r="O1639" s="26" t="str">
        <f t="shared" si="78"/>
        <v/>
      </c>
      <c r="P1639" s="26" t="str">
        <f t="shared" si="79"/>
        <v/>
      </c>
      <c r="Q1639" s="26" t="str">
        <f t="shared" si="80"/>
        <v/>
      </c>
    </row>
    <row r="1640" spans="1:17" x14ac:dyDescent="0.3">
      <c r="A1640" s="35"/>
      <c r="B1640" s="25"/>
      <c r="C1640" s="25"/>
      <c r="D1640" s="25"/>
      <c r="E1640" s="25"/>
      <c r="F1640" s="25"/>
      <c r="G1640" s="25"/>
      <c r="H1640" s="25"/>
      <c r="I1640" s="25"/>
      <c r="J1640" s="25"/>
      <c r="K1640" s="25"/>
      <c r="L1640" s="25"/>
      <c r="M1640" s="22" t="s">
        <v>86</v>
      </c>
      <c r="N1640" s="23">
        <v>46083</v>
      </c>
      <c r="O1640" s="26" t="str">
        <f t="shared" si="78"/>
        <v/>
      </c>
      <c r="P1640" s="26" t="str">
        <f t="shared" si="79"/>
        <v/>
      </c>
      <c r="Q1640" s="26" t="str">
        <f t="shared" si="80"/>
        <v/>
      </c>
    </row>
    <row r="1641" spans="1:17" x14ac:dyDescent="0.3">
      <c r="A1641" s="35"/>
      <c r="B1641" s="25"/>
      <c r="C1641" s="25"/>
      <c r="D1641" s="25"/>
      <c r="E1641" s="25"/>
      <c r="F1641" s="25"/>
      <c r="G1641" s="25"/>
      <c r="H1641" s="25"/>
      <c r="I1641" s="25"/>
      <c r="J1641" s="25"/>
      <c r="K1641" s="25"/>
      <c r="L1641" s="25"/>
      <c r="M1641" s="22" t="s">
        <v>86</v>
      </c>
      <c r="N1641" s="23">
        <v>46083</v>
      </c>
      <c r="O1641" s="26" t="str">
        <f t="shared" si="78"/>
        <v/>
      </c>
      <c r="P1641" s="26" t="str">
        <f t="shared" si="79"/>
        <v/>
      </c>
      <c r="Q1641" s="26" t="str">
        <f t="shared" si="80"/>
        <v/>
      </c>
    </row>
    <row r="1642" spans="1:17" x14ac:dyDescent="0.3">
      <c r="A1642" s="35"/>
      <c r="B1642" s="25"/>
      <c r="C1642" s="25"/>
      <c r="D1642" s="25"/>
      <c r="E1642" s="25"/>
      <c r="F1642" s="25"/>
      <c r="G1642" s="25"/>
      <c r="H1642" s="25"/>
      <c r="I1642" s="25"/>
      <c r="J1642" s="25"/>
      <c r="K1642" s="25"/>
      <c r="L1642" s="25"/>
      <c r="M1642" s="22" t="s">
        <v>86</v>
      </c>
      <c r="N1642" s="23">
        <v>46083</v>
      </c>
      <c r="O1642" s="26" t="str">
        <f t="shared" si="78"/>
        <v/>
      </c>
      <c r="P1642" s="26" t="str">
        <f t="shared" si="79"/>
        <v/>
      </c>
      <c r="Q1642" s="26" t="str">
        <f t="shared" si="80"/>
        <v/>
      </c>
    </row>
    <row r="1643" spans="1:17" x14ac:dyDescent="0.3">
      <c r="A1643" s="35"/>
      <c r="B1643" s="25"/>
      <c r="C1643" s="25"/>
      <c r="D1643" s="25"/>
      <c r="E1643" s="25"/>
      <c r="F1643" s="25"/>
      <c r="G1643" s="25"/>
      <c r="H1643" s="25"/>
      <c r="I1643" s="25"/>
      <c r="J1643" s="25"/>
      <c r="K1643" s="25"/>
      <c r="L1643" s="25"/>
      <c r="M1643" s="22" t="s">
        <v>86</v>
      </c>
      <c r="N1643" s="23">
        <v>46083</v>
      </c>
      <c r="O1643" s="26" t="str">
        <f t="shared" si="78"/>
        <v/>
      </c>
      <c r="P1643" s="26" t="str">
        <f t="shared" si="79"/>
        <v/>
      </c>
      <c r="Q1643" s="26" t="str">
        <f t="shared" si="80"/>
        <v/>
      </c>
    </row>
    <row r="1644" spans="1:17" x14ac:dyDescent="0.3">
      <c r="A1644" s="35"/>
      <c r="B1644" s="25"/>
      <c r="C1644" s="25"/>
      <c r="D1644" s="25"/>
      <c r="E1644" s="25"/>
      <c r="F1644" s="25"/>
      <c r="G1644" s="25"/>
      <c r="H1644" s="25"/>
      <c r="I1644" s="25"/>
      <c r="J1644" s="25"/>
      <c r="K1644" s="25"/>
      <c r="L1644" s="25"/>
      <c r="M1644" s="22" t="s">
        <v>86</v>
      </c>
      <c r="N1644" s="23">
        <v>46083</v>
      </c>
      <c r="O1644" s="26" t="str">
        <f t="shared" si="78"/>
        <v/>
      </c>
      <c r="P1644" s="26" t="str">
        <f t="shared" si="79"/>
        <v/>
      </c>
      <c r="Q1644" s="26" t="str">
        <f t="shared" si="80"/>
        <v/>
      </c>
    </row>
    <row r="1645" spans="1:17" x14ac:dyDescent="0.3">
      <c r="A1645" s="35"/>
      <c r="B1645" s="25"/>
      <c r="C1645" s="25"/>
      <c r="D1645" s="25"/>
      <c r="E1645" s="25"/>
      <c r="F1645" s="25"/>
      <c r="G1645" s="25"/>
      <c r="H1645" s="25"/>
      <c r="I1645" s="25"/>
      <c r="J1645" s="25"/>
      <c r="K1645" s="25"/>
      <c r="L1645" s="25"/>
      <c r="M1645" s="22" t="s">
        <v>86</v>
      </c>
      <c r="N1645" s="23">
        <v>46083</v>
      </c>
      <c r="O1645" s="26" t="str">
        <f t="shared" si="78"/>
        <v/>
      </c>
      <c r="P1645" s="26" t="str">
        <f t="shared" si="79"/>
        <v/>
      </c>
      <c r="Q1645" s="26" t="str">
        <f t="shared" si="80"/>
        <v/>
      </c>
    </row>
    <row r="1646" spans="1:17" x14ac:dyDescent="0.3">
      <c r="A1646" s="35"/>
      <c r="B1646" s="25"/>
      <c r="C1646" s="25"/>
      <c r="D1646" s="25"/>
      <c r="E1646" s="25"/>
      <c r="F1646" s="25"/>
      <c r="G1646" s="25"/>
      <c r="H1646" s="25"/>
      <c r="I1646" s="25"/>
      <c r="J1646" s="25"/>
      <c r="K1646" s="25"/>
      <c r="L1646" s="25"/>
      <c r="M1646" s="22" t="s">
        <v>86</v>
      </c>
      <c r="N1646" s="23">
        <v>46083</v>
      </c>
      <c r="O1646" s="26" t="str">
        <f t="shared" si="78"/>
        <v/>
      </c>
      <c r="P1646" s="26" t="str">
        <f t="shared" si="79"/>
        <v/>
      </c>
      <c r="Q1646" s="26" t="str">
        <f t="shared" si="80"/>
        <v/>
      </c>
    </row>
    <row r="1647" spans="1:17" x14ac:dyDescent="0.3">
      <c r="A1647" s="35"/>
      <c r="B1647" s="25"/>
      <c r="C1647" s="25"/>
      <c r="D1647" s="25"/>
      <c r="E1647" s="25"/>
      <c r="F1647" s="25"/>
      <c r="G1647" s="25"/>
      <c r="H1647" s="25"/>
      <c r="I1647" s="25"/>
      <c r="J1647" s="25"/>
      <c r="K1647" s="25"/>
      <c r="L1647" s="25"/>
      <c r="M1647" s="22" t="s">
        <v>86</v>
      </c>
      <c r="N1647" s="23">
        <v>46083</v>
      </c>
      <c r="O1647" s="26" t="str">
        <f t="shared" si="78"/>
        <v/>
      </c>
      <c r="P1647" s="26" t="str">
        <f t="shared" si="79"/>
        <v/>
      </c>
      <c r="Q1647" s="26" t="str">
        <f t="shared" si="80"/>
        <v/>
      </c>
    </row>
    <row r="1648" spans="1:17" x14ac:dyDescent="0.3">
      <c r="A1648" s="35"/>
      <c r="B1648" s="25"/>
      <c r="C1648" s="25"/>
      <c r="D1648" s="25"/>
      <c r="E1648" s="25"/>
      <c r="F1648" s="25"/>
      <c r="G1648" s="25"/>
      <c r="H1648" s="25"/>
      <c r="I1648" s="25"/>
      <c r="J1648" s="25"/>
      <c r="K1648" s="25"/>
      <c r="L1648" s="25"/>
      <c r="M1648" s="22" t="s">
        <v>86</v>
      </c>
      <c r="N1648" s="23">
        <v>46083</v>
      </c>
      <c r="O1648" s="26" t="str">
        <f t="shared" si="78"/>
        <v/>
      </c>
      <c r="P1648" s="26" t="str">
        <f t="shared" si="79"/>
        <v/>
      </c>
      <c r="Q1648" s="26" t="str">
        <f t="shared" si="80"/>
        <v/>
      </c>
    </row>
    <row r="1649" spans="1:17" x14ac:dyDescent="0.3">
      <c r="A1649" s="35"/>
      <c r="B1649" s="25"/>
      <c r="C1649" s="25"/>
      <c r="D1649" s="25"/>
      <c r="E1649" s="25"/>
      <c r="F1649" s="25"/>
      <c r="G1649" s="25"/>
      <c r="H1649" s="25"/>
      <c r="I1649" s="25"/>
      <c r="J1649" s="25"/>
      <c r="K1649" s="25"/>
      <c r="L1649" s="25"/>
      <c r="M1649" s="22" t="s">
        <v>86</v>
      </c>
      <c r="N1649" s="23">
        <v>46083</v>
      </c>
      <c r="O1649" s="26" t="str">
        <f t="shared" si="78"/>
        <v/>
      </c>
      <c r="P1649" s="26" t="str">
        <f t="shared" si="79"/>
        <v/>
      </c>
      <c r="Q1649" s="26" t="str">
        <f t="shared" si="80"/>
        <v/>
      </c>
    </row>
    <row r="1650" spans="1:17" x14ac:dyDescent="0.3">
      <c r="A1650" s="35"/>
      <c r="B1650" s="25"/>
      <c r="C1650" s="25"/>
      <c r="D1650" s="25"/>
      <c r="E1650" s="25"/>
      <c r="F1650" s="25"/>
      <c r="G1650" s="25"/>
      <c r="H1650" s="25"/>
      <c r="I1650" s="25"/>
      <c r="J1650" s="25"/>
      <c r="K1650" s="25"/>
      <c r="L1650" s="25"/>
      <c r="M1650" s="22" t="s">
        <v>86</v>
      </c>
      <c r="N1650" s="23">
        <v>46083</v>
      </c>
      <c r="O1650" s="26" t="str">
        <f t="shared" si="78"/>
        <v/>
      </c>
      <c r="P1650" s="26" t="str">
        <f t="shared" si="79"/>
        <v/>
      </c>
      <c r="Q1650" s="26" t="str">
        <f t="shared" si="80"/>
        <v/>
      </c>
    </row>
    <row r="1651" spans="1:17" x14ac:dyDescent="0.3">
      <c r="A1651" s="35"/>
      <c r="B1651" s="25"/>
      <c r="C1651" s="25"/>
      <c r="D1651" s="25"/>
      <c r="E1651" s="25"/>
      <c r="F1651" s="25"/>
      <c r="G1651" s="25"/>
      <c r="H1651" s="25"/>
      <c r="I1651" s="25"/>
      <c r="J1651" s="25"/>
      <c r="K1651" s="25"/>
      <c r="L1651" s="25"/>
      <c r="M1651" s="22" t="s">
        <v>86</v>
      </c>
      <c r="N1651" s="23">
        <v>46083</v>
      </c>
      <c r="O1651" s="26" t="str">
        <f t="shared" si="78"/>
        <v/>
      </c>
      <c r="P1651" s="26" t="str">
        <f t="shared" si="79"/>
        <v/>
      </c>
      <c r="Q1651" s="26" t="str">
        <f t="shared" si="80"/>
        <v/>
      </c>
    </row>
    <row r="1652" spans="1:17" x14ac:dyDescent="0.3">
      <c r="A1652" s="35"/>
      <c r="B1652" s="25"/>
      <c r="C1652" s="25"/>
      <c r="D1652" s="25"/>
      <c r="E1652" s="25"/>
      <c r="F1652" s="25"/>
      <c r="G1652" s="25"/>
      <c r="H1652" s="25"/>
      <c r="I1652" s="25"/>
      <c r="J1652" s="25"/>
      <c r="K1652" s="25"/>
      <c r="L1652" s="25"/>
      <c r="M1652" s="22" t="s">
        <v>86</v>
      </c>
      <c r="N1652" s="23">
        <v>46083</v>
      </c>
      <c r="O1652" s="26" t="str">
        <f t="shared" si="78"/>
        <v/>
      </c>
      <c r="P1652" s="26" t="str">
        <f t="shared" si="79"/>
        <v/>
      </c>
      <c r="Q1652" s="26" t="str">
        <f t="shared" si="80"/>
        <v/>
      </c>
    </row>
    <row r="1653" spans="1:17" x14ac:dyDescent="0.3">
      <c r="A1653" s="35"/>
      <c r="B1653" s="25"/>
      <c r="C1653" s="25"/>
      <c r="D1653" s="25"/>
      <c r="E1653" s="25"/>
      <c r="F1653" s="25"/>
      <c r="G1653" s="25"/>
      <c r="H1653" s="25"/>
      <c r="I1653" s="25"/>
      <c r="J1653" s="25"/>
      <c r="K1653" s="25"/>
      <c r="L1653" s="25"/>
      <c r="M1653" s="22" t="s">
        <v>86</v>
      </c>
      <c r="N1653" s="23">
        <v>46083</v>
      </c>
      <c r="O1653" s="26" t="str">
        <f t="shared" si="78"/>
        <v/>
      </c>
      <c r="P1653" s="26" t="str">
        <f t="shared" si="79"/>
        <v/>
      </c>
      <c r="Q1653" s="26" t="str">
        <f t="shared" si="80"/>
        <v/>
      </c>
    </row>
    <row r="1654" spans="1:17" x14ac:dyDescent="0.3">
      <c r="A1654" s="35"/>
      <c r="B1654" s="25"/>
      <c r="C1654" s="25"/>
      <c r="D1654" s="25"/>
      <c r="E1654" s="25"/>
      <c r="F1654" s="25"/>
      <c r="G1654" s="25"/>
      <c r="H1654" s="25"/>
      <c r="I1654" s="25"/>
      <c r="J1654" s="25"/>
      <c r="K1654" s="25"/>
      <c r="L1654" s="25"/>
      <c r="M1654" s="22" t="s">
        <v>86</v>
      </c>
      <c r="N1654" s="23">
        <v>46083</v>
      </c>
      <c r="O1654" s="26" t="str">
        <f t="shared" si="78"/>
        <v/>
      </c>
      <c r="P1654" s="26" t="str">
        <f t="shared" si="79"/>
        <v/>
      </c>
      <c r="Q1654" s="26" t="str">
        <f t="shared" si="80"/>
        <v/>
      </c>
    </row>
    <row r="1655" spans="1:17" x14ac:dyDescent="0.3">
      <c r="A1655" s="35"/>
      <c r="B1655" s="25"/>
      <c r="C1655" s="25"/>
      <c r="D1655" s="25"/>
      <c r="E1655" s="25"/>
      <c r="F1655" s="25"/>
      <c r="G1655" s="25"/>
      <c r="H1655" s="25"/>
      <c r="I1655" s="25"/>
      <c r="J1655" s="25"/>
      <c r="K1655" s="25"/>
      <c r="L1655" s="25"/>
      <c r="M1655" s="22" t="s">
        <v>86</v>
      </c>
      <c r="N1655" s="23">
        <v>46083</v>
      </c>
      <c r="O1655" s="26" t="str">
        <f t="shared" si="78"/>
        <v/>
      </c>
      <c r="P1655" s="26" t="str">
        <f t="shared" si="79"/>
        <v/>
      </c>
      <c r="Q1655" s="26" t="str">
        <f t="shared" si="80"/>
        <v/>
      </c>
    </row>
    <row r="1656" spans="1:17" x14ac:dyDescent="0.3">
      <c r="A1656" s="35"/>
      <c r="B1656" s="25"/>
      <c r="C1656" s="25"/>
      <c r="D1656" s="25"/>
      <c r="E1656" s="25"/>
      <c r="F1656" s="25"/>
      <c r="G1656" s="25"/>
      <c r="H1656" s="25"/>
      <c r="I1656" s="25"/>
      <c r="J1656" s="25"/>
      <c r="K1656" s="25"/>
      <c r="L1656" s="25"/>
      <c r="M1656" s="22" t="s">
        <v>86</v>
      </c>
      <c r="N1656" s="23">
        <v>46083</v>
      </c>
      <c r="O1656" s="26" t="str">
        <f t="shared" si="78"/>
        <v/>
      </c>
      <c r="P1656" s="26" t="str">
        <f t="shared" si="79"/>
        <v/>
      </c>
      <c r="Q1656" s="26" t="str">
        <f t="shared" si="80"/>
        <v/>
      </c>
    </row>
    <row r="1657" spans="1:17" x14ac:dyDescent="0.3">
      <c r="A1657" s="35"/>
      <c r="B1657" s="25"/>
      <c r="C1657" s="25"/>
      <c r="D1657" s="25"/>
      <c r="E1657" s="25"/>
      <c r="F1657" s="25"/>
      <c r="G1657" s="25"/>
      <c r="H1657" s="25"/>
      <c r="I1657" s="25"/>
      <c r="J1657" s="25"/>
      <c r="K1657" s="25"/>
      <c r="L1657" s="25"/>
      <c r="M1657" s="22" t="s">
        <v>86</v>
      </c>
      <c r="N1657" s="23">
        <v>46083</v>
      </c>
      <c r="O1657" s="26" t="str">
        <f t="shared" si="78"/>
        <v/>
      </c>
      <c r="P1657" s="26" t="str">
        <f t="shared" si="79"/>
        <v/>
      </c>
      <c r="Q1657" s="26" t="str">
        <f t="shared" si="80"/>
        <v/>
      </c>
    </row>
    <row r="1658" spans="1:17" x14ac:dyDescent="0.3">
      <c r="A1658" s="35"/>
      <c r="B1658" s="25"/>
      <c r="C1658" s="25"/>
      <c r="D1658" s="25"/>
      <c r="E1658" s="25"/>
      <c r="F1658" s="25"/>
      <c r="G1658" s="25"/>
      <c r="H1658" s="25"/>
      <c r="I1658" s="25"/>
      <c r="J1658" s="25"/>
      <c r="K1658" s="25"/>
      <c r="L1658" s="25"/>
      <c r="M1658" s="22" t="s">
        <v>86</v>
      </c>
      <c r="N1658" s="23">
        <v>46083</v>
      </c>
      <c r="O1658" s="26" t="str">
        <f t="shared" si="78"/>
        <v/>
      </c>
      <c r="P1658" s="26" t="str">
        <f t="shared" si="79"/>
        <v/>
      </c>
      <c r="Q1658" s="26" t="str">
        <f t="shared" si="80"/>
        <v/>
      </c>
    </row>
    <row r="1659" spans="1:17" x14ac:dyDescent="0.3">
      <c r="A1659" s="35"/>
      <c r="B1659" s="25"/>
      <c r="C1659" s="25"/>
      <c r="D1659" s="25"/>
      <c r="E1659" s="25"/>
      <c r="F1659" s="25"/>
      <c r="G1659" s="25"/>
      <c r="H1659" s="25"/>
      <c r="I1659" s="25"/>
      <c r="J1659" s="25"/>
      <c r="K1659" s="25"/>
      <c r="L1659" s="25"/>
      <c r="M1659" s="22" t="s">
        <v>86</v>
      </c>
      <c r="N1659" s="23">
        <v>46083</v>
      </c>
      <c r="O1659" s="26" t="str">
        <f t="shared" si="78"/>
        <v/>
      </c>
      <c r="P1659" s="26" t="str">
        <f t="shared" si="79"/>
        <v/>
      </c>
      <c r="Q1659" s="26" t="str">
        <f t="shared" si="80"/>
        <v/>
      </c>
    </row>
    <row r="1660" spans="1:17" x14ac:dyDescent="0.3">
      <c r="A1660" s="35"/>
      <c r="B1660" s="25"/>
      <c r="C1660" s="25"/>
      <c r="D1660" s="25"/>
      <c r="E1660" s="25"/>
      <c r="F1660" s="25"/>
      <c r="G1660" s="25"/>
      <c r="H1660" s="25"/>
      <c r="I1660" s="25"/>
      <c r="J1660" s="25"/>
      <c r="K1660" s="25"/>
      <c r="L1660" s="25"/>
      <c r="M1660" s="22" t="s">
        <v>86</v>
      </c>
      <c r="N1660" s="23">
        <v>46083</v>
      </c>
      <c r="O1660" s="26" t="str">
        <f t="shared" si="78"/>
        <v/>
      </c>
      <c r="P1660" s="26" t="str">
        <f t="shared" si="79"/>
        <v/>
      </c>
      <c r="Q1660" s="26" t="str">
        <f t="shared" si="80"/>
        <v/>
      </c>
    </row>
    <row r="1661" spans="1:17" x14ac:dyDescent="0.3">
      <c r="A1661" s="35"/>
      <c r="B1661" s="25"/>
      <c r="C1661" s="25"/>
      <c r="D1661" s="25"/>
      <c r="E1661" s="25"/>
      <c r="F1661" s="25"/>
      <c r="G1661" s="25"/>
      <c r="H1661" s="25"/>
      <c r="I1661" s="25"/>
      <c r="J1661" s="25"/>
      <c r="K1661" s="25"/>
      <c r="L1661" s="25"/>
      <c r="M1661" s="22" t="s">
        <v>86</v>
      </c>
      <c r="N1661" s="23">
        <v>46083</v>
      </c>
      <c r="O1661" s="26" t="str">
        <f t="shared" si="78"/>
        <v/>
      </c>
      <c r="P1661" s="26" t="str">
        <f t="shared" si="79"/>
        <v/>
      </c>
      <c r="Q1661" s="26" t="str">
        <f t="shared" si="80"/>
        <v/>
      </c>
    </row>
    <row r="1662" spans="1:17" x14ac:dyDescent="0.3">
      <c r="A1662" s="35"/>
      <c r="B1662" s="25"/>
      <c r="C1662" s="25"/>
      <c r="D1662" s="25"/>
      <c r="E1662" s="25"/>
      <c r="F1662" s="25"/>
      <c r="G1662" s="25"/>
      <c r="H1662" s="25"/>
      <c r="I1662" s="25"/>
      <c r="J1662" s="25"/>
      <c r="K1662" s="25"/>
      <c r="L1662" s="25"/>
      <c r="M1662" s="22" t="s">
        <v>86</v>
      </c>
      <c r="N1662" s="23">
        <v>46083</v>
      </c>
      <c r="O1662" s="26" t="str">
        <f t="shared" si="78"/>
        <v/>
      </c>
      <c r="P1662" s="26" t="str">
        <f t="shared" si="79"/>
        <v/>
      </c>
      <c r="Q1662" s="26" t="str">
        <f t="shared" si="80"/>
        <v/>
      </c>
    </row>
    <row r="1663" spans="1:17" x14ac:dyDescent="0.3">
      <c r="A1663" s="35"/>
      <c r="B1663" s="25"/>
      <c r="C1663" s="25"/>
      <c r="D1663" s="25"/>
      <c r="E1663" s="25"/>
      <c r="F1663" s="25"/>
      <c r="G1663" s="25"/>
      <c r="H1663" s="25"/>
      <c r="I1663" s="25"/>
      <c r="J1663" s="25"/>
      <c r="K1663" s="25"/>
      <c r="L1663" s="25"/>
      <c r="M1663" s="22" t="s">
        <v>86</v>
      </c>
      <c r="N1663" s="23">
        <v>46083</v>
      </c>
      <c r="O1663" s="26" t="str">
        <f t="shared" si="78"/>
        <v/>
      </c>
      <c r="P1663" s="26" t="str">
        <f t="shared" si="79"/>
        <v/>
      </c>
      <c r="Q1663" s="26" t="str">
        <f t="shared" si="80"/>
        <v/>
      </c>
    </row>
    <row r="1664" spans="1:17" x14ac:dyDescent="0.3">
      <c r="A1664" s="35"/>
      <c r="B1664" s="25"/>
      <c r="C1664" s="25"/>
      <c r="D1664" s="25"/>
      <c r="E1664" s="25"/>
      <c r="F1664" s="25"/>
      <c r="G1664" s="25"/>
      <c r="H1664" s="25"/>
      <c r="I1664" s="25"/>
      <c r="J1664" s="25"/>
      <c r="K1664" s="25"/>
      <c r="L1664" s="25"/>
      <c r="M1664" s="22" t="s">
        <v>86</v>
      </c>
      <c r="N1664" s="23">
        <v>46083</v>
      </c>
      <c r="O1664" s="26" t="str">
        <f t="shared" si="78"/>
        <v/>
      </c>
      <c r="P1664" s="26" t="str">
        <f t="shared" si="79"/>
        <v/>
      </c>
      <c r="Q1664" s="26" t="str">
        <f t="shared" si="80"/>
        <v/>
      </c>
    </row>
    <row r="1665" spans="1:17" x14ac:dyDescent="0.3">
      <c r="A1665" s="35"/>
      <c r="B1665" s="25"/>
      <c r="C1665" s="25"/>
      <c r="D1665" s="25"/>
      <c r="E1665" s="25"/>
      <c r="F1665" s="25"/>
      <c r="G1665" s="25"/>
      <c r="H1665" s="25"/>
      <c r="I1665" s="25"/>
      <c r="J1665" s="25"/>
      <c r="K1665" s="25"/>
      <c r="L1665" s="25"/>
      <c r="M1665" s="22" t="s">
        <v>86</v>
      </c>
      <c r="N1665" s="23">
        <v>46083</v>
      </c>
      <c r="O1665" s="26" t="str">
        <f t="shared" si="78"/>
        <v/>
      </c>
      <c r="P1665" s="26" t="str">
        <f t="shared" si="79"/>
        <v/>
      </c>
      <c r="Q1665" s="26" t="str">
        <f t="shared" si="80"/>
        <v/>
      </c>
    </row>
    <row r="1666" spans="1:17" x14ac:dyDescent="0.3">
      <c r="A1666" s="35"/>
      <c r="B1666" s="25"/>
      <c r="C1666" s="25"/>
      <c r="D1666" s="25"/>
      <c r="E1666" s="25"/>
      <c r="F1666" s="25"/>
      <c r="G1666" s="25"/>
      <c r="H1666" s="25"/>
      <c r="I1666" s="25"/>
      <c r="J1666" s="25"/>
      <c r="K1666" s="25"/>
      <c r="L1666" s="25"/>
      <c r="M1666" s="22" t="s">
        <v>86</v>
      </c>
      <c r="N1666" s="23">
        <v>46083</v>
      </c>
      <c r="O1666" s="26" t="str">
        <f t="shared" ref="O1666:O1729" si="81">IF(A1666="","",IFERROR(IF(AND(LEN(A1666)=10,NOT(ISERROR(VALUE(A1666)))),"OK","확인"),"확인"))</f>
        <v/>
      </c>
      <c r="P1666" s="26" t="str">
        <f t="shared" ref="P1666:P1729" si="82">IF(A1666="","",IF(COUNTIF($A$2:$A$1946,A1666)&gt;1,"중복",""))</f>
        <v/>
      </c>
      <c r="Q1666" s="26" t="str">
        <f t="shared" ref="Q1666:Q1729" si="83">IF(G1666="","",IF(ISNUMBER(SEARCH("@",G1666)),"","확인"))</f>
        <v/>
      </c>
    </row>
    <row r="1667" spans="1:17" x14ac:dyDescent="0.3">
      <c r="A1667" s="35"/>
      <c r="B1667" s="25"/>
      <c r="C1667" s="25"/>
      <c r="D1667" s="25"/>
      <c r="E1667" s="25"/>
      <c r="F1667" s="25"/>
      <c r="G1667" s="25"/>
      <c r="H1667" s="25"/>
      <c r="I1667" s="25"/>
      <c r="J1667" s="25"/>
      <c r="K1667" s="25"/>
      <c r="L1667" s="25"/>
      <c r="M1667" s="22" t="s">
        <v>86</v>
      </c>
      <c r="N1667" s="23">
        <v>46083</v>
      </c>
      <c r="O1667" s="26" t="str">
        <f t="shared" si="81"/>
        <v/>
      </c>
      <c r="P1667" s="26" t="str">
        <f t="shared" si="82"/>
        <v/>
      </c>
      <c r="Q1667" s="26" t="str">
        <f t="shared" si="83"/>
        <v/>
      </c>
    </row>
    <row r="1668" spans="1:17" x14ac:dyDescent="0.3">
      <c r="A1668" s="35"/>
      <c r="B1668" s="25"/>
      <c r="C1668" s="25"/>
      <c r="D1668" s="25"/>
      <c r="E1668" s="25"/>
      <c r="F1668" s="25"/>
      <c r="G1668" s="25"/>
      <c r="H1668" s="25"/>
      <c r="I1668" s="25"/>
      <c r="J1668" s="25"/>
      <c r="K1668" s="25"/>
      <c r="L1668" s="25"/>
      <c r="M1668" s="22" t="s">
        <v>86</v>
      </c>
      <c r="N1668" s="23">
        <v>46083</v>
      </c>
      <c r="O1668" s="26" t="str">
        <f t="shared" si="81"/>
        <v/>
      </c>
      <c r="P1668" s="26" t="str">
        <f t="shared" si="82"/>
        <v/>
      </c>
      <c r="Q1668" s="26" t="str">
        <f t="shared" si="83"/>
        <v/>
      </c>
    </row>
    <row r="1669" spans="1:17" x14ac:dyDescent="0.3">
      <c r="A1669" s="35"/>
      <c r="B1669" s="25"/>
      <c r="C1669" s="25"/>
      <c r="D1669" s="25"/>
      <c r="E1669" s="25"/>
      <c r="F1669" s="25"/>
      <c r="G1669" s="25"/>
      <c r="H1669" s="25"/>
      <c r="I1669" s="25"/>
      <c r="J1669" s="25"/>
      <c r="K1669" s="25"/>
      <c r="L1669" s="25"/>
      <c r="M1669" s="22" t="s">
        <v>86</v>
      </c>
      <c r="N1669" s="23">
        <v>46083</v>
      </c>
      <c r="O1669" s="26" t="str">
        <f t="shared" si="81"/>
        <v/>
      </c>
      <c r="P1669" s="26" t="str">
        <f t="shared" si="82"/>
        <v/>
      </c>
      <c r="Q1669" s="26" t="str">
        <f t="shared" si="83"/>
        <v/>
      </c>
    </row>
    <row r="1670" spans="1:17" x14ac:dyDescent="0.3">
      <c r="A1670" s="35"/>
      <c r="B1670" s="25"/>
      <c r="C1670" s="25"/>
      <c r="D1670" s="25"/>
      <c r="E1670" s="25"/>
      <c r="F1670" s="25"/>
      <c r="G1670" s="25"/>
      <c r="H1670" s="25"/>
      <c r="I1670" s="25"/>
      <c r="J1670" s="25"/>
      <c r="K1670" s="25"/>
      <c r="L1670" s="25"/>
      <c r="M1670" s="22" t="s">
        <v>86</v>
      </c>
      <c r="N1670" s="23">
        <v>46083</v>
      </c>
      <c r="O1670" s="26" t="str">
        <f t="shared" si="81"/>
        <v/>
      </c>
      <c r="P1670" s="26" t="str">
        <f t="shared" si="82"/>
        <v/>
      </c>
      <c r="Q1670" s="26" t="str">
        <f t="shared" si="83"/>
        <v/>
      </c>
    </row>
    <row r="1671" spans="1:17" x14ac:dyDescent="0.3">
      <c r="A1671" s="35"/>
      <c r="B1671" s="25"/>
      <c r="C1671" s="25"/>
      <c r="D1671" s="25"/>
      <c r="E1671" s="25"/>
      <c r="F1671" s="25"/>
      <c r="G1671" s="25"/>
      <c r="H1671" s="25"/>
      <c r="I1671" s="25"/>
      <c r="J1671" s="25"/>
      <c r="K1671" s="25"/>
      <c r="L1671" s="25"/>
      <c r="M1671" s="22" t="s">
        <v>86</v>
      </c>
      <c r="N1671" s="23">
        <v>46083</v>
      </c>
      <c r="O1671" s="26" t="str">
        <f t="shared" si="81"/>
        <v/>
      </c>
      <c r="P1671" s="26" t="str">
        <f t="shared" si="82"/>
        <v/>
      </c>
      <c r="Q1671" s="26" t="str">
        <f t="shared" si="83"/>
        <v/>
      </c>
    </row>
    <row r="1672" spans="1:17" x14ac:dyDescent="0.3">
      <c r="A1672" s="35"/>
      <c r="B1672" s="25"/>
      <c r="C1672" s="25"/>
      <c r="D1672" s="25"/>
      <c r="E1672" s="25"/>
      <c r="F1672" s="25"/>
      <c r="G1672" s="25"/>
      <c r="H1672" s="25"/>
      <c r="I1672" s="25"/>
      <c r="J1672" s="25"/>
      <c r="K1672" s="25"/>
      <c r="L1672" s="25"/>
      <c r="M1672" s="22" t="s">
        <v>86</v>
      </c>
      <c r="N1672" s="23">
        <v>46083</v>
      </c>
      <c r="O1672" s="26" t="str">
        <f t="shared" si="81"/>
        <v/>
      </c>
      <c r="P1672" s="26" t="str">
        <f t="shared" si="82"/>
        <v/>
      </c>
      <c r="Q1672" s="26" t="str">
        <f t="shared" si="83"/>
        <v/>
      </c>
    </row>
    <row r="1673" spans="1:17" x14ac:dyDescent="0.3">
      <c r="A1673" s="35"/>
      <c r="B1673" s="25"/>
      <c r="C1673" s="25"/>
      <c r="D1673" s="25"/>
      <c r="E1673" s="25"/>
      <c r="F1673" s="25"/>
      <c r="G1673" s="25"/>
      <c r="H1673" s="25"/>
      <c r="I1673" s="25"/>
      <c r="J1673" s="25"/>
      <c r="K1673" s="25"/>
      <c r="L1673" s="25"/>
      <c r="M1673" s="22" t="s">
        <v>86</v>
      </c>
      <c r="N1673" s="23">
        <v>46083</v>
      </c>
      <c r="O1673" s="26" t="str">
        <f t="shared" si="81"/>
        <v/>
      </c>
      <c r="P1673" s="26" t="str">
        <f t="shared" si="82"/>
        <v/>
      </c>
      <c r="Q1673" s="26" t="str">
        <f t="shared" si="83"/>
        <v/>
      </c>
    </row>
    <row r="1674" spans="1:17" x14ac:dyDescent="0.3">
      <c r="A1674" s="35"/>
      <c r="B1674" s="25"/>
      <c r="C1674" s="25"/>
      <c r="D1674" s="25"/>
      <c r="E1674" s="25"/>
      <c r="F1674" s="25"/>
      <c r="G1674" s="25"/>
      <c r="H1674" s="25"/>
      <c r="I1674" s="25"/>
      <c r="J1674" s="25"/>
      <c r="K1674" s="25"/>
      <c r="L1674" s="25"/>
      <c r="M1674" s="22" t="s">
        <v>86</v>
      </c>
      <c r="N1674" s="23">
        <v>46083</v>
      </c>
      <c r="O1674" s="26" t="str">
        <f t="shared" si="81"/>
        <v/>
      </c>
      <c r="P1674" s="26" t="str">
        <f t="shared" si="82"/>
        <v/>
      </c>
      <c r="Q1674" s="26" t="str">
        <f t="shared" si="83"/>
        <v/>
      </c>
    </row>
    <row r="1675" spans="1:17" x14ac:dyDescent="0.3">
      <c r="A1675" s="35"/>
      <c r="B1675" s="25"/>
      <c r="C1675" s="25"/>
      <c r="D1675" s="25"/>
      <c r="E1675" s="25"/>
      <c r="F1675" s="25"/>
      <c r="G1675" s="25"/>
      <c r="H1675" s="25"/>
      <c r="I1675" s="25"/>
      <c r="J1675" s="25"/>
      <c r="K1675" s="25"/>
      <c r="L1675" s="25"/>
      <c r="M1675" s="22" t="s">
        <v>86</v>
      </c>
      <c r="N1675" s="23">
        <v>46083</v>
      </c>
      <c r="O1675" s="26" t="str">
        <f t="shared" si="81"/>
        <v/>
      </c>
      <c r="P1675" s="26" t="str">
        <f t="shared" si="82"/>
        <v/>
      </c>
      <c r="Q1675" s="26" t="str">
        <f t="shared" si="83"/>
        <v/>
      </c>
    </row>
    <row r="1676" spans="1:17" x14ac:dyDescent="0.3">
      <c r="A1676" s="35"/>
      <c r="B1676" s="25"/>
      <c r="C1676" s="25"/>
      <c r="D1676" s="25"/>
      <c r="E1676" s="25"/>
      <c r="F1676" s="25"/>
      <c r="G1676" s="25"/>
      <c r="H1676" s="25"/>
      <c r="I1676" s="25"/>
      <c r="J1676" s="25"/>
      <c r="K1676" s="25"/>
      <c r="L1676" s="25"/>
      <c r="M1676" s="22" t="s">
        <v>86</v>
      </c>
      <c r="N1676" s="23">
        <v>46083</v>
      </c>
      <c r="O1676" s="26" t="str">
        <f t="shared" si="81"/>
        <v/>
      </c>
      <c r="P1676" s="26" t="str">
        <f t="shared" si="82"/>
        <v/>
      </c>
      <c r="Q1676" s="26" t="str">
        <f t="shared" si="83"/>
        <v/>
      </c>
    </row>
    <row r="1677" spans="1:17" x14ac:dyDescent="0.3">
      <c r="A1677" s="35"/>
      <c r="B1677" s="25"/>
      <c r="C1677" s="25"/>
      <c r="D1677" s="25"/>
      <c r="E1677" s="25"/>
      <c r="F1677" s="25"/>
      <c r="G1677" s="25"/>
      <c r="H1677" s="25"/>
      <c r="I1677" s="25"/>
      <c r="J1677" s="25"/>
      <c r="K1677" s="25"/>
      <c r="L1677" s="25"/>
      <c r="M1677" s="22" t="s">
        <v>86</v>
      </c>
      <c r="N1677" s="23">
        <v>46083</v>
      </c>
      <c r="O1677" s="26" t="str">
        <f t="shared" si="81"/>
        <v/>
      </c>
      <c r="P1677" s="26" t="str">
        <f t="shared" si="82"/>
        <v/>
      </c>
      <c r="Q1677" s="26" t="str">
        <f t="shared" si="83"/>
        <v/>
      </c>
    </row>
    <row r="1678" spans="1:17" x14ac:dyDescent="0.3">
      <c r="A1678" s="35"/>
      <c r="B1678" s="25"/>
      <c r="C1678" s="25"/>
      <c r="D1678" s="25"/>
      <c r="E1678" s="25"/>
      <c r="F1678" s="25"/>
      <c r="G1678" s="25"/>
      <c r="H1678" s="25"/>
      <c r="I1678" s="25"/>
      <c r="J1678" s="25"/>
      <c r="K1678" s="25"/>
      <c r="L1678" s="25"/>
      <c r="M1678" s="22" t="s">
        <v>86</v>
      </c>
      <c r="N1678" s="23">
        <v>46083</v>
      </c>
      <c r="O1678" s="26" t="str">
        <f t="shared" si="81"/>
        <v/>
      </c>
      <c r="P1678" s="26" t="str">
        <f t="shared" si="82"/>
        <v/>
      </c>
      <c r="Q1678" s="26" t="str">
        <f t="shared" si="83"/>
        <v/>
      </c>
    </row>
    <row r="1679" spans="1:17" x14ac:dyDescent="0.3">
      <c r="A1679" s="35"/>
      <c r="B1679" s="25"/>
      <c r="C1679" s="25"/>
      <c r="D1679" s="25"/>
      <c r="E1679" s="25"/>
      <c r="F1679" s="25"/>
      <c r="G1679" s="25"/>
      <c r="H1679" s="25"/>
      <c r="I1679" s="25"/>
      <c r="J1679" s="25"/>
      <c r="K1679" s="25"/>
      <c r="L1679" s="25"/>
      <c r="M1679" s="22" t="s">
        <v>86</v>
      </c>
      <c r="N1679" s="23">
        <v>46083</v>
      </c>
      <c r="O1679" s="26" t="str">
        <f t="shared" si="81"/>
        <v/>
      </c>
      <c r="P1679" s="26" t="str">
        <f t="shared" si="82"/>
        <v/>
      </c>
      <c r="Q1679" s="26" t="str">
        <f t="shared" si="83"/>
        <v/>
      </c>
    </row>
    <row r="1680" spans="1:17" x14ac:dyDescent="0.3">
      <c r="A1680" s="35"/>
      <c r="B1680" s="25"/>
      <c r="C1680" s="25"/>
      <c r="D1680" s="25"/>
      <c r="E1680" s="25"/>
      <c r="F1680" s="25"/>
      <c r="G1680" s="25"/>
      <c r="H1680" s="25"/>
      <c r="I1680" s="25"/>
      <c r="J1680" s="25"/>
      <c r="K1680" s="25"/>
      <c r="L1680" s="25"/>
      <c r="M1680" s="22" t="s">
        <v>86</v>
      </c>
      <c r="N1680" s="23">
        <v>46083</v>
      </c>
      <c r="O1680" s="26" t="str">
        <f t="shared" si="81"/>
        <v/>
      </c>
      <c r="P1680" s="26" t="str">
        <f t="shared" si="82"/>
        <v/>
      </c>
      <c r="Q1680" s="26" t="str">
        <f t="shared" si="83"/>
        <v/>
      </c>
    </row>
    <row r="1681" spans="1:17" x14ac:dyDescent="0.3">
      <c r="A1681" s="35"/>
      <c r="B1681" s="25"/>
      <c r="C1681" s="25"/>
      <c r="D1681" s="25"/>
      <c r="E1681" s="25"/>
      <c r="F1681" s="25"/>
      <c r="G1681" s="25"/>
      <c r="H1681" s="25"/>
      <c r="I1681" s="25"/>
      <c r="J1681" s="25"/>
      <c r="K1681" s="25"/>
      <c r="L1681" s="25"/>
      <c r="M1681" s="22" t="s">
        <v>86</v>
      </c>
      <c r="N1681" s="23">
        <v>46083</v>
      </c>
      <c r="O1681" s="26" t="str">
        <f t="shared" si="81"/>
        <v/>
      </c>
      <c r="P1681" s="26" t="str">
        <f t="shared" si="82"/>
        <v/>
      </c>
      <c r="Q1681" s="26" t="str">
        <f t="shared" si="83"/>
        <v/>
      </c>
    </row>
    <row r="1682" spans="1:17" x14ac:dyDescent="0.3">
      <c r="A1682" s="35"/>
      <c r="B1682" s="25"/>
      <c r="C1682" s="25"/>
      <c r="D1682" s="25"/>
      <c r="E1682" s="25"/>
      <c r="F1682" s="25"/>
      <c r="G1682" s="25"/>
      <c r="H1682" s="25"/>
      <c r="I1682" s="25"/>
      <c r="J1682" s="25"/>
      <c r="K1682" s="25"/>
      <c r="L1682" s="25"/>
      <c r="M1682" s="22" t="s">
        <v>86</v>
      </c>
      <c r="N1682" s="23">
        <v>46083</v>
      </c>
      <c r="O1682" s="26" t="str">
        <f t="shared" si="81"/>
        <v/>
      </c>
      <c r="P1682" s="26" t="str">
        <f t="shared" si="82"/>
        <v/>
      </c>
      <c r="Q1682" s="26" t="str">
        <f t="shared" si="83"/>
        <v/>
      </c>
    </row>
    <row r="1683" spans="1:17" x14ac:dyDescent="0.3">
      <c r="A1683" s="35"/>
      <c r="B1683" s="25"/>
      <c r="C1683" s="25"/>
      <c r="D1683" s="25"/>
      <c r="E1683" s="25"/>
      <c r="F1683" s="25"/>
      <c r="G1683" s="25"/>
      <c r="H1683" s="25"/>
      <c r="I1683" s="25"/>
      <c r="J1683" s="25"/>
      <c r="K1683" s="25"/>
      <c r="L1683" s="25"/>
      <c r="M1683" s="22" t="s">
        <v>86</v>
      </c>
      <c r="N1683" s="23">
        <v>46083</v>
      </c>
      <c r="O1683" s="26" t="str">
        <f t="shared" si="81"/>
        <v/>
      </c>
      <c r="P1683" s="26" t="str">
        <f t="shared" si="82"/>
        <v/>
      </c>
      <c r="Q1683" s="26" t="str">
        <f t="shared" si="83"/>
        <v/>
      </c>
    </row>
    <row r="1684" spans="1:17" x14ac:dyDescent="0.3">
      <c r="A1684" s="35"/>
      <c r="B1684" s="25"/>
      <c r="C1684" s="25"/>
      <c r="D1684" s="25"/>
      <c r="E1684" s="25"/>
      <c r="F1684" s="25"/>
      <c r="G1684" s="25"/>
      <c r="H1684" s="25"/>
      <c r="I1684" s="25"/>
      <c r="J1684" s="25"/>
      <c r="K1684" s="25"/>
      <c r="L1684" s="25"/>
      <c r="M1684" s="22" t="s">
        <v>86</v>
      </c>
      <c r="N1684" s="23">
        <v>46083</v>
      </c>
      <c r="O1684" s="26" t="str">
        <f t="shared" si="81"/>
        <v/>
      </c>
      <c r="P1684" s="26" t="str">
        <f t="shared" si="82"/>
        <v/>
      </c>
      <c r="Q1684" s="26" t="str">
        <f t="shared" si="83"/>
        <v/>
      </c>
    </row>
    <row r="1685" spans="1:17" x14ac:dyDescent="0.3">
      <c r="A1685" s="35"/>
      <c r="B1685" s="25"/>
      <c r="C1685" s="25"/>
      <c r="D1685" s="25"/>
      <c r="E1685" s="25"/>
      <c r="F1685" s="25"/>
      <c r="G1685" s="25"/>
      <c r="H1685" s="25"/>
      <c r="I1685" s="25"/>
      <c r="J1685" s="25"/>
      <c r="K1685" s="25"/>
      <c r="L1685" s="25"/>
      <c r="M1685" s="22" t="s">
        <v>86</v>
      </c>
      <c r="N1685" s="23">
        <v>46083</v>
      </c>
      <c r="O1685" s="26" t="str">
        <f t="shared" si="81"/>
        <v/>
      </c>
      <c r="P1685" s="26" t="str">
        <f t="shared" si="82"/>
        <v/>
      </c>
      <c r="Q1685" s="26" t="str">
        <f t="shared" si="83"/>
        <v/>
      </c>
    </row>
    <row r="1686" spans="1:17" x14ac:dyDescent="0.3">
      <c r="A1686" s="35"/>
      <c r="B1686" s="25"/>
      <c r="C1686" s="25"/>
      <c r="D1686" s="25"/>
      <c r="E1686" s="25"/>
      <c r="F1686" s="25"/>
      <c r="G1686" s="25"/>
      <c r="H1686" s="25"/>
      <c r="I1686" s="25"/>
      <c r="J1686" s="25"/>
      <c r="K1686" s="25"/>
      <c r="L1686" s="25"/>
      <c r="M1686" s="22" t="s">
        <v>86</v>
      </c>
      <c r="N1686" s="23">
        <v>46083</v>
      </c>
      <c r="O1686" s="26" t="str">
        <f t="shared" si="81"/>
        <v/>
      </c>
      <c r="P1686" s="26" t="str">
        <f t="shared" si="82"/>
        <v/>
      </c>
      <c r="Q1686" s="26" t="str">
        <f t="shared" si="83"/>
        <v/>
      </c>
    </row>
    <row r="1687" spans="1:17" x14ac:dyDescent="0.3">
      <c r="A1687" s="35"/>
      <c r="B1687" s="25"/>
      <c r="C1687" s="25"/>
      <c r="D1687" s="25"/>
      <c r="E1687" s="25"/>
      <c r="F1687" s="25"/>
      <c r="G1687" s="25"/>
      <c r="H1687" s="25"/>
      <c r="I1687" s="25"/>
      <c r="J1687" s="25"/>
      <c r="K1687" s="25"/>
      <c r="L1687" s="25"/>
      <c r="M1687" s="22" t="s">
        <v>86</v>
      </c>
      <c r="N1687" s="23">
        <v>46083</v>
      </c>
      <c r="O1687" s="26" t="str">
        <f t="shared" si="81"/>
        <v/>
      </c>
      <c r="P1687" s="26" t="str">
        <f t="shared" si="82"/>
        <v/>
      </c>
      <c r="Q1687" s="26" t="str">
        <f t="shared" si="83"/>
        <v/>
      </c>
    </row>
    <row r="1688" spans="1:17" x14ac:dyDescent="0.3">
      <c r="A1688" s="35"/>
      <c r="B1688" s="25"/>
      <c r="C1688" s="25"/>
      <c r="D1688" s="25"/>
      <c r="E1688" s="25"/>
      <c r="F1688" s="25"/>
      <c r="G1688" s="25"/>
      <c r="H1688" s="25"/>
      <c r="I1688" s="25"/>
      <c r="J1688" s="25"/>
      <c r="K1688" s="25"/>
      <c r="L1688" s="25"/>
      <c r="M1688" s="22" t="s">
        <v>86</v>
      </c>
      <c r="N1688" s="23">
        <v>46083</v>
      </c>
      <c r="O1688" s="26" t="str">
        <f t="shared" si="81"/>
        <v/>
      </c>
      <c r="P1688" s="26" t="str">
        <f t="shared" si="82"/>
        <v/>
      </c>
      <c r="Q1688" s="26" t="str">
        <f t="shared" si="83"/>
        <v/>
      </c>
    </row>
    <row r="1689" spans="1:17" x14ac:dyDescent="0.3">
      <c r="A1689" s="35"/>
      <c r="B1689" s="25"/>
      <c r="C1689" s="25"/>
      <c r="D1689" s="25"/>
      <c r="E1689" s="25"/>
      <c r="F1689" s="25"/>
      <c r="G1689" s="25"/>
      <c r="H1689" s="25"/>
      <c r="I1689" s="25"/>
      <c r="J1689" s="25"/>
      <c r="K1689" s="25"/>
      <c r="L1689" s="25"/>
      <c r="M1689" s="22" t="s">
        <v>86</v>
      </c>
      <c r="N1689" s="23">
        <v>46083</v>
      </c>
      <c r="O1689" s="26" t="str">
        <f t="shared" si="81"/>
        <v/>
      </c>
      <c r="P1689" s="26" t="str">
        <f t="shared" si="82"/>
        <v/>
      </c>
      <c r="Q1689" s="26" t="str">
        <f t="shared" si="83"/>
        <v/>
      </c>
    </row>
    <row r="1690" spans="1:17" x14ac:dyDescent="0.3">
      <c r="A1690" s="35"/>
      <c r="B1690" s="25"/>
      <c r="C1690" s="25"/>
      <c r="D1690" s="25"/>
      <c r="E1690" s="25"/>
      <c r="F1690" s="25"/>
      <c r="G1690" s="25"/>
      <c r="H1690" s="25"/>
      <c r="I1690" s="25"/>
      <c r="J1690" s="25"/>
      <c r="K1690" s="25"/>
      <c r="L1690" s="25"/>
      <c r="M1690" s="22" t="s">
        <v>86</v>
      </c>
      <c r="N1690" s="23">
        <v>46083</v>
      </c>
      <c r="O1690" s="26" t="str">
        <f t="shared" si="81"/>
        <v/>
      </c>
      <c r="P1690" s="26" t="str">
        <f t="shared" si="82"/>
        <v/>
      </c>
      <c r="Q1690" s="26" t="str">
        <f t="shared" si="83"/>
        <v/>
      </c>
    </row>
    <row r="1691" spans="1:17" x14ac:dyDescent="0.3">
      <c r="A1691" s="35"/>
      <c r="B1691" s="25"/>
      <c r="C1691" s="25"/>
      <c r="D1691" s="25"/>
      <c r="E1691" s="25"/>
      <c r="F1691" s="25"/>
      <c r="G1691" s="25"/>
      <c r="H1691" s="25"/>
      <c r="I1691" s="25"/>
      <c r="J1691" s="25"/>
      <c r="K1691" s="25"/>
      <c r="L1691" s="25"/>
      <c r="M1691" s="22" t="s">
        <v>86</v>
      </c>
      <c r="N1691" s="23">
        <v>46083</v>
      </c>
      <c r="O1691" s="26" t="str">
        <f t="shared" si="81"/>
        <v/>
      </c>
      <c r="P1691" s="26" t="str">
        <f t="shared" si="82"/>
        <v/>
      </c>
      <c r="Q1691" s="26" t="str">
        <f t="shared" si="83"/>
        <v/>
      </c>
    </row>
    <row r="1692" spans="1:17" x14ac:dyDescent="0.3">
      <c r="A1692" s="35"/>
      <c r="B1692" s="25"/>
      <c r="C1692" s="25"/>
      <c r="D1692" s="25"/>
      <c r="E1692" s="25"/>
      <c r="F1692" s="25"/>
      <c r="G1692" s="25"/>
      <c r="H1692" s="25"/>
      <c r="I1692" s="25"/>
      <c r="J1692" s="25"/>
      <c r="K1692" s="25"/>
      <c r="L1692" s="25"/>
      <c r="M1692" s="22" t="s">
        <v>86</v>
      </c>
      <c r="N1692" s="23">
        <v>46083</v>
      </c>
      <c r="O1692" s="26" t="str">
        <f t="shared" si="81"/>
        <v/>
      </c>
      <c r="P1692" s="26" t="str">
        <f t="shared" si="82"/>
        <v/>
      </c>
      <c r="Q1692" s="26" t="str">
        <f t="shared" si="83"/>
        <v/>
      </c>
    </row>
    <row r="1693" spans="1:17" x14ac:dyDescent="0.3">
      <c r="A1693" s="35"/>
      <c r="B1693" s="25"/>
      <c r="C1693" s="25"/>
      <c r="D1693" s="25"/>
      <c r="E1693" s="25"/>
      <c r="F1693" s="25"/>
      <c r="G1693" s="25"/>
      <c r="H1693" s="25"/>
      <c r="I1693" s="25"/>
      <c r="J1693" s="25"/>
      <c r="K1693" s="25"/>
      <c r="L1693" s="25"/>
      <c r="M1693" s="22" t="s">
        <v>86</v>
      </c>
      <c r="N1693" s="23">
        <v>46083</v>
      </c>
      <c r="O1693" s="26" t="str">
        <f t="shared" si="81"/>
        <v/>
      </c>
      <c r="P1693" s="26" t="str">
        <f t="shared" si="82"/>
        <v/>
      </c>
      <c r="Q1693" s="26" t="str">
        <f t="shared" si="83"/>
        <v/>
      </c>
    </row>
    <row r="1694" spans="1:17" x14ac:dyDescent="0.3">
      <c r="A1694" s="35"/>
      <c r="B1694" s="25"/>
      <c r="C1694" s="25"/>
      <c r="D1694" s="25"/>
      <c r="E1694" s="25"/>
      <c r="F1694" s="25"/>
      <c r="G1694" s="25"/>
      <c r="H1694" s="25"/>
      <c r="I1694" s="25"/>
      <c r="J1694" s="25"/>
      <c r="K1694" s="25"/>
      <c r="L1694" s="25"/>
      <c r="M1694" s="22" t="s">
        <v>86</v>
      </c>
      <c r="N1694" s="23">
        <v>46083</v>
      </c>
      <c r="O1694" s="26" t="str">
        <f t="shared" si="81"/>
        <v/>
      </c>
      <c r="P1694" s="26" t="str">
        <f t="shared" si="82"/>
        <v/>
      </c>
      <c r="Q1694" s="26" t="str">
        <f t="shared" si="83"/>
        <v/>
      </c>
    </row>
    <row r="1695" spans="1:17" x14ac:dyDescent="0.3">
      <c r="A1695" s="35"/>
      <c r="B1695" s="25"/>
      <c r="C1695" s="25"/>
      <c r="D1695" s="25"/>
      <c r="E1695" s="25"/>
      <c r="F1695" s="25"/>
      <c r="G1695" s="25"/>
      <c r="H1695" s="25"/>
      <c r="I1695" s="25"/>
      <c r="J1695" s="25"/>
      <c r="K1695" s="25"/>
      <c r="L1695" s="25"/>
      <c r="M1695" s="22" t="s">
        <v>86</v>
      </c>
      <c r="N1695" s="23">
        <v>46083</v>
      </c>
      <c r="O1695" s="26" t="str">
        <f t="shared" si="81"/>
        <v/>
      </c>
      <c r="P1695" s="26" t="str">
        <f t="shared" si="82"/>
        <v/>
      </c>
      <c r="Q1695" s="26" t="str">
        <f t="shared" si="83"/>
        <v/>
      </c>
    </row>
    <row r="1696" spans="1:17" x14ac:dyDescent="0.3">
      <c r="A1696" s="35"/>
      <c r="B1696" s="25"/>
      <c r="C1696" s="25"/>
      <c r="D1696" s="25"/>
      <c r="E1696" s="25"/>
      <c r="F1696" s="25"/>
      <c r="G1696" s="25"/>
      <c r="H1696" s="25"/>
      <c r="I1696" s="25"/>
      <c r="J1696" s="25"/>
      <c r="K1696" s="25"/>
      <c r="L1696" s="25"/>
      <c r="M1696" s="22" t="s">
        <v>86</v>
      </c>
      <c r="N1696" s="23">
        <v>46083</v>
      </c>
      <c r="O1696" s="26" t="str">
        <f t="shared" si="81"/>
        <v/>
      </c>
      <c r="P1696" s="26" t="str">
        <f t="shared" si="82"/>
        <v/>
      </c>
      <c r="Q1696" s="26" t="str">
        <f t="shared" si="83"/>
        <v/>
      </c>
    </row>
    <row r="1697" spans="1:17" x14ac:dyDescent="0.3">
      <c r="A1697" s="35"/>
      <c r="B1697" s="25"/>
      <c r="C1697" s="25"/>
      <c r="D1697" s="25"/>
      <c r="E1697" s="25"/>
      <c r="F1697" s="25"/>
      <c r="G1697" s="25"/>
      <c r="H1697" s="25"/>
      <c r="I1697" s="25"/>
      <c r="J1697" s="25"/>
      <c r="K1697" s="25"/>
      <c r="L1697" s="25"/>
      <c r="M1697" s="22" t="s">
        <v>86</v>
      </c>
      <c r="N1697" s="23">
        <v>46083</v>
      </c>
      <c r="O1697" s="26" t="str">
        <f t="shared" si="81"/>
        <v/>
      </c>
      <c r="P1697" s="26" t="str">
        <f t="shared" si="82"/>
        <v/>
      </c>
      <c r="Q1697" s="26" t="str">
        <f t="shared" si="83"/>
        <v/>
      </c>
    </row>
    <row r="1698" spans="1:17" x14ac:dyDescent="0.3">
      <c r="A1698" s="35"/>
      <c r="B1698" s="25"/>
      <c r="C1698" s="25"/>
      <c r="D1698" s="25"/>
      <c r="E1698" s="25"/>
      <c r="F1698" s="25"/>
      <c r="G1698" s="25"/>
      <c r="H1698" s="25"/>
      <c r="I1698" s="25"/>
      <c r="J1698" s="25"/>
      <c r="K1698" s="25"/>
      <c r="L1698" s="25"/>
      <c r="M1698" s="22" t="s">
        <v>86</v>
      </c>
      <c r="N1698" s="23">
        <v>46083</v>
      </c>
      <c r="O1698" s="26" t="str">
        <f t="shared" si="81"/>
        <v/>
      </c>
      <c r="P1698" s="26" t="str">
        <f t="shared" si="82"/>
        <v/>
      </c>
      <c r="Q1698" s="26" t="str">
        <f t="shared" si="83"/>
        <v/>
      </c>
    </row>
    <row r="1699" spans="1:17" x14ac:dyDescent="0.3">
      <c r="A1699" s="35"/>
      <c r="B1699" s="25"/>
      <c r="C1699" s="25"/>
      <c r="D1699" s="25"/>
      <c r="E1699" s="25"/>
      <c r="F1699" s="25"/>
      <c r="G1699" s="25"/>
      <c r="H1699" s="25"/>
      <c r="I1699" s="25"/>
      <c r="J1699" s="25"/>
      <c r="K1699" s="25"/>
      <c r="L1699" s="25"/>
      <c r="M1699" s="22" t="s">
        <v>86</v>
      </c>
      <c r="N1699" s="23">
        <v>46083</v>
      </c>
      <c r="O1699" s="26" t="str">
        <f t="shared" si="81"/>
        <v/>
      </c>
      <c r="P1699" s="26" t="str">
        <f t="shared" si="82"/>
        <v/>
      </c>
      <c r="Q1699" s="26" t="str">
        <f t="shared" si="83"/>
        <v/>
      </c>
    </row>
    <row r="1700" spans="1:17" x14ac:dyDescent="0.3">
      <c r="A1700" s="35"/>
      <c r="B1700" s="25"/>
      <c r="C1700" s="25"/>
      <c r="D1700" s="25"/>
      <c r="E1700" s="25"/>
      <c r="F1700" s="25"/>
      <c r="G1700" s="25"/>
      <c r="H1700" s="25"/>
      <c r="I1700" s="25"/>
      <c r="J1700" s="25"/>
      <c r="K1700" s="25"/>
      <c r="L1700" s="25"/>
      <c r="M1700" s="22" t="s">
        <v>86</v>
      </c>
      <c r="N1700" s="23">
        <v>46083</v>
      </c>
      <c r="O1700" s="26" t="str">
        <f t="shared" si="81"/>
        <v/>
      </c>
      <c r="P1700" s="26" t="str">
        <f t="shared" si="82"/>
        <v/>
      </c>
      <c r="Q1700" s="26" t="str">
        <f t="shared" si="83"/>
        <v/>
      </c>
    </row>
    <row r="1701" spans="1:17" x14ac:dyDescent="0.3">
      <c r="A1701" s="35"/>
      <c r="B1701" s="25"/>
      <c r="C1701" s="25"/>
      <c r="D1701" s="25"/>
      <c r="E1701" s="25"/>
      <c r="F1701" s="25"/>
      <c r="G1701" s="25"/>
      <c r="H1701" s="25"/>
      <c r="I1701" s="25"/>
      <c r="J1701" s="25"/>
      <c r="K1701" s="25"/>
      <c r="L1701" s="25"/>
      <c r="M1701" s="22" t="s">
        <v>86</v>
      </c>
      <c r="N1701" s="23">
        <v>46083</v>
      </c>
      <c r="O1701" s="26" t="str">
        <f t="shared" si="81"/>
        <v/>
      </c>
      <c r="P1701" s="26" t="str">
        <f t="shared" si="82"/>
        <v/>
      </c>
      <c r="Q1701" s="26" t="str">
        <f t="shared" si="83"/>
        <v/>
      </c>
    </row>
    <row r="1702" spans="1:17" x14ac:dyDescent="0.3">
      <c r="A1702" s="35"/>
      <c r="B1702" s="25"/>
      <c r="C1702" s="25"/>
      <c r="D1702" s="25"/>
      <c r="E1702" s="25"/>
      <c r="F1702" s="25"/>
      <c r="G1702" s="25"/>
      <c r="H1702" s="25"/>
      <c r="I1702" s="25"/>
      <c r="J1702" s="25"/>
      <c r="K1702" s="25"/>
      <c r="L1702" s="25"/>
      <c r="M1702" s="22" t="s">
        <v>86</v>
      </c>
      <c r="N1702" s="23">
        <v>46083</v>
      </c>
      <c r="O1702" s="26" t="str">
        <f t="shared" si="81"/>
        <v/>
      </c>
      <c r="P1702" s="26" t="str">
        <f t="shared" si="82"/>
        <v/>
      </c>
      <c r="Q1702" s="26" t="str">
        <f t="shared" si="83"/>
        <v/>
      </c>
    </row>
    <row r="1703" spans="1:17" x14ac:dyDescent="0.3">
      <c r="A1703" s="35"/>
      <c r="B1703" s="25"/>
      <c r="C1703" s="25"/>
      <c r="D1703" s="25"/>
      <c r="E1703" s="25"/>
      <c r="F1703" s="25"/>
      <c r="G1703" s="25"/>
      <c r="H1703" s="25"/>
      <c r="I1703" s="25"/>
      <c r="J1703" s="25"/>
      <c r="K1703" s="25"/>
      <c r="L1703" s="25"/>
      <c r="M1703" s="22" t="s">
        <v>86</v>
      </c>
      <c r="N1703" s="23">
        <v>46083</v>
      </c>
      <c r="O1703" s="26" t="str">
        <f t="shared" si="81"/>
        <v/>
      </c>
      <c r="P1703" s="26" t="str">
        <f t="shared" si="82"/>
        <v/>
      </c>
      <c r="Q1703" s="26" t="str">
        <f t="shared" si="83"/>
        <v/>
      </c>
    </row>
    <row r="1704" spans="1:17" x14ac:dyDescent="0.3">
      <c r="A1704" s="35"/>
      <c r="B1704" s="25"/>
      <c r="C1704" s="25"/>
      <c r="D1704" s="25"/>
      <c r="E1704" s="25"/>
      <c r="F1704" s="25"/>
      <c r="G1704" s="25"/>
      <c r="H1704" s="25"/>
      <c r="I1704" s="25"/>
      <c r="J1704" s="25"/>
      <c r="K1704" s="25"/>
      <c r="L1704" s="25"/>
      <c r="M1704" s="22" t="s">
        <v>86</v>
      </c>
      <c r="N1704" s="23">
        <v>46083</v>
      </c>
      <c r="O1704" s="26" t="str">
        <f t="shared" si="81"/>
        <v/>
      </c>
      <c r="P1704" s="26" t="str">
        <f t="shared" si="82"/>
        <v/>
      </c>
      <c r="Q1704" s="26" t="str">
        <f t="shared" si="83"/>
        <v/>
      </c>
    </row>
    <row r="1705" spans="1:17" x14ac:dyDescent="0.3">
      <c r="A1705" s="35"/>
      <c r="B1705" s="25"/>
      <c r="C1705" s="25"/>
      <c r="D1705" s="25"/>
      <c r="E1705" s="25"/>
      <c r="F1705" s="25"/>
      <c r="G1705" s="25"/>
      <c r="H1705" s="25"/>
      <c r="I1705" s="25"/>
      <c r="J1705" s="25"/>
      <c r="K1705" s="25"/>
      <c r="L1705" s="25"/>
      <c r="M1705" s="22" t="s">
        <v>86</v>
      </c>
      <c r="N1705" s="23">
        <v>46083</v>
      </c>
      <c r="O1705" s="26" t="str">
        <f t="shared" si="81"/>
        <v/>
      </c>
      <c r="P1705" s="26" t="str">
        <f t="shared" si="82"/>
        <v/>
      </c>
      <c r="Q1705" s="26" t="str">
        <f t="shared" si="83"/>
        <v/>
      </c>
    </row>
    <row r="1706" spans="1:17" x14ac:dyDescent="0.3">
      <c r="A1706" s="35"/>
      <c r="B1706" s="25"/>
      <c r="C1706" s="25"/>
      <c r="D1706" s="25"/>
      <c r="E1706" s="25"/>
      <c r="F1706" s="25"/>
      <c r="G1706" s="25"/>
      <c r="H1706" s="25"/>
      <c r="I1706" s="25"/>
      <c r="J1706" s="25"/>
      <c r="K1706" s="25"/>
      <c r="L1706" s="25"/>
      <c r="M1706" s="22" t="s">
        <v>86</v>
      </c>
      <c r="N1706" s="23">
        <v>46083</v>
      </c>
      <c r="O1706" s="26" t="str">
        <f t="shared" si="81"/>
        <v/>
      </c>
      <c r="P1706" s="26" t="str">
        <f t="shared" si="82"/>
        <v/>
      </c>
      <c r="Q1706" s="26" t="str">
        <f t="shared" si="83"/>
        <v/>
      </c>
    </row>
    <row r="1707" spans="1:17" x14ac:dyDescent="0.3">
      <c r="A1707" s="35"/>
      <c r="B1707" s="25"/>
      <c r="C1707" s="25"/>
      <c r="D1707" s="25"/>
      <c r="E1707" s="25"/>
      <c r="F1707" s="25"/>
      <c r="G1707" s="25"/>
      <c r="H1707" s="25"/>
      <c r="I1707" s="25"/>
      <c r="J1707" s="25"/>
      <c r="K1707" s="25"/>
      <c r="L1707" s="25"/>
      <c r="M1707" s="22" t="s">
        <v>86</v>
      </c>
      <c r="N1707" s="23">
        <v>46083</v>
      </c>
      <c r="O1707" s="26" t="str">
        <f t="shared" si="81"/>
        <v/>
      </c>
      <c r="P1707" s="26" t="str">
        <f t="shared" si="82"/>
        <v/>
      </c>
      <c r="Q1707" s="26" t="str">
        <f t="shared" si="83"/>
        <v/>
      </c>
    </row>
    <row r="1708" spans="1:17" x14ac:dyDescent="0.3">
      <c r="A1708" s="35"/>
      <c r="B1708" s="25"/>
      <c r="C1708" s="25"/>
      <c r="D1708" s="25"/>
      <c r="E1708" s="25"/>
      <c r="F1708" s="25"/>
      <c r="G1708" s="25"/>
      <c r="H1708" s="25"/>
      <c r="I1708" s="25"/>
      <c r="J1708" s="25"/>
      <c r="K1708" s="25"/>
      <c r="L1708" s="25"/>
      <c r="M1708" s="22" t="s">
        <v>86</v>
      </c>
      <c r="N1708" s="23">
        <v>46083</v>
      </c>
      <c r="O1708" s="26" t="str">
        <f t="shared" si="81"/>
        <v/>
      </c>
      <c r="P1708" s="26" t="str">
        <f t="shared" si="82"/>
        <v/>
      </c>
      <c r="Q1708" s="26" t="str">
        <f t="shared" si="83"/>
        <v/>
      </c>
    </row>
    <row r="1709" spans="1:17" x14ac:dyDescent="0.3">
      <c r="A1709" s="35"/>
      <c r="B1709" s="25"/>
      <c r="C1709" s="25"/>
      <c r="D1709" s="25"/>
      <c r="E1709" s="25"/>
      <c r="F1709" s="25"/>
      <c r="G1709" s="25"/>
      <c r="H1709" s="25"/>
      <c r="I1709" s="25"/>
      <c r="J1709" s="25"/>
      <c r="K1709" s="25"/>
      <c r="L1709" s="25"/>
      <c r="M1709" s="22" t="s">
        <v>86</v>
      </c>
      <c r="N1709" s="23">
        <v>46083</v>
      </c>
      <c r="O1709" s="26" t="str">
        <f t="shared" si="81"/>
        <v/>
      </c>
      <c r="P1709" s="26" t="str">
        <f t="shared" si="82"/>
        <v/>
      </c>
      <c r="Q1709" s="26" t="str">
        <f t="shared" si="83"/>
        <v/>
      </c>
    </row>
    <row r="1710" spans="1:17" x14ac:dyDescent="0.3">
      <c r="A1710" s="35"/>
      <c r="B1710" s="25"/>
      <c r="C1710" s="25"/>
      <c r="D1710" s="25"/>
      <c r="E1710" s="25"/>
      <c r="F1710" s="25"/>
      <c r="G1710" s="25"/>
      <c r="H1710" s="25"/>
      <c r="I1710" s="25"/>
      <c r="J1710" s="25"/>
      <c r="K1710" s="25"/>
      <c r="L1710" s="25"/>
      <c r="M1710" s="22" t="s">
        <v>86</v>
      </c>
      <c r="N1710" s="23">
        <v>46083</v>
      </c>
      <c r="O1710" s="26" t="str">
        <f t="shared" si="81"/>
        <v/>
      </c>
      <c r="P1710" s="26" t="str">
        <f t="shared" si="82"/>
        <v/>
      </c>
      <c r="Q1710" s="26" t="str">
        <f t="shared" si="83"/>
        <v/>
      </c>
    </row>
    <row r="1711" spans="1:17" x14ac:dyDescent="0.3">
      <c r="A1711" s="35"/>
      <c r="B1711" s="25"/>
      <c r="C1711" s="25"/>
      <c r="D1711" s="25"/>
      <c r="E1711" s="25"/>
      <c r="F1711" s="25"/>
      <c r="G1711" s="25"/>
      <c r="H1711" s="25"/>
      <c r="I1711" s="25"/>
      <c r="J1711" s="25"/>
      <c r="K1711" s="25"/>
      <c r="L1711" s="25"/>
      <c r="M1711" s="22" t="s">
        <v>86</v>
      </c>
      <c r="N1711" s="23">
        <v>46083</v>
      </c>
      <c r="O1711" s="26" t="str">
        <f t="shared" si="81"/>
        <v/>
      </c>
      <c r="P1711" s="26" t="str">
        <f t="shared" si="82"/>
        <v/>
      </c>
      <c r="Q1711" s="26" t="str">
        <f t="shared" si="83"/>
        <v/>
      </c>
    </row>
    <row r="1712" spans="1:17" x14ac:dyDescent="0.3">
      <c r="A1712" s="35"/>
      <c r="B1712" s="25"/>
      <c r="C1712" s="25"/>
      <c r="D1712" s="25"/>
      <c r="E1712" s="25"/>
      <c r="F1712" s="25"/>
      <c r="G1712" s="25"/>
      <c r="H1712" s="25"/>
      <c r="I1712" s="25"/>
      <c r="J1712" s="25"/>
      <c r="K1712" s="25"/>
      <c r="L1712" s="25"/>
      <c r="M1712" s="22" t="s">
        <v>86</v>
      </c>
      <c r="N1712" s="23">
        <v>46083</v>
      </c>
      <c r="O1712" s="26" t="str">
        <f t="shared" si="81"/>
        <v/>
      </c>
      <c r="P1712" s="26" t="str">
        <f t="shared" si="82"/>
        <v/>
      </c>
      <c r="Q1712" s="26" t="str">
        <f t="shared" si="83"/>
        <v/>
      </c>
    </row>
    <row r="1713" spans="1:17" x14ac:dyDescent="0.3">
      <c r="A1713" s="35"/>
      <c r="B1713" s="25"/>
      <c r="C1713" s="25"/>
      <c r="D1713" s="25"/>
      <c r="E1713" s="25"/>
      <c r="F1713" s="25"/>
      <c r="G1713" s="25"/>
      <c r="H1713" s="25"/>
      <c r="I1713" s="25"/>
      <c r="J1713" s="25"/>
      <c r="K1713" s="25"/>
      <c r="L1713" s="25"/>
      <c r="M1713" s="22" t="s">
        <v>86</v>
      </c>
      <c r="N1713" s="23">
        <v>46083</v>
      </c>
      <c r="O1713" s="26" t="str">
        <f t="shared" si="81"/>
        <v/>
      </c>
      <c r="P1713" s="26" t="str">
        <f t="shared" si="82"/>
        <v/>
      </c>
      <c r="Q1713" s="26" t="str">
        <f t="shared" si="83"/>
        <v/>
      </c>
    </row>
    <row r="1714" spans="1:17" x14ac:dyDescent="0.3">
      <c r="A1714" s="35"/>
      <c r="B1714" s="25"/>
      <c r="C1714" s="25"/>
      <c r="D1714" s="25"/>
      <c r="E1714" s="25"/>
      <c r="F1714" s="25"/>
      <c r="G1714" s="25"/>
      <c r="H1714" s="25"/>
      <c r="I1714" s="25"/>
      <c r="J1714" s="25"/>
      <c r="K1714" s="25"/>
      <c r="L1714" s="25"/>
      <c r="M1714" s="22" t="s">
        <v>86</v>
      </c>
      <c r="N1714" s="23">
        <v>46083</v>
      </c>
      <c r="O1714" s="26" t="str">
        <f t="shared" si="81"/>
        <v/>
      </c>
      <c r="P1714" s="26" t="str">
        <f t="shared" si="82"/>
        <v/>
      </c>
      <c r="Q1714" s="26" t="str">
        <f t="shared" si="83"/>
        <v/>
      </c>
    </row>
    <row r="1715" spans="1:17" x14ac:dyDescent="0.3">
      <c r="A1715" s="35"/>
      <c r="B1715" s="25"/>
      <c r="C1715" s="25"/>
      <c r="D1715" s="25"/>
      <c r="E1715" s="25"/>
      <c r="F1715" s="25"/>
      <c r="G1715" s="25"/>
      <c r="H1715" s="25"/>
      <c r="I1715" s="25"/>
      <c r="J1715" s="25"/>
      <c r="K1715" s="25"/>
      <c r="L1715" s="25"/>
      <c r="M1715" s="22" t="s">
        <v>86</v>
      </c>
      <c r="N1715" s="23">
        <v>46083</v>
      </c>
      <c r="O1715" s="26" t="str">
        <f t="shared" si="81"/>
        <v/>
      </c>
      <c r="P1715" s="26" t="str">
        <f t="shared" si="82"/>
        <v/>
      </c>
      <c r="Q1715" s="26" t="str">
        <f t="shared" si="83"/>
        <v/>
      </c>
    </row>
    <row r="1716" spans="1:17" x14ac:dyDescent="0.3">
      <c r="A1716" s="35"/>
      <c r="B1716" s="25"/>
      <c r="C1716" s="25"/>
      <c r="D1716" s="25"/>
      <c r="E1716" s="25"/>
      <c r="F1716" s="25"/>
      <c r="G1716" s="25"/>
      <c r="H1716" s="25"/>
      <c r="I1716" s="25"/>
      <c r="J1716" s="25"/>
      <c r="K1716" s="25"/>
      <c r="L1716" s="25"/>
      <c r="M1716" s="22" t="s">
        <v>86</v>
      </c>
      <c r="N1716" s="23">
        <v>46083</v>
      </c>
      <c r="O1716" s="26" t="str">
        <f t="shared" si="81"/>
        <v/>
      </c>
      <c r="P1716" s="26" t="str">
        <f t="shared" si="82"/>
        <v/>
      </c>
      <c r="Q1716" s="26" t="str">
        <f t="shared" si="83"/>
        <v/>
      </c>
    </row>
    <row r="1717" spans="1:17" x14ac:dyDescent="0.3">
      <c r="A1717" s="35"/>
      <c r="B1717" s="25"/>
      <c r="C1717" s="25"/>
      <c r="D1717" s="25"/>
      <c r="E1717" s="25"/>
      <c r="F1717" s="25"/>
      <c r="G1717" s="25"/>
      <c r="H1717" s="25"/>
      <c r="I1717" s="25"/>
      <c r="J1717" s="25"/>
      <c r="K1717" s="25"/>
      <c r="L1717" s="25"/>
      <c r="M1717" s="22" t="s">
        <v>86</v>
      </c>
      <c r="N1717" s="23">
        <v>46083</v>
      </c>
      <c r="O1717" s="26" t="str">
        <f t="shared" si="81"/>
        <v/>
      </c>
      <c r="P1717" s="26" t="str">
        <f t="shared" si="82"/>
        <v/>
      </c>
      <c r="Q1717" s="26" t="str">
        <f t="shared" si="83"/>
        <v/>
      </c>
    </row>
    <row r="1718" spans="1:17" x14ac:dyDescent="0.3">
      <c r="A1718" s="35"/>
      <c r="B1718" s="25"/>
      <c r="C1718" s="25"/>
      <c r="D1718" s="25"/>
      <c r="E1718" s="25"/>
      <c r="F1718" s="25"/>
      <c r="G1718" s="25"/>
      <c r="H1718" s="25"/>
      <c r="I1718" s="25"/>
      <c r="J1718" s="25"/>
      <c r="K1718" s="25"/>
      <c r="L1718" s="25"/>
      <c r="M1718" s="22" t="s">
        <v>86</v>
      </c>
      <c r="N1718" s="23">
        <v>46083</v>
      </c>
      <c r="O1718" s="26" t="str">
        <f t="shared" si="81"/>
        <v/>
      </c>
      <c r="P1718" s="26" t="str">
        <f t="shared" si="82"/>
        <v/>
      </c>
      <c r="Q1718" s="26" t="str">
        <f t="shared" si="83"/>
        <v/>
      </c>
    </row>
    <row r="1719" spans="1:17" x14ac:dyDescent="0.3">
      <c r="A1719" s="35"/>
      <c r="B1719" s="25"/>
      <c r="C1719" s="25"/>
      <c r="D1719" s="25"/>
      <c r="E1719" s="25"/>
      <c r="F1719" s="25"/>
      <c r="G1719" s="25"/>
      <c r="H1719" s="25"/>
      <c r="I1719" s="25"/>
      <c r="J1719" s="25"/>
      <c r="K1719" s="25"/>
      <c r="L1719" s="25"/>
      <c r="M1719" s="22" t="s">
        <v>86</v>
      </c>
      <c r="N1719" s="23">
        <v>46083</v>
      </c>
      <c r="O1719" s="26" t="str">
        <f t="shared" si="81"/>
        <v/>
      </c>
      <c r="P1719" s="26" t="str">
        <f t="shared" si="82"/>
        <v/>
      </c>
      <c r="Q1719" s="26" t="str">
        <f t="shared" si="83"/>
        <v/>
      </c>
    </row>
    <row r="1720" spans="1:17" x14ac:dyDescent="0.3">
      <c r="A1720" s="35"/>
      <c r="B1720" s="25"/>
      <c r="C1720" s="25"/>
      <c r="D1720" s="25"/>
      <c r="E1720" s="25"/>
      <c r="F1720" s="25"/>
      <c r="G1720" s="25"/>
      <c r="H1720" s="25"/>
      <c r="I1720" s="25"/>
      <c r="J1720" s="25"/>
      <c r="K1720" s="25"/>
      <c r="L1720" s="25"/>
      <c r="M1720" s="22" t="s">
        <v>86</v>
      </c>
      <c r="N1720" s="23">
        <v>46083</v>
      </c>
      <c r="O1720" s="26" t="str">
        <f t="shared" si="81"/>
        <v/>
      </c>
      <c r="P1720" s="26" t="str">
        <f t="shared" si="82"/>
        <v/>
      </c>
      <c r="Q1720" s="26" t="str">
        <f t="shared" si="83"/>
        <v/>
      </c>
    </row>
    <row r="1721" spans="1:17" x14ac:dyDescent="0.3">
      <c r="A1721" s="35"/>
      <c r="B1721" s="25"/>
      <c r="C1721" s="25"/>
      <c r="D1721" s="25"/>
      <c r="E1721" s="25"/>
      <c r="F1721" s="25"/>
      <c r="G1721" s="25"/>
      <c r="H1721" s="25"/>
      <c r="I1721" s="25"/>
      <c r="J1721" s="25"/>
      <c r="K1721" s="25"/>
      <c r="L1721" s="25"/>
      <c r="M1721" s="22" t="s">
        <v>86</v>
      </c>
      <c r="N1721" s="23">
        <v>46083</v>
      </c>
      <c r="O1721" s="26" t="str">
        <f t="shared" si="81"/>
        <v/>
      </c>
      <c r="P1721" s="26" t="str">
        <f t="shared" si="82"/>
        <v/>
      </c>
      <c r="Q1721" s="26" t="str">
        <f t="shared" si="83"/>
        <v/>
      </c>
    </row>
    <row r="1722" spans="1:17" x14ac:dyDescent="0.3">
      <c r="A1722" s="35"/>
      <c r="B1722" s="25"/>
      <c r="C1722" s="25"/>
      <c r="D1722" s="25"/>
      <c r="E1722" s="25"/>
      <c r="F1722" s="25"/>
      <c r="G1722" s="25"/>
      <c r="H1722" s="25"/>
      <c r="I1722" s="25"/>
      <c r="J1722" s="25"/>
      <c r="K1722" s="25"/>
      <c r="L1722" s="25"/>
      <c r="M1722" s="22" t="s">
        <v>86</v>
      </c>
      <c r="N1722" s="23">
        <v>46083</v>
      </c>
      <c r="O1722" s="26" t="str">
        <f t="shared" si="81"/>
        <v/>
      </c>
      <c r="P1722" s="26" t="str">
        <f t="shared" si="82"/>
        <v/>
      </c>
      <c r="Q1722" s="26" t="str">
        <f t="shared" si="83"/>
        <v/>
      </c>
    </row>
    <row r="1723" spans="1:17" x14ac:dyDescent="0.3">
      <c r="A1723" s="35"/>
      <c r="B1723" s="25"/>
      <c r="C1723" s="25"/>
      <c r="D1723" s="25"/>
      <c r="E1723" s="25"/>
      <c r="F1723" s="25"/>
      <c r="G1723" s="25"/>
      <c r="H1723" s="25"/>
      <c r="I1723" s="25"/>
      <c r="J1723" s="25"/>
      <c r="K1723" s="25"/>
      <c r="L1723" s="25"/>
      <c r="M1723" s="22" t="s">
        <v>86</v>
      </c>
      <c r="N1723" s="23">
        <v>46083</v>
      </c>
      <c r="O1723" s="26" t="str">
        <f t="shared" si="81"/>
        <v/>
      </c>
      <c r="P1723" s="26" t="str">
        <f t="shared" si="82"/>
        <v/>
      </c>
      <c r="Q1723" s="26" t="str">
        <f t="shared" si="83"/>
        <v/>
      </c>
    </row>
    <row r="1724" spans="1:17" x14ac:dyDescent="0.3">
      <c r="A1724" s="35"/>
      <c r="B1724" s="25"/>
      <c r="C1724" s="25"/>
      <c r="D1724" s="25"/>
      <c r="E1724" s="25"/>
      <c r="F1724" s="25"/>
      <c r="G1724" s="25"/>
      <c r="H1724" s="25"/>
      <c r="I1724" s="25"/>
      <c r="J1724" s="25"/>
      <c r="K1724" s="25"/>
      <c r="L1724" s="25"/>
      <c r="M1724" s="22" t="s">
        <v>86</v>
      </c>
      <c r="N1724" s="23">
        <v>46083</v>
      </c>
      <c r="O1724" s="26" t="str">
        <f t="shared" si="81"/>
        <v/>
      </c>
      <c r="P1724" s="26" t="str">
        <f t="shared" si="82"/>
        <v/>
      </c>
      <c r="Q1724" s="26" t="str">
        <f t="shared" si="83"/>
        <v/>
      </c>
    </row>
    <row r="1725" spans="1:17" x14ac:dyDescent="0.3">
      <c r="A1725" s="35"/>
      <c r="B1725" s="25"/>
      <c r="C1725" s="25"/>
      <c r="D1725" s="25"/>
      <c r="E1725" s="25"/>
      <c r="F1725" s="25"/>
      <c r="G1725" s="25"/>
      <c r="H1725" s="25"/>
      <c r="I1725" s="25"/>
      <c r="J1725" s="25"/>
      <c r="K1725" s="25"/>
      <c r="L1725" s="25"/>
      <c r="M1725" s="22" t="s">
        <v>86</v>
      </c>
      <c r="N1725" s="23">
        <v>46083</v>
      </c>
      <c r="O1725" s="26" t="str">
        <f t="shared" si="81"/>
        <v/>
      </c>
      <c r="P1725" s="26" t="str">
        <f t="shared" si="82"/>
        <v/>
      </c>
      <c r="Q1725" s="26" t="str">
        <f t="shared" si="83"/>
        <v/>
      </c>
    </row>
    <row r="1726" spans="1:17" x14ac:dyDescent="0.3">
      <c r="A1726" s="35"/>
      <c r="B1726" s="25"/>
      <c r="C1726" s="25"/>
      <c r="D1726" s="25"/>
      <c r="E1726" s="25"/>
      <c r="F1726" s="25"/>
      <c r="G1726" s="25"/>
      <c r="H1726" s="25"/>
      <c r="I1726" s="25"/>
      <c r="J1726" s="25"/>
      <c r="K1726" s="25"/>
      <c r="L1726" s="25"/>
      <c r="M1726" s="22" t="s">
        <v>86</v>
      </c>
      <c r="N1726" s="23">
        <v>46083</v>
      </c>
      <c r="O1726" s="26" t="str">
        <f t="shared" si="81"/>
        <v/>
      </c>
      <c r="P1726" s="26" t="str">
        <f t="shared" si="82"/>
        <v/>
      </c>
      <c r="Q1726" s="26" t="str">
        <f t="shared" si="83"/>
        <v/>
      </c>
    </row>
    <row r="1727" spans="1:17" x14ac:dyDescent="0.3">
      <c r="A1727" s="35"/>
      <c r="B1727" s="25"/>
      <c r="C1727" s="25"/>
      <c r="D1727" s="25"/>
      <c r="E1727" s="25"/>
      <c r="F1727" s="25"/>
      <c r="G1727" s="25"/>
      <c r="H1727" s="25"/>
      <c r="I1727" s="25"/>
      <c r="J1727" s="25"/>
      <c r="K1727" s="25"/>
      <c r="L1727" s="25"/>
      <c r="M1727" s="22" t="s">
        <v>86</v>
      </c>
      <c r="N1727" s="23">
        <v>46083</v>
      </c>
      <c r="O1727" s="26" t="str">
        <f t="shared" si="81"/>
        <v/>
      </c>
      <c r="P1727" s="26" t="str">
        <f t="shared" si="82"/>
        <v/>
      </c>
      <c r="Q1727" s="26" t="str">
        <f t="shared" si="83"/>
        <v/>
      </c>
    </row>
    <row r="1728" spans="1:17" x14ac:dyDescent="0.3">
      <c r="A1728" s="35"/>
      <c r="B1728" s="25"/>
      <c r="C1728" s="25"/>
      <c r="D1728" s="25"/>
      <c r="E1728" s="25"/>
      <c r="F1728" s="25"/>
      <c r="G1728" s="25"/>
      <c r="H1728" s="25"/>
      <c r="I1728" s="25"/>
      <c r="J1728" s="25"/>
      <c r="K1728" s="25"/>
      <c r="L1728" s="25"/>
      <c r="M1728" s="22" t="s">
        <v>86</v>
      </c>
      <c r="N1728" s="23">
        <v>46083</v>
      </c>
      <c r="O1728" s="26" t="str">
        <f t="shared" si="81"/>
        <v/>
      </c>
      <c r="P1728" s="26" t="str">
        <f t="shared" si="82"/>
        <v/>
      </c>
      <c r="Q1728" s="26" t="str">
        <f t="shared" si="83"/>
        <v/>
      </c>
    </row>
    <row r="1729" spans="1:17" x14ac:dyDescent="0.3">
      <c r="A1729" s="35"/>
      <c r="B1729" s="25"/>
      <c r="C1729" s="25"/>
      <c r="D1729" s="25"/>
      <c r="E1729" s="25"/>
      <c r="F1729" s="25"/>
      <c r="G1729" s="25"/>
      <c r="H1729" s="25"/>
      <c r="I1729" s="25"/>
      <c r="J1729" s="25"/>
      <c r="K1729" s="25"/>
      <c r="L1729" s="25"/>
      <c r="M1729" s="22" t="s">
        <v>86</v>
      </c>
      <c r="N1729" s="23">
        <v>46083</v>
      </c>
      <c r="O1729" s="26" t="str">
        <f t="shared" si="81"/>
        <v/>
      </c>
      <c r="P1729" s="26" t="str">
        <f t="shared" si="82"/>
        <v/>
      </c>
      <c r="Q1729" s="26" t="str">
        <f t="shared" si="83"/>
        <v/>
      </c>
    </row>
    <row r="1730" spans="1:17" x14ac:dyDescent="0.3">
      <c r="A1730" s="35"/>
      <c r="B1730" s="25"/>
      <c r="C1730" s="25"/>
      <c r="D1730" s="25"/>
      <c r="E1730" s="25"/>
      <c r="F1730" s="25"/>
      <c r="G1730" s="25"/>
      <c r="H1730" s="25"/>
      <c r="I1730" s="25"/>
      <c r="J1730" s="25"/>
      <c r="K1730" s="25"/>
      <c r="L1730" s="25"/>
      <c r="M1730" s="22" t="s">
        <v>86</v>
      </c>
      <c r="N1730" s="23">
        <v>46083</v>
      </c>
      <c r="O1730" s="26" t="str">
        <f t="shared" ref="O1730:O1793" si="84">IF(A1730="","",IFERROR(IF(AND(LEN(A1730)=10,NOT(ISERROR(VALUE(A1730)))),"OK","확인"),"확인"))</f>
        <v/>
      </c>
      <c r="P1730" s="26" t="str">
        <f t="shared" ref="P1730:P1793" si="85">IF(A1730="","",IF(COUNTIF($A$2:$A$1946,A1730)&gt;1,"중복",""))</f>
        <v/>
      </c>
      <c r="Q1730" s="26" t="str">
        <f t="shared" ref="Q1730:Q1793" si="86">IF(G1730="","",IF(ISNUMBER(SEARCH("@",G1730)),"","확인"))</f>
        <v/>
      </c>
    </row>
    <row r="1731" spans="1:17" x14ac:dyDescent="0.3">
      <c r="A1731" s="35"/>
      <c r="B1731" s="25"/>
      <c r="C1731" s="25"/>
      <c r="D1731" s="25"/>
      <c r="E1731" s="25"/>
      <c r="F1731" s="25"/>
      <c r="G1731" s="25"/>
      <c r="H1731" s="25"/>
      <c r="I1731" s="25"/>
      <c r="J1731" s="25"/>
      <c r="K1731" s="25"/>
      <c r="L1731" s="25"/>
      <c r="M1731" s="22" t="s">
        <v>86</v>
      </c>
      <c r="N1731" s="23">
        <v>46083</v>
      </c>
      <c r="O1731" s="26" t="str">
        <f t="shared" si="84"/>
        <v/>
      </c>
      <c r="P1731" s="26" t="str">
        <f t="shared" si="85"/>
        <v/>
      </c>
      <c r="Q1731" s="26" t="str">
        <f t="shared" si="86"/>
        <v/>
      </c>
    </row>
    <row r="1732" spans="1:17" x14ac:dyDescent="0.3">
      <c r="A1732" s="35"/>
      <c r="B1732" s="25"/>
      <c r="C1732" s="25"/>
      <c r="D1732" s="25"/>
      <c r="E1732" s="25"/>
      <c r="F1732" s="25"/>
      <c r="G1732" s="25"/>
      <c r="H1732" s="25"/>
      <c r="I1732" s="25"/>
      <c r="J1732" s="25"/>
      <c r="K1732" s="25"/>
      <c r="L1732" s="25"/>
      <c r="M1732" s="22" t="s">
        <v>86</v>
      </c>
      <c r="N1732" s="23">
        <v>46083</v>
      </c>
      <c r="O1732" s="26" t="str">
        <f t="shared" si="84"/>
        <v/>
      </c>
      <c r="P1732" s="26" t="str">
        <f t="shared" si="85"/>
        <v/>
      </c>
      <c r="Q1732" s="26" t="str">
        <f t="shared" si="86"/>
        <v/>
      </c>
    </row>
    <row r="1733" spans="1:17" x14ac:dyDescent="0.3">
      <c r="A1733" s="35"/>
      <c r="B1733" s="25"/>
      <c r="C1733" s="25"/>
      <c r="D1733" s="25"/>
      <c r="E1733" s="25"/>
      <c r="F1733" s="25"/>
      <c r="G1733" s="25"/>
      <c r="H1733" s="25"/>
      <c r="I1733" s="25"/>
      <c r="J1733" s="25"/>
      <c r="K1733" s="25"/>
      <c r="L1733" s="25"/>
      <c r="M1733" s="22" t="s">
        <v>86</v>
      </c>
      <c r="N1733" s="23">
        <v>46083</v>
      </c>
      <c r="O1733" s="26" t="str">
        <f t="shared" si="84"/>
        <v/>
      </c>
      <c r="P1733" s="26" t="str">
        <f t="shared" si="85"/>
        <v/>
      </c>
      <c r="Q1733" s="26" t="str">
        <f t="shared" si="86"/>
        <v/>
      </c>
    </row>
    <row r="1734" spans="1:17" x14ac:dyDescent="0.3">
      <c r="A1734" s="35"/>
      <c r="B1734" s="25"/>
      <c r="C1734" s="25"/>
      <c r="D1734" s="25"/>
      <c r="E1734" s="25"/>
      <c r="F1734" s="25"/>
      <c r="G1734" s="25"/>
      <c r="H1734" s="25"/>
      <c r="I1734" s="25"/>
      <c r="J1734" s="25"/>
      <c r="K1734" s="25"/>
      <c r="L1734" s="25"/>
      <c r="M1734" s="22" t="s">
        <v>86</v>
      </c>
      <c r="N1734" s="23">
        <v>46083</v>
      </c>
      <c r="O1734" s="26" t="str">
        <f t="shared" si="84"/>
        <v/>
      </c>
      <c r="P1734" s="26" t="str">
        <f t="shared" si="85"/>
        <v/>
      </c>
      <c r="Q1734" s="26" t="str">
        <f t="shared" si="86"/>
        <v/>
      </c>
    </row>
    <row r="1735" spans="1:17" x14ac:dyDescent="0.3">
      <c r="A1735" s="35"/>
      <c r="B1735" s="25"/>
      <c r="C1735" s="25"/>
      <c r="D1735" s="25"/>
      <c r="E1735" s="25"/>
      <c r="F1735" s="25"/>
      <c r="G1735" s="25"/>
      <c r="H1735" s="25"/>
      <c r="I1735" s="25"/>
      <c r="J1735" s="25"/>
      <c r="K1735" s="25"/>
      <c r="L1735" s="25"/>
      <c r="M1735" s="22" t="s">
        <v>86</v>
      </c>
      <c r="N1735" s="23">
        <v>46083</v>
      </c>
      <c r="O1735" s="26" t="str">
        <f t="shared" si="84"/>
        <v/>
      </c>
      <c r="P1735" s="26" t="str">
        <f t="shared" si="85"/>
        <v/>
      </c>
      <c r="Q1735" s="26" t="str">
        <f t="shared" si="86"/>
        <v/>
      </c>
    </row>
    <row r="1736" spans="1:17" x14ac:dyDescent="0.3">
      <c r="A1736" s="35"/>
      <c r="B1736" s="25"/>
      <c r="C1736" s="25"/>
      <c r="D1736" s="25"/>
      <c r="E1736" s="25"/>
      <c r="F1736" s="25"/>
      <c r="G1736" s="25"/>
      <c r="H1736" s="25"/>
      <c r="I1736" s="25"/>
      <c r="J1736" s="25"/>
      <c r="K1736" s="25"/>
      <c r="L1736" s="25"/>
      <c r="M1736" s="22" t="s">
        <v>86</v>
      </c>
      <c r="N1736" s="23">
        <v>46083</v>
      </c>
      <c r="O1736" s="26" t="str">
        <f t="shared" si="84"/>
        <v/>
      </c>
      <c r="P1736" s="26" t="str">
        <f t="shared" si="85"/>
        <v/>
      </c>
      <c r="Q1736" s="26" t="str">
        <f t="shared" si="86"/>
        <v/>
      </c>
    </row>
    <row r="1737" spans="1:17" x14ac:dyDescent="0.3">
      <c r="A1737" s="35"/>
      <c r="B1737" s="25"/>
      <c r="C1737" s="25"/>
      <c r="D1737" s="25"/>
      <c r="E1737" s="25"/>
      <c r="F1737" s="25"/>
      <c r="G1737" s="25"/>
      <c r="H1737" s="25"/>
      <c r="I1737" s="25"/>
      <c r="J1737" s="25"/>
      <c r="K1737" s="25"/>
      <c r="L1737" s="25"/>
      <c r="M1737" s="22" t="s">
        <v>86</v>
      </c>
      <c r="N1737" s="23">
        <v>46083</v>
      </c>
      <c r="O1737" s="26" t="str">
        <f t="shared" si="84"/>
        <v/>
      </c>
      <c r="P1737" s="26" t="str">
        <f t="shared" si="85"/>
        <v/>
      </c>
      <c r="Q1737" s="26" t="str">
        <f t="shared" si="86"/>
        <v/>
      </c>
    </row>
    <row r="1738" spans="1:17" x14ac:dyDescent="0.3">
      <c r="A1738" s="35"/>
      <c r="B1738" s="25"/>
      <c r="C1738" s="25"/>
      <c r="D1738" s="25"/>
      <c r="E1738" s="25"/>
      <c r="F1738" s="25"/>
      <c r="G1738" s="25"/>
      <c r="H1738" s="25"/>
      <c r="I1738" s="25"/>
      <c r="J1738" s="25"/>
      <c r="K1738" s="25"/>
      <c r="L1738" s="25"/>
      <c r="M1738" s="22" t="s">
        <v>86</v>
      </c>
      <c r="N1738" s="23">
        <v>46083</v>
      </c>
      <c r="O1738" s="26" t="str">
        <f t="shared" si="84"/>
        <v/>
      </c>
      <c r="P1738" s="26" t="str">
        <f t="shared" si="85"/>
        <v/>
      </c>
      <c r="Q1738" s="26" t="str">
        <f t="shared" si="86"/>
        <v/>
      </c>
    </row>
    <row r="1739" spans="1:17" x14ac:dyDescent="0.3">
      <c r="A1739" s="35"/>
      <c r="B1739" s="25"/>
      <c r="C1739" s="25"/>
      <c r="D1739" s="25"/>
      <c r="E1739" s="25"/>
      <c r="F1739" s="25"/>
      <c r="G1739" s="25"/>
      <c r="H1739" s="25"/>
      <c r="I1739" s="25"/>
      <c r="J1739" s="25"/>
      <c r="K1739" s="25"/>
      <c r="L1739" s="25"/>
      <c r="M1739" s="22" t="s">
        <v>86</v>
      </c>
      <c r="N1739" s="23">
        <v>46083</v>
      </c>
      <c r="O1739" s="26" t="str">
        <f t="shared" si="84"/>
        <v/>
      </c>
      <c r="P1739" s="26" t="str">
        <f t="shared" si="85"/>
        <v/>
      </c>
      <c r="Q1739" s="26" t="str">
        <f t="shared" si="86"/>
        <v/>
      </c>
    </row>
    <row r="1740" spans="1:17" x14ac:dyDescent="0.3">
      <c r="A1740" s="35"/>
      <c r="B1740" s="25"/>
      <c r="C1740" s="25"/>
      <c r="D1740" s="25"/>
      <c r="E1740" s="25"/>
      <c r="F1740" s="25"/>
      <c r="G1740" s="25"/>
      <c r="H1740" s="25"/>
      <c r="I1740" s="25"/>
      <c r="J1740" s="25"/>
      <c r="K1740" s="25"/>
      <c r="L1740" s="25"/>
      <c r="M1740" s="22" t="s">
        <v>86</v>
      </c>
      <c r="N1740" s="23">
        <v>46083</v>
      </c>
      <c r="O1740" s="26" t="str">
        <f t="shared" si="84"/>
        <v/>
      </c>
      <c r="P1740" s="26" t="str">
        <f t="shared" si="85"/>
        <v/>
      </c>
      <c r="Q1740" s="26" t="str">
        <f t="shared" si="86"/>
        <v/>
      </c>
    </row>
    <row r="1741" spans="1:17" x14ac:dyDescent="0.3">
      <c r="A1741" s="35"/>
      <c r="B1741" s="25"/>
      <c r="C1741" s="25"/>
      <c r="D1741" s="25"/>
      <c r="E1741" s="25"/>
      <c r="F1741" s="25"/>
      <c r="G1741" s="25"/>
      <c r="H1741" s="25"/>
      <c r="I1741" s="25"/>
      <c r="J1741" s="25"/>
      <c r="K1741" s="25"/>
      <c r="L1741" s="25"/>
      <c r="M1741" s="22" t="s">
        <v>86</v>
      </c>
      <c r="N1741" s="23">
        <v>46083</v>
      </c>
      <c r="O1741" s="26" t="str">
        <f t="shared" si="84"/>
        <v/>
      </c>
      <c r="P1741" s="26" t="str">
        <f t="shared" si="85"/>
        <v/>
      </c>
      <c r="Q1741" s="26" t="str">
        <f t="shared" si="86"/>
        <v/>
      </c>
    </row>
    <row r="1742" spans="1:17" x14ac:dyDescent="0.3">
      <c r="A1742" s="35"/>
      <c r="B1742" s="25"/>
      <c r="C1742" s="25"/>
      <c r="D1742" s="25"/>
      <c r="E1742" s="25"/>
      <c r="F1742" s="25"/>
      <c r="G1742" s="25"/>
      <c r="H1742" s="25"/>
      <c r="I1742" s="25"/>
      <c r="J1742" s="25"/>
      <c r="K1742" s="25"/>
      <c r="L1742" s="25"/>
      <c r="M1742" s="22" t="s">
        <v>86</v>
      </c>
      <c r="N1742" s="23">
        <v>46083</v>
      </c>
      <c r="O1742" s="26" t="str">
        <f t="shared" si="84"/>
        <v/>
      </c>
      <c r="P1742" s="26" t="str">
        <f t="shared" si="85"/>
        <v/>
      </c>
      <c r="Q1742" s="26" t="str">
        <f t="shared" si="86"/>
        <v/>
      </c>
    </row>
    <row r="1743" spans="1:17" x14ac:dyDescent="0.3">
      <c r="A1743" s="35"/>
      <c r="B1743" s="25"/>
      <c r="C1743" s="25"/>
      <c r="D1743" s="25"/>
      <c r="E1743" s="25"/>
      <c r="F1743" s="25"/>
      <c r="G1743" s="25"/>
      <c r="H1743" s="25"/>
      <c r="I1743" s="25"/>
      <c r="J1743" s="25"/>
      <c r="K1743" s="25"/>
      <c r="L1743" s="25"/>
      <c r="M1743" s="22" t="s">
        <v>86</v>
      </c>
      <c r="N1743" s="23">
        <v>46083</v>
      </c>
      <c r="O1743" s="26" t="str">
        <f t="shared" si="84"/>
        <v/>
      </c>
      <c r="P1743" s="26" t="str">
        <f t="shared" si="85"/>
        <v/>
      </c>
      <c r="Q1743" s="26" t="str">
        <f t="shared" si="86"/>
        <v/>
      </c>
    </row>
    <row r="1744" spans="1:17" x14ac:dyDescent="0.3">
      <c r="A1744" s="35"/>
      <c r="B1744" s="25"/>
      <c r="C1744" s="25"/>
      <c r="D1744" s="25"/>
      <c r="E1744" s="25"/>
      <c r="F1744" s="25"/>
      <c r="G1744" s="25"/>
      <c r="H1744" s="25"/>
      <c r="I1744" s="25"/>
      <c r="J1744" s="25"/>
      <c r="K1744" s="25"/>
      <c r="L1744" s="25"/>
      <c r="M1744" s="22" t="s">
        <v>86</v>
      </c>
      <c r="N1744" s="23">
        <v>46083</v>
      </c>
      <c r="O1744" s="26" t="str">
        <f t="shared" si="84"/>
        <v/>
      </c>
      <c r="P1744" s="26" t="str">
        <f t="shared" si="85"/>
        <v/>
      </c>
      <c r="Q1744" s="26" t="str">
        <f t="shared" si="86"/>
        <v/>
      </c>
    </row>
    <row r="1745" spans="1:17" x14ac:dyDescent="0.3">
      <c r="A1745" s="35"/>
      <c r="B1745" s="25"/>
      <c r="C1745" s="25"/>
      <c r="D1745" s="25"/>
      <c r="E1745" s="25"/>
      <c r="F1745" s="25"/>
      <c r="G1745" s="25"/>
      <c r="H1745" s="25"/>
      <c r="I1745" s="25"/>
      <c r="J1745" s="25"/>
      <c r="K1745" s="25"/>
      <c r="L1745" s="25"/>
      <c r="M1745" s="22" t="s">
        <v>86</v>
      </c>
      <c r="N1745" s="23">
        <v>46083</v>
      </c>
      <c r="O1745" s="26" t="str">
        <f t="shared" si="84"/>
        <v/>
      </c>
      <c r="P1745" s="26" t="str">
        <f t="shared" si="85"/>
        <v/>
      </c>
      <c r="Q1745" s="26" t="str">
        <f t="shared" si="86"/>
        <v/>
      </c>
    </row>
    <row r="1746" spans="1:17" x14ac:dyDescent="0.3">
      <c r="A1746" s="35"/>
      <c r="B1746" s="25"/>
      <c r="C1746" s="25"/>
      <c r="D1746" s="25"/>
      <c r="E1746" s="25"/>
      <c r="F1746" s="25"/>
      <c r="G1746" s="25"/>
      <c r="H1746" s="25"/>
      <c r="I1746" s="25"/>
      <c r="J1746" s="25"/>
      <c r="K1746" s="25"/>
      <c r="L1746" s="25"/>
      <c r="M1746" s="22" t="s">
        <v>86</v>
      </c>
      <c r="N1746" s="23">
        <v>46083</v>
      </c>
      <c r="O1746" s="26" t="str">
        <f t="shared" si="84"/>
        <v/>
      </c>
      <c r="P1746" s="26" t="str">
        <f t="shared" si="85"/>
        <v/>
      </c>
      <c r="Q1746" s="26" t="str">
        <f t="shared" si="86"/>
        <v/>
      </c>
    </row>
    <row r="1747" spans="1:17" x14ac:dyDescent="0.3">
      <c r="A1747" s="35"/>
      <c r="B1747" s="25"/>
      <c r="C1747" s="25"/>
      <c r="D1747" s="25"/>
      <c r="E1747" s="25"/>
      <c r="F1747" s="25"/>
      <c r="G1747" s="25"/>
      <c r="H1747" s="25"/>
      <c r="I1747" s="25"/>
      <c r="J1747" s="25"/>
      <c r="K1747" s="25"/>
      <c r="L1747" s="25"/>
      <c r="M1747" s="22" t="s">
        <v>86</v>
      </c>
      <c r="N1747" s="23">
        <v>46083</v>
      </c>
      <c r="O1747" s="26" t="str">
        <f t="shared" si="84"/>
        <v/>
      </c>
      <c r="P1747" s="26" t="str">
        <f t="shared" si="85"/>
        <v/>
      </c>
      <c r="Q1747" s="26" t="str">
        <f t="shared" si="86"/>
        <v/>
      </c>
    </row>
    <row r="1748" spans="1:17" x14ac:dyDescent="0.3">
      <c r="A1748" s="35"/>
      <c r="B1748" s="25"/>
      <c r="C1748" s="25"/>
      <c r="D1748" s="25"/>
      <c r="E1748" s="25"/>
      <c r="F1748" s="25"/>
      <c r="G1748" s="25"/>
      <c r="H1748" s="25"/>
      <c r="I1748" s="25"/>
      <c r="J1748" s="25"/>
      <c r="K1748" s="25"/>
      <c r="L1748" s="25"/>
      <c r="M1748" s="22" t="s">
        <v>86</v>
      </c>
      <c r="N1748" s="23">
        <v>46083</v>
      </c>
      <c r="O1748" s="26" t="str">
        <f t="shared" si="84"/>
        <v/>
      </c>
      <c r="P1748" s="26" t="str">
        <f t="shared" si="85"/>
        <v/>
      </c>
      <c r="Q1748" s="26" t="str">
        <f t="shared" si="86"/>
        <v/>
      </c>
    </row>
    <row r="1749" spans="1:17" x14ac:dyDescent="0.3">
      <c r="A1749" s="35"/>
      <c r="B1749" s="25"/>
      <c r="C1749" s="25"/>
      <c r="D1749" s="25"/>
      <c r="E1749" s="25"/>
      <c r="F1749" s="25"/>
      <c r="G1749" s="25"/>
      <c r="H1749" s="25"/>
      <c r="I1749" s="25"/>
      <c r="J1749" s="25"/>
      <c r="K1749" s="25"/>
      <c r="L1749" s="25"/>
      <c r="M1749" s="22" t="s">
        <v>86</v>
      </c>
      <c r="N1749" s="23">
        <v>46083</v>
      </c>
      <c r="O1749" s="26" t="str">
        <f t="shared" si="84"/>
        <v/>
      </c>
      <c r="P1749" s="26" t="str">
        <f t="shared" si="85"/>
        <v/>
      </c>
      <c r="Q1749" s="26" t="str">
        <f t="shared" si="86"/>
        <v/>
      </c>
    </row>
    <row r="1750" spans="1:17" x14ac:dyDescent="0.3">
      <c r="A1750" s="35"/>
      <c r="B1750" s="25"/>
      <c r="C1750" s="25"/>
      <c r="D1750" s="25"/>
      <c r="E1750" s="25"/>
      <c r="F1750" s="25"/>
      <c r="G1750" s="25"/>
      <c r="H1750" s="25"/>
      <c r="I1750" s="25"/>
      <c r="J1750" s="25"/>
      <c r="K1750" s="25"/>
      <c r="L1750" s="25"/>
      <c r="M1750" s="22" t="s">
        <v>86</v>
      </c>
      <c r="N1750" s="23">
        <v>46083</v>
      </c>
      <c r="O1750" s="26" t="str">
        <f t="shared" si="84"/>
        <v/>
      </c>
      <c r="P1750" s="26" t="str">
        <f t="shared" si="85"/>
        <v/>
      </c>
      <c r="Q1750" s="26" t="str">
        <f t="shared" si="86"/>
        <v/>
      </c>
    </row>
    <row r="1751" spans="1:17" x14ac:dyDescent="0.3">
      <c r="A1751" s="35"/>
      <c r="B1751" s="25"/>
      <c r="C1751" s="25"/>
      <c r="D1751" s="25"/>
      <c r="E1751" s="25"/>
      <c r="F1751" s="25"/>
      <c r="G1751" s="25"/>
      <c r="H1751" s="25"/>
      <c r="I1751" s="25"/>
      <c r="J1751" s="25"/>
      <c r="K1751" s="25"/>
      <c r="L1751" s="25"/>
      <c r="M1751" s="22" t="s">
        <v>86</v>
      </c>
      <c r="N1751" s="23">
        <v>46083</v>
      </c>
      <c r="O1751" s="26" t="str">
        <f t="shared" si="84"/>
        <v/>
      </c>
      <c r="P1751" s="26" t="str">
        <f t="shared" si="85"/>
        <v/>
      </c>
      <c r="Q1751" s="26" t="str">
        <f t="shared" si="86"/>
        <v/>
      </c>
    </row>
    <row r="1752" spans="1:17" x14ac:dyDescent="0.3">
      <c r="A1752" s="35"/>
      <c r="B1752" s="25"/>
      <c r="C1752" s="25"/>
      <c r="D1752" s="25"/>
      <c r="E1752" s="25"/>
      <c r="F1752" s="25"/>
      <c r="G1752" s="25"/>
      <c r="H1752" s="25"/>
      <c r="I1752" s="25"/>
      <c r="J1752" s="25"/>
      <c r="K1752" s="25"/>
      <c r="L1752" s="25"/>
      <c r="M1752" s="22" t="s">
        <v>86</v>
      </c>
      <c r="N1752" s="23">
        <v>46083</v>
      </c>
      <c r="O1752" s="26" t="str">
        <f t="shared" si="84"/>
        <v/>
      </c>
      <c r="P1752" s="26" t="str">
        <f t="shared" si="85"/>
        <v/>
      </c>
      <c r="Q1752" s="26" t="str">
        <f t="shared" si="86"/>
        <v/>
      </c>
    </row>
    <row r="1753" spans="1:17" x14ac:dyDescent="0.3">
      <c r="A1753" s="35"/>
      <c r="B1753" s="25"/>
      <c r="C1753" s="25"/>
      <c r="D1753" s="25"/>
      <c r="E1753" s="25"/>
      <c r="F1753" s="25"/>
      <c r="G1753" s="25"/>
      <c r="H1753" s="25"/>
      <c r="I1753" s="25"/>
      <c r="J1753" s="25"/>
      <c r="K1753" s="25"/>
      <c r="L1753" s="25"/>
      <c r="M1753" s="22" t="s">
        <v>86</v>
      </c>
      <c r="N1753" s="23">
        <v>46083</v>
      </c>
      <c r="O1753" s="26" t="str">
        <f t="shared" si="84"/>
        <v/>
      </c>
      <c r="P1753" s="26" t="str">
        <f t="shared" si="85"/>
        <v/>
      </c>
      <c r="Q1753" s="26" t="str">
        <f t="shared" si="86"/>
        <v/>
      </c>
    </row>
    <row r="1754" spans="1:17" x14ac:dyDescent="0.3">
      <c r="A1754" s="35"/>
      <c r="B1754" s="25"/>
      <c r="C1754" s="25"/>
      <c r="D1754" s="25"/>
      <c r="E1754" s="25"/>
      <c r="F1754" s="25"/>
      <c r="G1754" s="25"/>
      <c r="H1754" s="25"/>
      <c r="I1754" s="25"/>
      <c r="J1754" s="25"/>
      <c r="K1754" s="25"/>
      <c r="L1754" s="25"/>
      <c r="M1754" s="22" t="s">
        <v>86</v>
      </c>
      <c r="N1754" s="23">
        <v>46083</v>
      </c>
      <c r="O1754" s="26" t="str">
        <f t="shared" si="84"/>
        <v/>
      </c>
      <c r="P1754" s="26" t="str">
        <f t="shared" si="85"/>
        <v/>
      </c>
      <c r="Q1754" s="26" t="str">
        <f t="shared" si="86"/>
        <v/>
      </c>
    </row>
    <row r="1755" spans="1:17" x14ac:dyDescent="0.3">
      <c r="A1755" s="35"/>
      <c r="B1755" s="25"/>
      <c r="C1755" s="25"/>
      <c r="D1755" s="25"/>
      <c r="E1755" s="25"/>
      <c r="F1755" s="25"/>
      <c r="G1755" s="25"/>
      <c r="H1755" s="25"/>
      <c r="I1755" s="25"/>
      <c r="J1755" s="25"/>
      <c r="K1755" s="25"/>
      <c r="L1755" s="25"/>
      <c r="M1755" s="22" t="s">
        <v>86</v>
      </c>
      <c r="N1755" s="23">
        <v>46083</v>
      </c>
      <c r="O1755" s="26" t="str">
        <f t="shared" si="84"/>
        <v/>
      </c>
      <c r="P1755" s="26" t="str">
        <f t="shared" si="85"/>
        <v/>
      </c>
      <c r="Q1755" s="26" t="str">
        <f t="shared" si="86"/>
        <v/>
      </c>
    </row>
    <row r="1756" spans="1:17" x14ac:dyDescent="0.3">
      <c r="A1756" s="35"/>
      <c r="B1756" s="25"/>
      <c r="C1756" s="25"/>
      <c r="D1756" s="25"/>
      <c r="E1756" s="25"/>
      <c r="F1756" s="25"/>
      <c r="G1756" s="25"/>
      <c r="H1756" s="25"/>
      <c r="I1756" s="25"/>
      <c r="J1756" s="25"/>
      <c r="K1756" s="25"/>
      <c r="L1756" s="25"/>
      <c r="M1756" s="22" t="s">
        <v>86</v>
      </c>
      <c r="N1756" s="23">
        <v>46083</v>
      </c>
      <c r="O1756" s="26" t="str">
        <f t="shared" si="84"/>
        <v/>
      </c>
      <c r="P1756" s="26" t="str">
        <f t="shared" si="85"/>
        <v/>
      </c>
      <c r="Q1756" s="26" t="str">
        <f t="shared" si="86"/>
        <v/>
      </c>
    </row>
    <row r="1757" spans="1:17" x14ac:dyDescent="0.3">
      <c r="A1757" s="35"/>
      <c r="B1757" s="25"/>
      <c r="C1757" s="25"/>
      <c r="D1757" s="25"/>
      <c r="E1757" s="25"/>
      <c r="F1757" s="25"/>
      <c r="G1757" s="25"/>
      <c r="H1757" s="25"/>
      <c r="I1757" s="25"/>
      <c r="J1757" s="25"/>
      <c r="K1757" s="25"/>
      <c r="L1757" s="25"/>
      <c r="M1757" s="22" t="s">
        <v>86</v>
      </c>
      <c r="N1757" s="23">
        <v>46083</v>
      </c>
      <c r="O1757" s="26" t="str">
        <f t="shared" si="84"/>
        <v/>
      </c>
      <c r="P1757" s="26" t="str">
        <f t="shared" si="85"/>
        <v/>
      </c>
      <c r="Q1757" s="26" t="str">
        <f t="shared" si="86"/>
        <v/>
      </c>
    </row>
    <row r="1758" spans="1:17" x14ac:dyDescent="0.3">
      <c r="A1758" s="35"/>
      <c r="B1758" s="25"/>
      <c r="C1758" s="25"/>
      <c r="D1758" s="25"/>
      <c r="E1758" s="25"/>
      <c r="F1758" s="25"/>
      <c r="G1758" s="25"/>
      <c r="H1758" s="25"/>
      <c r="I1758" s="25"/>
      <c r="J1758" s="25"/>
      <c r="K1758" s="25"/>
      <c r="L1758" s="25"/>
      <c r="M1758" s="22" t="s">
        <v>86</v>
      </c>
      <c r="N1758" s="23">
        <v>46083</v>
      </c>
      <c r="O1758" s="26" t="str">
        <f t="shared" si="84"/>
        <v/>
      </c>
      <c r="P1758" s="26" t="str">
        <f t="shared" si="85"/>
        <v/>
      </c>
      <c r="Q1758" s="26" t="str">
        <f t="shared" si="86"/>
        <v/>
      </c>
    </row>
    <row r="1759" spans="1:17" x14ac:dyDescent="0.3">
      <c r="A1759" s="35"/>
      <c r="B1759" s="25"/>
      <c r="C1759" s="25"/>
      <c r="D1759" s="25"/>
      <c r="E1759" s="25"/>
      <c r="F1759" s="25"/>
      <c r="G1759" s="25"/>
      <c r="H1759" s="25"/>
      <c r="I1759" s="25"/>
      <c r="J1759" s="25"/>
      <c r="K1759" s="25"/>
      <c r="L1759" s="25"/>
      <c r="M1759" s="22" t="s">
        <v>86</v>
      </c>
      <c r="N1759" s="23">
        <v>46083</v>
      </c>
      <c r="O1759" s="26" t="str">
        <f t="shared" si="84"/>
        <v/>
      </c>
      <c r="P1759" s="26" t="str">
        <f t="shared" si="85"/>
        <v/>
      </c>
      <c r="Q1759" s="26" t="str">
        <f t="shared" si="86"/>
        <v/>
      </c>
    </row>
    <row r="1760" spans="1:17" x14ac:dyDescent="0.3">
      <c r="A1760" s="35"/>
      <c r="B1760" s="25"/>
      <c r="C1760" s="25"/>
      <c r="D1760" s="25"/>
      <c r="E1760" s="25"/>
      <c r="F1760" s="25"/>
      <c r="G1760" s="25"/>
      <c r="H1760" s="25"/>
      <c r="I1760" s="25"/>
      <c r="J1760" s="25"/>
      <c r="K1760" s="25"/>
      <c r="L1760" s="25"/>
      <c r="M1760" s="22" t="s">
        <v>86</v>
      </c>
      <c r="N1760" s="23">
        <v>46083</v>
      </c>
      <c r="O1760" s="26" t="str">
        <f t="shared" si="84"/>
        <v/>
      </c>
      <c r="P1760" s="26" t="str">
        <f t="shared" si="85"/>
        <v/>
      </c>
      <c r="Q1760" s="26" t="str">
        <f t="shared" si="86"/>
        <v/>
      </c>
    </row>
    <row r="1761" spans="1:17" x14ac:dyDescent="0.3">
      <c r="A1761" s="35"/>
      <c r="B1761" s="25"/>
      <c r="C1761" s="25"/>
      <c r="D1761" s="25"/>
      <c r="E1761" s="25"/>
      <c r="F1761" s="25"/>
      <c r="G1761" s="25"/>
      <c r="H1761" s="25"/>
      <c r="I1761" s="25"/>
      <c r="J1761" s="25"/>
      <c r="K1761" s="25"/>
      <c r="L1761" s="25"/>
      <c r="M1761" s="22" t="s">
        <v>86</v>
      </c>
      <c r="N1761" s="23">
        <v>46083</v>
      </c>
      <c r="O1761" s="26" t="str">
        <f t="shared" si="84"/>
        <v/>
      </c>
      <c r="P1761" s="26" t="str">
        <f t="shared" si="85"/>
        <v/>
      </c>
      <c r="Q1761" s="26" t="str">
        <f t="shared" si="86"/>
        <v/>
      </c>
    </row>
    <row r="1762" spans="1:17" x14ac:dyDescent="0.3">
      <c r="A1762" s="35"/>
      <c r="B1762" s="25"/>
      <c r="C1762" s="25"/>
      <c r="D1762" s="25"/>
      <c r="E1762" s="25"/>
      <c r="F1762" s="25"/>
      <c r="G1762" s="25"/>
      <c r="H1762" s="25"/>
      <c r="I1762" s="25"/>
      <c r="J1762" s="25"/>
      <c r="K1762" s="25"/>
      <c r="L1762" s="25"/>
      <c r="M1762" s="22" t="s">
        <v>86</v>
      </c>
      <c r="N1762" s="23">
        <v>46083</v>
      </c>
      <c r="O1762" s="26" t="str">
        <f t="shared" si="84"/>
        <v/>
      </c>
      <c r="P1762" s="26" t="str">
        <f t="shared" si="85"/>
        <v/>
      </c>
      <c r="Q1762" s="26" t="str">
        <f t="shared" si="86"/>
        <v/>
      </c>
    </row>
    <row r="1763" spans="1:17" x14ac:dyDescent="0.3">
      <c r="A1763" s="35"/>
      <c r="B1763" s="25"/>
      <c r="C1763" s="25"/>
      <c r="D1763" s="25"/>
      <c r="E1763" s="25"/>
      <c r="F1763" s="25"/>
      <c r="G1763" s="25"/>
      <c r="H1763" s="25"/>
      <c r="I1763" s="25"/>
      <c r="J1763" s="25"/>
      <c r="K1763" s="25"/>
      <c r="L1763" s="25"/>
      <c r="M1763" s="22" t="s">
        <v>86</v>
      </c>
      <c r="N1763" s="23">
        <v>46083</v>
      </c>
      <c r="O1763" s="26" t="str">
        <f t="shared" si="84"/>
        <v/>
      </c>
      <c r="P1763" s="26" t="str">
        <f t="shared" si="85"/>
        <v/>
      </c>
      <c r="Q1763" s="26" t="str">
        <f t="shared" si="86"/>
        <v/>
      </c>
    </row>
    <row r="1764" spans="1:17" x14ac:dyDescent="0.3">
      <c r="A1764" s="35"/>
      <c r="B1764" s="25"/>
      <c r="C1764" s="25"/>
      <c r="D1764" s="25"/>
      <c r="E1764" s="25"/>
      <c r="F1764" s="25"/>
      <c r="G1764" s="25"/>
      <c r="H1764" s="25"/>
      <c r="I1764" s="25"/>
      <c r="J1764" s="25"/>
      <c r="K1764" s="25"/>
      <c r="L1764" s="25"/>
      <c r="M1764" s="22" t="s">
        <v>86</v>
      </c>
      <c r="N1764" s="23">
        <v>46083</v>
      </c>
      <c r="O1764" s="26" t="str">
        <f t="shared" si="84"/>
        <v/>
      </c>
      <c r="P1764" s="26" t="str">
        <f t="shared" si="85"/>
        <v/>
      </c>
      <c r="Q1764" s="26" t="str">
        <f t="shared" si="86"/>
        <v/>
      </c>
    </row>
    <row r="1765" spans="1:17" x14ac:dyDescent="0.3">
      <c r="A1765" s="35"/>
      <c r="B1765" s="25"/>
      <c r="C1765" s="25"/>
      <c r="D1765" s="25"/>
      <c r="E1765" s="25"/>
      <c r="F1765" s="25"/>
      <c r="G1765" s="25"/>
      <c r="H1765" s="25"/>
      <c r="I1765" s="25"/>
      <c r="J1765" s="25"/>
      <c r="K1765" s="25"/>
      <c r="L1765" s="25"/>
      <c r="M1765" s="22" t="s">
        <v>86</v>
      </c>
      <c r="N1765" s="23">
        <v>46083</v>
      </c>
      <c r="O1765" s="26" t="str">
        <f t="shared" si="84"/>
        <v/>
      </c>
      <c r="P1765" s="26" t="str">
        <f t="shared" si="85"/>
        <v/>
      </c>
      <c r="Q1765" s="26" t="str">
        <f t="shared" si="86"/>
        <v/>
      </c>
    </row>
    <row r="1766" spans="1:17" x14ac:dyDescent="0.3">
      <c r="A1766" s="35"/>
      <c r="B1766" s="25"/>
      <c r="C1766" s="25"/>
      <c r="D1766" s="25"/>
      <c r="E1766" s="25"/>
      <c r="F1766" s="25"/>
      <c r="G1766" s="25"/>
      <c r="H1766" s="25"/>
      <c r="I1766" s="25"/>
      <c r="J1766" s="25"/>
      <c r="K1766" s="25"/>
      <c r="L1766" s="25"/>
      <c r="M1766" s="22" t="s">
        <v>86</v>
      </c>
      <c r="N1766" s="23">
        <v>46083</v>
      </c>
      <c r="O1766" s="26" t="str">
        <f t="shared" si="84"/>
        <v/>
      </c>
      <c r="P1766" s="26" t="str">
        <f t="shared" si="85"/>
        <v/>
      </c>
      <c r="Q1766" s="26" t="str">
        <f t="shared" si="86"/>
        <v/>
      </c>
    </row>
    <row r="1767" spans="1:17" x14ac:dyDescent="0.3">
      <c r="A1767" s="35"/>
      <c r="B1767" s="25"/>
      <c r="C1767" s="25"/>
      <c r="D1767" s="25"/>
      <c r="E1767" s="25"/>
      <c r="F1767" s="25"/>
      <c r="G1767" s="25"/>
      <c r="H1767" s="25"/>
      <c r="I1767" s="25"/>
      <c r="J1767" s="25"/>
      <c r="K1767" s="25"/>
      <c r="L1767" s="25"/>
      <c r="M1767" s="22" t="s">
        <v>86</v>
      </c>
      <c r="N1767" s="23">
        <v>46083</v>
      </c>
      <c r="O1767" s="26" t="str">
        <f t="shared" si="84"/>
        <v/>
      </c>
      <c r="P1767" s="26" t="str">
        <f t="shared" si="85"/>
        <v/>
      </c>
      <c r="Q1767" s="26" t="str">
        <f t="shared" si="86"/>
        <v/>
      </c>
    </row>
    <row r="1768" spans="1:17" x14ac:dyDescent="0.3">
      <c r="A1768" s="35"/>
      <c r="B1768" s="25"/>
      <c r="C1768" s="25"/>
      <c r="D1768" s="25"/>
      <c r="E1768" s="25"/>
      <c r="F1768" s="25"/>
      <c r="G1768" s="25"/>
      <c r="H1768" s="25"/>
      <c r="I1768" s="25"/>
      <c r="J1768" s="25"/>
      <c r="K1768" s="25"/>
      <c r="L1768" s="25"/>
      <c r="M1768" s="22" t="s">
        <v>86</v>
      </c>
      <c r="N1768" s="23">
        <v>46083</v>
      </c>
      <c r="O1768" s="26" t="str">
        <f t="shared" si="84"/>
        <v/>
      </c>
      <c r="P1768" s="26" t="str">
        <f t="shared" si="85"/>
        <v/>
      </c>
      <c r="Q1768" s="26" t="str">
        <f t="shared" si="86"/>
        <v/>
      </c>
    </row>
    <row r="1769" spans="1:17" x14ac:dyDescent="0.3">
      <c r="A1769" s="35"/>
      <c r="B1769" s="25"/>
      <c r="C1769" s="25"/>
      <c r="D1769" s="25"/>
      <c r="E1769" s="25"/>
      <c r="F1769" s="25"/>
      <c r="G1769" s="25"/>
      <c r="H1769" s="25"/>
      <c r="I1769" s="25"/>
      <c r="J1769" s="25"/>
      <c r="K1769" s="25"/>
      <c r="L1769" s="25"/>
      <c r="M1769" s="22" t="s">
        <v>86</v>
      </c>
      <c r="N1769" s="23">
        <v>46083</v>
      </c>
      <c r="O1769" s="26" t="str">
        <f t="shared" si="84"/>
        <v/>
      </c>
      <c r="P1769" s="26" t="str">
        <f t="shared" si="85"/>
        <v/>
      </c>
      <c r="Q1769" s="26" t="str">
        <f t="shared" si="86"/>
        <v/>
      </c>
    </row>
    <row r="1770" spans="1:17" x14ac:dyDescent="0.3">
      <c r="A1770" s="35"/>
      <c r="B1770" s="25"/>
      <c r="C1770" s="25"/>
      <c r="D1770" s="25"/>
      <c r="E1770" s="25"/>
      <c r="F1770" s="25"/>
      <c r="G1770" s="25"/>
      <c r="H1770" s="25"/>
      <c r="I1770" s="25"/>
      <c r="J1770" s="25"/>
      <c r="K1770" s="25"/>
      <c r="L1770" s="25"/>
      <c r="M1770" s="22" t="s">
        <v>86</v>
      </c>
      <c r="N1770" s="23">
        <v>46083</v>
      </c>
      <c r="O1770" s="26" t="str">
        <f t="shared" si="84"/>
        <v/>
      </c>
      <c r="P1770" s="26" t="str">
        <f t="shared" si="85"/>
        <v/>
      </c>
      <c r="Q1770" s="26" t="str">
        <f t="shared" si="86"/>
        <v/>
      </c>
    </row>
    <row r="1771" spans="1:17" x14ac:dyDescent="0.3">
      <c r="A1771" s="35"/>
      <c r="B1771" s="25"/>
      <c r="C1771" s="25"/>
      <c r="D1771" s="25"/>
      <c r="E1771" s="25"/>
      <c r="F1771" s="25"/>
      <c r="G1771" s="25"/>
      <c r="H1771" s="25"/>
      <c r="I1771" s="25"/>
      <c r="J1771" s="25"/>
      <c r="K1771" s="25"/>
      <c r="L1771" s="25"/>
      <c r="M1771" s="22" t="s">
        <v>86</v>
      </c>
      <c r="N1771" s="23">
        <v>46083</v>
      </c>
      <c r="O1771" s="26" t="str">
        <f t="shared" si="84"/>
        <v/>
      </c>
      <c r="P1771" s="26" t="str">
        <f t="shared" si="85"/>
        <v/>
      </c>
      <c r="Q1771" s="26" t="str">
        <f t="shared" si="86"/>
        <v/>
      </c>
    </row>
    <row r="1772" spans="1:17" x14ac:dyDescent="0.3">
      <c r="A1772" s="35"/>
      <c r="B1772" s="25"/>
      <c r="C1772" s="25"/>
      <c r="D1772" s="25"/>
      <c r="E1772" s="25"/>
      <c r="F1772" s="25"/>
      <c r="G1772" s="25"/>
      <c r="H1772" s="25"/>
      <c r="I1772" s="25"/>
      <c r="J1772" s="25"/>
      <c r="K1772" s="25"/>
      <c r="L1772" s="25"/>
      <c r="M1772" s="22" t="s">
        <v>86</v>
      </c>
      <c r="N1772" s="23">
        <v>46083</v>
      </c>
      <c r="O1772" s="26" t="str">
        <f t="shared" si="84"/>
        <v/>
      </c>
      <c r="P1772" s="26" t="str">
        <f t="shared" si="85"/>
        <v/>
      </c>
      <c r="Q1772" s="26" t="str">
        <f t="shared" si="86"/>
        <v/>
      </c>
    </row>
    <row r="1773" spans="1:17" x14ac:dyDescent="0.3">
      <c r="A1773" s="35"/>
      <c r="B1773" s="25"/>
      <c r="C1773" s="25"/>
      <c r="D1773" s="25"/>
      <c r="E1773" s="25"/>
      <c r="F1773" s="25"/>
      <c r="G1773" s="25"/>
      <c r="H1773" s="25"/>
      <c r="I1773" s="25"/>
      <c r="J1773" s="25"/>
      <c r="K1773" s="25"/>
      <c r="L1773" s="25"/>
      <c r="M1773" s="22" t="s">
        <v>86</v>
      </c>
      <c r="N1773" s="23">
        <v>46083</v>
      </c>
      <c r="O1773" s="26" t="str">
        <f t="shared" si="84"/>
        <v/>
      </c>
      <c r="P1773" s="26" t="str">
        <f t="shared" si="85"/>
        <v/>
      </c>
      <c r="Q1773" s="26" t="str">
        <f t="shared" si="86"/>
        <v/>
      </c>
    </row>
    <row r="1774" spans="1:17" x14ac:dyDescent="0.3">
      <c r="A1774" s="35"/>
      <c r="B1774" s="25"/>
      <c r="C1774" s="25"/>
      <c r="D1774" s="25"/>
      <c r="E1774" s="25"/>
      <c r="F1774" s="25"/>
      <c r="G1774" s="25"/>
      <c r="H1774" s="25"/>
      <c r="I1774" s="25"/>
      <c r="J1774" s="25"/>
      <c r="K1774" s="25"/>
      <c r="L1774" s="25"/>
      <c r="M1774" s="22" t="s">
        <v>86</v>
      </c>
      <c r="N1774" s="23">
        <v>46083</v>
      </c>
      <c r="O1774" s="26" t="str">
        <f t="shared" si="84"/>
        <v/>
      </c>
      <c r="P1774" s="26" t="str">
        <f t="shared" si="85"/>
        <v/>
      </c>
      <c r="Q1774" s="26" t="str">
        <f t="shared" si="86"/>
        <v/>
      </c>
    </row>
    <row r="1775" spans="1:17" x14ac:dyDescent="0.3">
      <c r="A1775" s="35"/>
      <c r="B1775" s="25"/>
      <c r="C1775" s="25"/>
      <c r="D1775" s="25"/>
      <c r="E1775" s="25"/>
      <c r="F1775" s="25"/>
      <c r="G1775" s="25"/>
      <c r="H1775" s="25"/>
      <c r="I1775" s="25"/>
      <c r="J1775" s="25"/>
      <c r="K1775" s="25"/>
      <c r="L1775" s="25"/>
      <c r="M1775" s="22" t="s">
        <v>86</v>
      </c>
      <c r="N1775" s="23">
        <v>46083</v>
      </c>
      <c r="O1775" s="26" t="str">
        <f t="shared" si="84"/>
        <v/>
      </c>
      <c r="P1775" s="26" t="str">
        <f t="shared" si="85"/>
        <v/>
      </c>
      <c r="Q1775" s="26" t="str">
        <f t="shared" si="86"/>
        <v/>
      </c>
    </row>
    <row r="1776" spans="1:17" x14ac:dyDescent="0.3">
      <c r="A1776" s="35"/>
      <c r="B1776" s="25"/>
      <c r="C1776" s="25"/>
      <c r="D1776" s="25"/>
      <c r="E1776" s="25"/>
      <c r="F1776" s="25"/>
      <c r="G1776" s="25"/>
      <c r="H1776" s="25"/>
      <c r="I1776" s="25"/>
      <c r="J1776" s="25"/>
      <c r="K1776" s="25"/>
      <c r="L1776" s="25"/>
      <c r="M1776" s="22" t="s">
        <v>86</v>
      </c>
      <c r="N1776" s="23">
        <v>46083</v>
      </c>
      <c r="O1776" s="26" t="str">
        <f t="shared" si="84"/>
        <v/>
      </c>
      <c r="P1776" s="26" t="str">
        <f t="shared" si="85"/>
        <v/>
      </c>
      <c r="Q1776" s="26" t="str">
        <f t="shared" si="86"/>
        <v/>
      </c>
    </row>
    <row r="1777" spans="1:17" x14ac:dyDescent="0.3">
      <c r="A1777" s="35"/>
      <c r="B1777" s="25"/>
      <c r="C1777" s="25"/>
      <c r="D1777" s="25"/>
      <c r="E1777" s="25"/>
      <c r="F1777" s="25"/>
      <c r="G1777" s="25"/>
      <c r="H1777" s="25"/>
      <c r="I1777" s="25"/>
      <c r="J1777" s="25"/>
      <c r="K1777" s="25"/>
      <c r="L1777" s="25"/>
      <c r="M1777" s="22" t="s">
        <v>86</v>
      </c>
      <c r="N1777" s="23">
        <v>46083</v>
      </c>
      <c r="O1777" s="26" t="str">
        <f t="shared" si="84"/>
        <v/>
      </c>
      <c r="P1777" s="26" t="str">
        <f t="shared" si="85"/>
        <v/>
      </c>
      <c r="Q1777" s="26" t="str">
        <f t="shared" si="86"/>
        <v/>
      </c>
    </row>
    <row r="1778" spans="1:17" x14ac:dyDescent="0.3">
      <c r="A1778" s="35"/>
      <c r="B1778" s="25"/>
      <c r="C1778" s="25"/>
      <c r="D1778" s="25"/>
      <c r="E1778" s="25"/>
      <c r="F1778" s="25"/>
      <c r="G1778" s="25"/>
      <c r="H1778" s="25"/>
      <c r="I1778" s="25"/>
      <c r="J1778" s="25"/>
      <c r="K1778" s="25"/>
      <c r="L1778" s="25"/>
      <c r="M1778" s="22" t="s">
        <v>86</v>
      </c>
      <c r="N1778" s="23">
        <v>46083</v>
      </c>
      <c r="O1778" s="26" t="str">
        <f t="shared" si="84"/>
        <v/>
      </c>
      <c r="P1778" s="26" t="str">
        <f t="shared" si="85"/>
        <v/>
      </c>
      <c r="Q1778" s="26" t="str">
        <f t="shared" si="86"/>
        <v/>
      </c>
    </row>
    <row r="1779" spans="1:17" x14ac:dyDescent="0.3">
      <c r="A1779" s="35"/>
      <c r="B1779" s="25"/>
      <c r="C1779" s="25"/>
      <c r="D1779" s="25"/>
      <c r="E1779" s="25"/>
      <c r="F1779" s="25"/>
      <c r="G1779" s="25"/>
      <c r="H1779" s="25"/>
      <c r="I1779" s="25"/>
      <c r="J1779" s="25"/>
      <c r="K1779" s="25"/>
      <c r="L1779" s="25"/>
      <c r="M1779" s="22" t="s">
        <v>86</v>
      </c>
      <c r="N1779" s="23">
        <v>46083</v>
      </c>
      <c r="O1779" s="26" t="str">
        <f t="shared" si="84"/>
        <v/>
      </c>
      <c r="P1779" s="26" t="str">
        <f t="shared" si="85"/>
        <v/>
      </c>
      <c r="Q1779" s="26" t="str">
        <f t="shared" si="86"/>
        <v/>
      </c>
    </row>
    <row r="1780" spans="1:17" x14ac:dyDescent="0.3">
      <c r="A1780" s="35"/>
      <c r="B1780" s="25"/>
      <c r="C1780" s="25"/>
      <c r="D1780" s="25"/>
      <c r="E1780" s="25"/>
      <c r="F1780" s="25"/>
      <c r="G1780" s="25"/>
      <c r="H1780" s="25"/>
      <c r="I1780" s="25"/>
      <c r="J1780" s="25"/>
      <c r="K1780" s="25"/>
      <c r="L1780" s="25"/>
      <c r="M1780" s="22" t="s">
        <v>86</v>
      </c>
      <c r="N1780" s="23">
        <v>46083</v>
      </c>
      <c r="O1780" s="26" t="str">
        <f t="shared" si="84"/>
        <v/>
      </c>
      <c r="P1780" s="26" t="str">
        <f t="shared" si="85"/>
        <v/>
      </c>
      <c r="Q1780" s="26" t="str">
        <f t="shared" si="86"/>
        <v/>
      </c>
    </row>
    <row r="1781" spans="1:17" x14ac:dyDescent="0.3">
      <c r="A1781" s="35"/>
      <c r="B1781" s="25"/>
      <c r="C1781" s="25"/>
      <c r="D1781" s="25"/>
      <c r="E1781" s="25"/>
      <c r="F1781" s="25"/>
      <c r="G1781" s="25"/>
      <c r="H1781" s="25"/>
      <c r="I1781" s="25"/>
      <c r="J1781" s="25"/>
      <c r="K1781" s="25"/>
      <c r="L1781" s="25"/>
      <c r="M1781" s="22" t="s">
        <v>86</v>
      </c>
      <c r="N1781" s="23">
        <v>46083</v>
      </c>
      <c r="O1781" s="26" t="str">
        <f t="shared" si="84"/>
        <v/>
      </c>
      <c r="P1781" s="26" t="str">
        <f t="shared" si="85"/>
        <v/>
      </c>
      <c r="Q1781" s="26" t="str">
        <f t="shared" si="86"/>
        <v/>
      </c>
    </row>
    <row r="1782" spans="1:17" x14ac:dyDescent="0.3">
      <c r="A1782" s="35"/>
      <c r="B1782" s="25"/>
      <c r="C1782" s="25"/>
      <c r="D1782" s="25"/>
      <c r="E1782" s="25"/>
      <c r="F1782" s="25"/>
      <c r="G1782" s="25"/>
      <c r="H1782" s="25"/>
      <c r="I1782" s="25"/>
      <c r="J1782" s="25"/>
      <c r="K1782" s="25"/>
      <c r="L1782" s="25"/>
      <c r="M1782" s="22" t="s">
        <v>86</v>
      </c>
      <c r="N1782" s="23">
        <v>46083</v>
      </c>
      <c r="O1782" s="26" t="str">
        <f t="shared" si="84"/>
        <v/>
      </c>
      <c r="P1782" s="26" t="str">
        <f t="shared" si="85"/>
        <v/>
      </c>
      <c r="Q1782" s="26" t="str">
        <f t="shared" si="86"/>
        <v/>
      </c>
    </row>
    <row r="1783" spans="1:17" x14ac:dyDescent="0.3">
      <c r="A1783" s="35"/>
      <c r="B1783" s="25"/>
      <c r="C1783" s="25"/>
      <c r="D1783" s="25"/>
      <c r="E1783" s="25"/>
      <c r="F1783" s="25"/>
      <c r="G1783" s="25"/>
      <c r="H1783" s="25"/>
      <c r="I1783" s="25"/>
      <c r="J1783" s="25"/>
      <c r="K1783" s="25"/>
      <c r="L1783" s="25"/>
      <c r="M1783" s="22" t="s">
        <v>86</v>
      </c>
      <c r="N1783" s="23">
        <v>46083</v>
      </c>
      <c r="O1783" s="26" t="str">
        <f t="shared" si="84"/>
        <v/>
      </c>
      <c r="P1783" s="26" t="str">
        <f t="shared" si="85"/>
        <v/>
      </c>
      <c r="Q1783" s="26" t="str">
        <f t="shared" si="86"/>
        <v/>
      </c>
    </row>
    <row r="1784" spans="1:17" x14ac:dyDescent="0.3">
      <c r="A1784" s="35"/>
      <c r="B1784" s="25"/>
      <c r="C1784" s="25"/>
      <c r="D1784" s="25"/>
      <c r="E1784" s="25"/>
      <c r="F1784" s="25"/>
      <c r="G1784" s="25"/>
      <c r="H1784" s="25"/>
      <c r="I1784" s="25"/>
      <c r="J1784" s="25"/>
      <c r="K1784" s="25"/>
      <c r="L1784" s="25"/>
      <c r="M1784" s="22" t="s">
        <v>86</v>
      </c>
      <c r="N1784" s="23">
        <v>46083</v>
      </c>
      <c r="O1784" s="26" t="str">
        <f t="shared" si="84"/>
        <v/>
      </c>
      <c r="P1784" s="26" t="str">
        <f t="shared" si="85"/>
        <v/>
      </c>
      <c r="Q1784" s="26" t="str">
        <f t="shared" si="86"/>
        <v/>
      </c>
    </row>
    <row r="1785" spans="1:17" x14ac:dyDescent="0.3">
      <c r="A1785" s="35"/>
      <c r="B1785" s="25"/>
      <c r="C1785" s="25"/>
      <c r="D1785" s="25"/>
      <c r="E1785" s="25"/>
      <c r="F1785" s="25"/>
      <c r="G1785" s="25"/>
      <c r="H1785" s="25"/>
      <c r="I1785" s="25"/>
      <c r="J1785" s="25"/>
      <c r="K1785" s="25"/>
      <c r="L1785" s="25"/>
      <c r="M1785" s="22" t="s">
        <v>86</v>
      </c>
      <c r="N1785" s="23">
        <v>46083</v>
      </c>
      <c r="O1785" s="26" t="str">
        <f t="shared" si="84"/>
        <v/>
      </c>
      <c r="P1785" s="26" t="str">
        <f t="shared" si="85"/>
        <v/>
      </c>
      <c r="Q1785" s="26" t="str">
        <f t="shared" si="86"/>
        <v/>
      </c>
    </row>
    <row r="1786" spans="1:17" x14ac:dyDescent="0.3">
      <c r="A1786" s="35"/>
      <c r="B1786" s="25"/>
      <c r="C1786" s="25"/>
      <c r="D1786" s="25"/>
      <c r="E1786" s="25"/>
      <c r="F1786" s="25"/>
      <c r="G1786" s="25"/>
      <c r="H1786" s="25"/>
      <c r="I1786" s="25"/>
      <c r="J1786" s="25"/>
      <c r="K1786" s="25"/>
      <c r="L1786" s="25"/>
      <c r="M1786" s="22" t="s">
        <v>86</v>
      </c>
      <c r="N1786" s="23">
        <v>46083</v>
      </c>
      <c r="O1786" s="26" t="str">
        <f t="shared" si="84"/>
        <v/>
      </c>
      <c r="P1786" s="26" t="str">
        <f t="shared" si="85"/>
        <v/>
      </c>
      <c r="Q1786" s="26" t="str">
        <f t="shared" si="86"/>
        <v/>
      </c>
    </row>
    <row r="1787" spans="1:17" x14ac:dyDescent="0.3">
      <c r="A1787" s="35"/>
      <c r="B1787" s="25"/>
      <c r="C1787" s="25"/>
      <c r="D1787" s="25"/>
      <c r="E1787" s="25"/>
      <c r="F1787" s="25"/>
      <c r="G1787" s="25"/>
      <c r="H1787" s="25"/>
      <c r="I1787" s="25"/>
      <c r="J1787" s="25"/>
      <c r="K1787" s="25"/>
      <c r="L1787" s="25"/>
      <c r="M1787" s="22" t="s">
        <v>86</v>
      </c>
      <c r="N1787" s="23">
        <v>46083</v>
      </c>
      <c r="O1787" s="26" t="str">
        <f t="shared" si="84"/>
        <v/>
      </c>
      <c r="P1787" s="26" t="str">
        <f t="shared" si="85"/>
        <v/>
      </c>
      <c r="Q1787" s="26" t="str">
        <f t="shared" si="86"/>
        <v/>
      </c>
    </row>
    <row r="1788" spans="1:17" x14ac:dyDescent="0.3">
      <c r="A1788" s="35"/>
      <c r="B1788" s="25"/>
      <c r="C1788" s="25"/>
      <c r="D1788" s="25"/>
      <c r="E1788" s="25"/>
      <c r="F1788" s="25"/>
      <c r="G1788" s="25"/>
      <c r="H1788" s="25"/>
      <c r="I1788" s="25"/>
      <c r="J1788" s="25"/>
      <c r="K1788" s="25"/>
      <c r="L1788" s="25"/>
      <c r="M1788" s="22" t="s">
        <v>86</v>
      </c>
      <c r="N1788" s="23">
        <v>46083</v>
      </c>
      <c r="O1788" s="26" t="str">
        <f t="shared" si="84"/>
        <v/>
      </c>
      <c r="P1788" s="26" t="str">
        <f t="shared" si="85"/>
        <v/>
      </c>
      <c r="Q1788" s="26" t="str">
        <f t="shared" si="86"/>
        <v/>
      </c>
    </row>
    <row r="1789" spans="1:17" x14ac:dyDescent="0.3">
      <c r="A1789" s="35"/>
      <c r="B1789" s="25"/>
      <c r="C1789" s="25"/>
      <c r="D1789" s="25"/>
      <c r="E1789" s="25"/>
      <c r="F1789" s="25"/>
      <c r="G1789" s="25"/>
      <c r="H1789" s="25"/>
      <c r="I1789" s="25"/>
      <c r="J1789" s="25"/>
      <c r="K1789" s="25"/>
      <c r="L1789" s="25"/>
      <c r="M1789" s="22" t="s">
        <v>86</v>
      </c>
      <c r="N1789" s="23">
        <v>46083</v>
      </c>
      <c r="O1789" s="26" t="str">
        <f t="shared" si="84"/>
        <v/>
      </c>
      <c r="P1789" s="26" t="str">
        <f t="shared" si="85"/>
        <v/>
      </c>
      <c r="Q1789" s="26" t="str">
        <f t="shared" si="86"/>
        <v/>
      </c>
    </row>
    <row r="1790" spans="1:17" x14ac:dyDescent="0.3">
      <c r="A1790" s="35"/>
      <c r="B1790" s="25"/>
      <c r="C1790" s="25"/>
      <c r="D1790" s="25"/>
      <c r="E1790" s="25"/>
      <c r="F1790" s="25"/>
      <c r="G1790" s="25"/>
      <c r="H1790" s="25"/>
      <c r="I1790" s="25"/>
      <c r="J1790" s="25"/>
      <c r="K1790" s="25"/>
      <c r="L1790" s="25"/>
      <c r="M1790" s="22" t="s">
        <v>86</v>
      </c>
      <c r="N1790" s="23">
        <v>46083</v>
      </c>
      <c r="O1790" s="26" t="str">
        <f t="shared" si="84"/>
        <v/>
      </c>
      <c r="P1790" s="26" t="str">
        <f t="shared" si="85"/>
        <v/>
      </c>
      <c r="Q1790" s="26" t="str">
        <f t="shared" si="86"/>
        <v/>
      </c>
    </row>
    <row r="1791" spans="1:17" x14ac:dyDescent="0.3">
      <c r="A1791" s="35"/>
      <c r="B1791" s="25"/>
      <c r="C1791" s="25"/>
      <c r="D1791" s="25"/>
      <c r="E1791" s="25"/>
      <c r="F1791" s="25"/>
      <c r="G1791" s="25"/>
      <c r="H1791" s="25"/>
      <c r="I1791" s="25"/>
      <c r="J1791" s="25"/>
      <c r="K1791" s="25"/>
      <c r="L1791" s="25"/>
      <c r="M1791" s="22" t="s">
        <v>86</v>
      </c>
      <c r="N1791" s="23">
        <v>46083</v>
      </c>
      <c r="O1791" s="26" t="str">
        <f t="shared" si="84"/>
        <v/>
      </c>
      <c r="P1791" s="26" t="str">
        <f t="shared" si="85"/>
        <v/>
      </c>
      <c r="Q1791" s="26" t="str">
        <f t="shared" si="86"/>
        <v/>
      </c>
    </row>
    <row r="1792" spans="1:17" x14ac:dyDescent="0.3">
      <c r="A1792" s="35"/>
      <c r="B1792" s="25"/>
      <c r="C1792" s="25"/>
      <c r="D1792" s="25"/>
      <c r="E1792" s="25"/>
      <c r="F1792" s="25"/>
      <c r="G1792" s="25"/>
      <c r="H1792" s="25"/>
      <c r="I1792" s="25"/>
      <c r="J1792" s="25"/>
      <c r="K1792" s="25"/>
      <c r="L1792" s="25"/>
      <c r="M1792" s="22" t="s">
        <v>86</v>
      </c>
      <c r="N1792" s="23">
        <v>46083</v>
      </c>
      <c r="O1792" s="26" t="str">
        <f t="shared" si="84"/>
        <v/>
      </c>
      <c r="P1792" s="26" t="str">
        <f t="shared" si="85"/>
        <v/>
      </c>
      <c r="Q1792" s="26" t="str">
        <f t="shared" si="86"/>
        <v/>
      </c>
    </row>
    <row r="1793" spans="1:17" x14ac:dyDescent="0.3">
      <c r="A1793" s="35"/>
      <c r="B1793" s="25"/>
      <c r="C1793" s="25"/>
      <c r="D1793" s="25"/>
      <c r="E1793" s="25"/>
      <c r="F1793" s="25"/>
      <c r="G1793" s="25"/>
      <c r="H1793" s="25"/>
      <c r="I1793" s="25"/>
      <c r="J1793" s="25"/>
      <c r="K1793" s="25"/>
      <c r="L1793" s="25"/>
      <c r="M1793" s="22" t="s">
        <v>86</v>
      </c>
      <c r="N1793" s="23">
        <v>46083</v>
      </c>
      <c r="O1793" s="26" t="str">
        <f t="shared" si="84"/>
        <v/>
      </c>
      <c r="P1793" s="26" t="str">
        <f t="shared" si="85"/>
        <v/>
      </c>
      <c r="Q1793" s="26" t="str">
        <f t="shared" si="86"/>
        <v/>
      </c>
    </row>
    <row r="1794" spans="1:17" x14ac:dyDescent="0.3">
      <c r="A1794" s="35"/>
      <c r="B1794" s="25"/>
      <c r="C1794" s="25"/>
      <c r="D1794" s="25"/>
      <c r="E1794" s="25"/>
      <c r="F1794" s="25"/>
      <c r="G1794" s="25"/>
      <c r="H1794" s="25"/>
      <c r="I1794" s="25"/>
      <c r="J1794" s="25"/>
      <c r="K1794" s="25"/>
      <c r="L1794" s="25"/>
      <c r="M1794" s="22" t="s">
        <v>86</v>
      </c>
      <c r="N1794" s="23">
        <v>46083</v>
      </c>
      <c r="O1794" s="26" t="str">
        <f t="shared" ref="O1794:O1857" si="87">IF(A1794="","",IFERROR(IF(AND(LEN(A1794)=10,NOT(ISERROR(VALUE(A1794)))),"OK","확인"),"확인"))</f>
        <v/>
      </c>
      <c r="P1794" s="26" t="str">
        <f t="shared" ref="P1794:P1857" si="88">IF(A1794="","",IF(COUNTIF($A$2:$A$1946,A1794)&gt;1,"중복",""))</f>
        <v/>
      </c>
      <c r="Q1794" s="26" t="str">
        <f t="shared" ref="Q1794:Q1857" si="89">IF(G1794="","",IF(ISNUMBER(SEARCH("@",G1794)),"","확인"))</f>
        <v/>
      </c>
    </row>
    <row r="1795" spans="1:17" x14ac:dyDescent="0.3">
      <c r="A1795" s="35"/>
      <c r="B1795" s="25"/>
      <c r="C1795" s="25"/>
      <c r="D1795" s="25"/>
      <c r="E1795" s="25"/>
      <c r="F1795" s="25"/>
      <c r="G1795" s="25"/>
      <c r="H1795" s="25"/>
      <c r="I1795" s="25"/>
      <c r="J1795" s="25"/>
      <c r="K1795" s="25"/>
      <c r="L1795" s="25"/>
      <c r="M1795" s="22" t="s">
        <v>86</v>
      </c>
      <c r="N1795" s="23">
        <v>46083</v>
      </c>
      <c r="O1795" s="26" t="str">
        <f t="shared" si="87"/>
        <v/>
      </c>
      <c r="P1795" s="26" t="str">
        <f t="shared" si="88"/>
        <v/>
      </c>
      <c r="Q1795" s="26" t="str">
        <f t="shared" si="89"/>
        <v/>
      </c>
    </row>
    <row r="1796" spans="1:17" x14ac:dyDescent="0.3">
      <c r="A1796" s="35"/>
      <c r="B1796" s="25"/>
      <c r="C1796" s="25"/>
      <c r="D1796" s="25"/>
      <c r="E1796" s="25"/>
      <c r="F1796" s="25"/>
      <c r="G1796" s="25"/>
      <c r="H1796" s="25"/>
      <c r="I1796" s="25"/>
      <c r="J1796" s="25"/>
      <c r="K1796" s="25"/>
      <c r="L1796" s="25"/>
      <c r="M1796" s="22" t="s">
        <v>86</v>
      </c>
      <c r="N1796" s="23">
        <v>46083</v>
      </c>
      <c r="O1796" s="26" t="str">
        <f t="shared" si="87"/>
        <v/>
      </c>
      <c r="P1796" s="26" t="str">
        <f t="shared" si="88"/>
        <v/>
      </c>
      <c r="Q1796" s="26" t="str">
        <f t="shared" si="89"/>
        <v/>
      </c>
    </row>
    <row r="1797" spans="1:17" x14ac:dyDescent="0.3">
      <c r="A1797" s="35"/>
      <c r="B1797" s="25"/>
      <c r="C1797" s="25"/>
      <c r="D1797" s="25"/>
      <c r="E1797" s="25"/>
      <c r="F1797" s="25"/>
      <c r="G1797" s="25"/>
      <c r="H1797" s="25"/>
      <c r="I1797" s="25"/>
      <c r="J1797" s="25"/>
      <c r="K1797" s="25"/>
      <c r="L1797" s="25"/>
      <c r="M1797" s="22" t="s">
        <v>86</v>
      </c>
      <c r="N1797" s="23">
        <v>46083</v>
      </c>
      <c r="O1797" s="26" t="str">
        <f t="shared" si="87"/>
        <v/>
      </c>
      <c r="P1797" s="26" t="str">
        <f t="shared" si="88"/>
        <v/>
      </c>
      <c r="Q1797" s="26" t="str">
        <f t="shared" si="89"/>
        <v/>
      </c>
    </row>
    <row r="1798" spans="1:17" x14ac:dyDescent="0.3">
      <c r="A1798" s="35"/>
      <c r="B1798" s="25"/>
      <c r="C1798" s="25"/>
      <c r="D1798" s="25"/>
      <c r="E1798" s="25"/>
      <c r="F1798" s="25"/>
      <c r="G1798" s="25"/>
      <c r="H1798" s="25"/>
      <c r="I1798" s="25"/>
      <c r="J1798" s="25"/>
      <c r="K1798" s="25"/>
      <c r="L1798" s="25"/>
      <c r="M1798" s="22" t="s">
        <v>86</v>
      </c>
      <c r="N1798" s="23">
        <v>46083</v>
      </c>
      <c r="O1798" s="26" t="str">
        <f t="shared" si="87"/>
        <v/>
      </c>
      <c r="P1798" s="26" t="str">
        <f t="shared" si="88"/>
        <v/>
      </c>
      <c r="Q1798" s="26" t="str">
        <f t="shared" si="89"/>
        <v/>
      </c>
    </row>
    <row r="1799" spans="1:17" x14ac:dyDescent="0.3">
      <c r="A1799" s="35"/>
      <c r="B1799" s="25"/>
      <c r="C1799" s="25"/>
      <c r="D1799" s="25"/>
      <c r="E1799" s="25"/>
      <c r="F1799" s="25"/>
      <c r="G1799" s="25"/>
      <c r="H1799" s="25"/>
      <c r="I1799" s="25"/>
      <c r="J1799" s="25"/>
      <c r="K1799" s="25"/>
      <c r="L1799" s="25"/>
      <c r="M1799" s="22" t="s">
        <v>86</v>
      </c>
      <c r="N1799" s="23">
        <v>46083</v>
      </c>
      <c r="O1799" s="26" t="str">
        <f t="shared" si="87"/>
        <v/>
      </c>
      <c r="P1799" s="26" t="str">
        <f t="shared" si="88"/>
        <v/>
      </c>
      <c r="Q1799" s="26" t="str">
        <f t="shared" si="89"/>
        <v/>
      </c>
    </row>
    <row r="1800" spans="1:17" x14ac:dyDescent="0.3">
      <c r="A1800" s="35"/>
      <c r="B1800" s="25"/>
      <c r="C1800" s="25"/>
      <c r="D1800" s="25"/>
      <c r="E1800" s="25"/>
      <c r="F1800" s="25"/>
      <c r="G1800" s="25"/>
      <c r="H1800" s="25"/>
      <c r="I1800" s="25"/>
      <c r="J1800" s="25"/>
      <c r="K1800" s="25"/>
      <c r="L1800" s="25"/>
      <c r="M1800" s="22" t="s">
        <v>86</v>
      </c>
      <c r="N1800" s="23">
        <v>46083</v>
      </c>
      <c r="O1800" s="26" t="str">
        <f t="shared" si="87"/>
        <v/>
      </c>
      <c r="P1800" s="26" t="str">
        <f t="shared" si="88"/>
        <v/>
      </c>
      <c r="Q1800" s="26" t="str">
        <f t="shared" si="89"/>
        <v/>
      </c>
    </row>
    <row r="1801" spans="1:17" x14ac:dyDescent="0.3">
      <c r="A1801" s="35"/>
      <c r="B1801" s="25"/>
      <c r="C1801" s="25"/>
      <c r="D1801" s="25"/>
      <c r="E1801" s="25"/>
      <c r="F1801" s="25"/>
      <c r="G1801" s="25"/>
      <c r="H1801" s="25"/>
      <c r="I1801" s="25"/>
      <c r="J1801" s="25"/>
      <c r="K1801" s="25"/>
      <c r="L1801" s="25"/>
      <c r="M1801" s="22" t="s">
        <v>86</v>
      </c>
      <c r="N1801" s="23">
        <v>46083</v>
      </c>
      <c r="O1801" s="26" t="str">
        <f t="shared" si="87"/>
        <v/>
      </c>
      <c r="P1801" s="26" t="str">
        <f t="shared" si="88"/>
        <v/>
      </c>
      <c r="Q1801" s="26" t="str">
        <f t="shared" si="89"/>
        <v/>
      </c>
    </row>
    <row r="1802" spans="1:17" x14ac:dyDescent="0.3">
      <c r="A1802" s="35"/>
      <c r="B1802" s="25"/>
      <c r="C1802" s="25"/>
      <c r="D1802" s="25"/>
      <c r="E1802" s="25"/>
      <c r="F1802" s="25"/>
      <c r="G1802" s="25"/>
      <c r="H1802" s="25"/>
      <c r="I1802" s="25"/>
      <c r="J1802" s="25"/>
      <c r="K1802" s="25"/>
      <c r="L1802" s="25"/>
      <c r="M1802" s="22" t="s">
        <v>86</v>
      </c>
      <c r="N1802" s="23">
        <v>46083</v>
      </c>
      <c r="O1802" s="26" t="str">
        <f t="shared" si="87"/>
        <v/>
      </c>
      <c r="P1802" s="26" t="str">
        <f t="shared" si="88"/>
        <v/>
      </c>
      <c r="Q1802" s="26" t="str">
        <f t="shared" si="89"/>
        <v/>
      </c>
    </row>
    <row r="1803" spans="1:17" x14ac:dyDescent="0.3">
      <c r="A1803" s="35"/>
      <c r="B1803" s="25"/>
      <c r="C1803" s="25"/>
      <c r="D1803" s="25"/>
      <c r="E1803" s="25"/>
      <c r="F1803" s="25"/>
      <c r="G1803" s="25"/>
      <c r="H1803" s="25"/>
      <c r="I1803" s="25"/>
      <c r="J1803" s="25"/>
      <c r="K1803" s="25"/>
      <c r="L1803" s="25"/>
      <c r="M1803" s="22" t="s">
        <v>86</v>
      </c>
      <c r="N1803" s="23">
        <v>46083</v>
      </c>
      <c r="O1803" s="26" t="str">
        <f t="shared" si="87"/>
        <v/>
      </c>
      <c r="P1803" s="26" t="str">
        <f t="shared" si="88"/>
        <v/>
      </c>
      <c r="Q1803" s="26" t="str">
        <f t="shared" si="89"/>
        <v/>
      </c>
    </row>
    <row r="1804" spans="1:17" x14ac:dyDescent="0.3">
      <c r="A1804" s="35"/>
      <c r="B1804" s="25"/>
      <c r="C1804" s="25"/>
      <c r="D1804" s="25"/>
      <c r="E1804" s="25"/>
      <c r="F1804" s="25"/>
      <c r="G1804" s="25"/>
      <c r="H1804" s="25"/>
      <c r="I1804" s="25"/>
      <c r="J1804" s="25"/>
      <c r="K1804" s="25"/>
      <c r="L1804" s="25"/>
      <c r="M1804" s="22" t="s">
        <v>86</v>
      </c>
      <c r="N1804" s="23">
        <v>46083</v>
      </c>
      <c r="O1804" s="26" t="str">
        <f t="shared" si="87"/>
        <v/>
      </c>
      <c r="P1804" s="26" t="str">
        <f t="shared" si="88"/>
        <v/>
      </c>
      <c r="Q1804" s="26" t="str">
        <f t="shared" si="89"/>
        <v/>
      </c>
    </row>
    <row r="1805" spans="1:17" x14ac:dyDescent="0.3">
      <c r="A1805" s="35"/>
      <c r="B1805" s="25"/>
      <c r="C1805" s="25"/>
      <c r="D1805" s="25"/>
      <c r="E1805" s="25"/>
      <c r="F1805" s="25"/>
      <c r="G1805" s="25"/>
      <c r="H1805" s="25"/>
      <c r="I1805" s="25"/>
      <c r="J1805" s="25"/>
      <c r="K1805" s="25"/>
      <c r="L1805" s="25"/>
      <c r="M1805" s="22" t="s">
        <v>86</v>
      </c>
      <c r="N1805" s="23">
        <v>46083</v>
      </c>
      <c r="O1805" s="26" t="str">
        <f t="shared" si="87"/>
        <v/>
      </c>
      <c r="P1805" s="26" t="str">
        <f t="shared" si="88"/>
        <v/>
      </c>
      <c r="Q1805" s="26" t="str">
        <f t="shared" si="89"/>
        <v/>
      </c>
    </row>
    <row r="1806" spans="1:17" x14ac:dyDescent="0.3">
      <c r="A1806" s="35"/>
      <c r="B1806" s="25"/>
      <c r="C1806" s="25"/>
      <c r="D1806" s="25"/>
      <c r="E1806" s="25"/>
      <c r="F1806" s="25"/>
      <c r="G1806" s="25"/>
      <c r="H1806" s="25"/>
      <c r="I1806" s="25"/>
      <c r="J1806" s="25"/>
      <c r="K1806" s="25"/>
      <c r="L1806" s="25"/>
      <c r="M1806" s="22" t="s">
        <v>86</v>
      </c>
      <c r="N1806" s="23">
        <v>46083</v>
      </c>
      <c r="O1806" s="26" t="str">
        <f t="shared" si="87"/>
        <v/>
      </c>
      <c r="P1806" s="26" t="str">
        <f t="shared" si="88"/>
        <v/>
      </c>
      <c r="Q1806" s="26" t="str">
        <f t="shared" si="89"/>
        <v/>
      </c>
    </row>
    <row r="1807" spans="1:17" x14ac:dyDescent="0.3">
      <c r="A1807" s="35"/>
      <c r="B1807" s="25"/>
      <c r="C1807" s="25"/>
      <c r="D1807" s="25"/>
      <c r="E1807" s="25"/>
      <c r="F1807" s="25"/>
      <c r="G1807" s="25"/>
      <c r="H1807" s="25"/>
      <c r="I1807" s="25"/>
      <c r="J1807" s="25"/>
      <c r="K1807" s="25"/>
      <c r="L1807" s="25"/>
      <c r="M1807" s="22" t="s">
        <v>86</v>
      </c>
      <c r="N1807" s="23">
        <v>46083</v>
      </c>
      <c r="O1807" s="26" t="str">
        <f t="shared" si="87"/>
        <v/>
      </c>
      <c r="P1807" s="26" t="str">
        <f t="shared" si="88"/>
        <v/>
      </c>
      <c r="Q1807" s="26" t="str">
        <f t="shared" si="89"/>
        <v/>
      </c>
    </row>
    <row r="1808" spans="1:17" x14ac:dyDescent="0.3">
      <c r="A1808" s="35"/>
      <c r="B1808" s="25"/>
      <c r="C1808" s="25"/>
      <c r="D1808" s="25"/>
      <c r="E1808" s="25"/>
      <c r="F1808" s="25"/>
      <c r="G1808" s="25"/>
      <c r="H1808" s="25"/>
      <c r="I1808" s="25"/>
      <c r="J1808" s="25"/>
      <c r="K1808" s="25"/>
      <c r="L1808" s="25"/>
      <c r="M1808" s="22" t="s">
        <v>86</v>
      </c>
      <c r="N1808" s="23">
        <v>46083</v>
      </c>
      <c r="O1808" s="26" t="str">
        <f t="shared" si="87"/>
        <v/>
      </c>
      <c r="P1808" s="26" t="str">
        <f t="shared" si="88"/>
        <v/>
      </c>
      <c r="Q1808" s="26" t="str">
        <f t="shared" si="89"/>
        <v/>
      </c>
    </row>
    <row r="1809" spans="1:17" x14ac:dyDescent="0.3">
      <c r="A1809" s="35"/>
      <c r="B1809" s="25"/>
      <c r="C1809" s="25"/>
      <c r="D1809" s="25"/>
      <c r="E1809" s="25"/>
      <c r="F1809" s="25"/>
      <c r="G1809" s="25"/>
      <c r="H1809" s="25"/>
      <c r="I1809" s="25"/>
      <c r="J1809" s="25"/>
      <c r="K1809" s="25"/>
      <c r="L1809" s="25"/>
      <c r="M1809" s="22" t="s">
        <v>86</v>
      </c>
      <c r="N1809" s="23">
        <v>46083</v>
      </c>
      <c r="O1809" s="26" t="str">
        <f t="shared" si="87"/>
        <v/>
      </c>
      <c r="P1809" s="26" t="str">
        <f t="shared" si="88"/>
        <v/>
      </c>
      <c r="Q1809" s="26" t="str">
        <f t="shared" si="89"/>
        <v/>
      </c>
    </row>
    <row r="1810" spans="1:17" x14ac:dyDescent="0.3">
      <c r="A1810" s="35"/>
      <c r="B1810" s="25"/>
      <c r="C1810" s="25"/>
      <c r="D1810" s="25"/>
      <c r="E1810" s="25"/>
      <c r="F1810" s="25"/>
      <c r="G1810" s="25"/>
      <c r="H1810" s="25"/>
      <c r="I1810" s="25"/>
      <c r="J1810" s="25"/>
      <c r="K1810" s="25"/>
      <c r="L1810" s="25"/>
      <c r="M1810" s="22" t="s">
        <v>86</v>
      </c>
      <c r="N1810" s="23">
        <v>46083</v>
      </c>
      <c r="O1810" s="26" t="str">
        <f t="shared" si="87"/>
        <v/>
      </c>
      <c r="P1810" s="26" t="str">
        <f t="shared" si="88"/>
        <v/>
      </c>
      <c r="Q1810" s="26" t="str">
        <f t="shared" si="89"/>
        <v/>
      </c>
    </row>
    <row r="1811" spans="1:17" x14ac:dyDescent="0.3">
      <c r="A1811" s="35"/>
      <c r="B1811" s="25"/>
      <c r="C1811" s="25"/>
      <c r="D1811" s="25"/>
      <c r="E1811" s="25"/>
      <c r="F1811" s="25"/>
      <c r="G1811" s="25"/>
      <c r="H1811" s="25"/>
      <c r="I1811" s="25"/>
      <c r="J1811" s="25"/>
      <c r="K1811" s="25"/>
      <c r="L1811" s="25"/>
      <c r="M1811" s="22" t="s">
        <v>86</v>
      </c>
      <c r="N1811" s="23">
        <v>46083</v>
      </c>
      <c r="O1811" s="26" t="str">
        <f t="shared" si="87"/>
        <v/>
      </c>
      <c r="P1811" s="26" t="str">
        <f t="shared" si="88"/>
        <v/>
      </c>
      <c r="Q1811" s="26" t="str">
        <f t="shared" si="89"/>
        <v/>
      </c>
    </row>
    <row r="1812" spans="1:17" x14ac:dyDescent="0.3">
      <c r="A1812" s="35"/>
      <c r="B1812" s="25"/>
      <c r="C1812" s="25"/>
      <c r="D1812" s="25"/>
      <c r="E1812" s="25"/>
      <c r="F1812" s="25"/>
      <c r="G1812" s="25"/>
      <c r="H1812" s="25"/>
      <c r="I1812" s="25"/>
      <c r="J1812" s="25"/>
      <c r="K1812" s="25"/>
      <c r="L1812" s="25"/>
      <c r="M1812" s="22" t="s">
        <v>86</v>
      </c>
      <c r="N1812" s="23">
        <v>46083</v>
      </c>
      <c r="O1812" s="26" t="str">
        <f t="shared" si="87"/>
        <v/>
      </c>
      <c r="P1812" s="26" t="str">
        <f t="shared" si="88"/>
        <v/>
      </c>
      <c r="Q1812" s="26" t="str">
        <f t="shared" si="89"/>
        <v/>
      </c>
    </row>
    <row r="1813" spans="1:17" x14ac:dyDescent="0.3">
      <c r="A1813" s="35"/>
      <c r="B1813" s="25"/>
      <c r="C1813" s="25"/>
      <c r="D1813" s="25"/>
      <c r="E1813" s="25"/>
      <c r="F1813" s="25"/>
      <c r="G1813" s="25"/>
      <c r="H1813" s="25"/>
      <c r="I1813" s="25"/>
      <c r="J1813" s="25"/>
      <c r="K1813" s="25"/>
      <c r="L1813" s="25"/>
      <c r="M1813" s="22" t="s">
        <v>86</v>
      </c>
      <c r="N1813" s="23">
        <v>46083</v>
      </c>
      <c r="O1813" s="26" t="str">
        <f t="shared" si="87"/>
        <v/>
      </c>
      <c r="P1813" s="26" t="str">
        <f t="shared" si="88"/>
        <v/>
      </c>
      <c r="Q1813" s="26" t="str">
        <f t="shared" si="89"/>
        <v/>
      </c>
    </row>
    <row r="1814" spans="1:17" x14ac:dyDescent="0.3">
      <c r="A1814" s="35"/>
      <c r="B1814" s="25"/>
      <c r="C1814" s="25"/>
      <c r="D1814" s="25"/>
      <c r="E1814" s="25"/>
      <c r="F1814" s="25"/>
      <c r="G1814" s="25"/>
      <c r="H1814" s="25"/>
      <c r="I1814" s="25"/>
      <c r="J1814" s="25"/>
      <c r="K1814" s="25"/>
      <c r="L1814" s="25"/>
      <c r="M1814" s="22" t="s">
        <v>86</v>
      </c>
      <c r="N1814" s="23">
        <v>46083</v>
      </c>
      <c r="O1814" s="26" t="str">
        <f t="shared" si="87"/>
        <v/>
      </c>
      <c r="P1814" s="26" t="str">
        <f t="shared" si="88"/>
        <v/>
      </c>
      <c r="Q1814" s="26" t="str">
        <f t="shared" si="89"/>
        <v/>
      </c>
    </row>
    <row r="1815" spans="1:17" x14ac:dyDescent="0.3">
      <c r="A1815" s="35"/>
      <c r="B1815" s="25"/>
      <c r="C1815" s="25"/>
      <c r="D1815" s="25"/>
      <c r="E1815" s="25"/>
      <c r="F1815" s="25"/>
      <c r="G1815" s="25"/>
      <c r="H1815" s="25"/>
      <c r="I1815" s="25"/>
      <c r="J1815" s="25"/>
      <c r="K1815" s="25"/>
      <c r="L1815" s="25"/>
      <c r="M1815" s="22" t="s">
        <v>86</v>
      </c>
      <c r="N1815" s="23">
        <v>46083</v>
      </c>
      <c r="O1815" s="26" t="str">
        <f t="shared" si="87"/>
        <v/>
      </c>
      <c r="P1815" s="26" t="str">
        <f t="shared" si="88"/>
        <v/>
      </c>
      <c r="Q1815" s="26" t="str">
        <f t="shared" si="89"/>
        <v/>
      </c>
    </row>
    <row r="1816" spans="1:17" x14ac:dyDescent="0.3">
      <c r="A1816" s="35"/>
      <c r="B1816" s="25"/>
      <c r="C1816" s="25"/>
      <c r="D1816" s="25"/>
      <c r="E1816" s="25"/>
      <c r="F1816" s="25"/>
      <c r="G1816" s="25"/>
      <c r="H1816" s="25"/>
      <c r="I1816" s="25"/>
      <c r="J1816" s="25"/>
      <c r="K1816" s="25"/>
      <c r="L1816" s="25"/>
      <c r="M1816" s="22" t="s">
        <v>86</v>
      </c>
      <c r="N1816" s="23">
        <v>46083</v>
      </c>
      <c r="O1816" s="26" t="str">
        <f t="shared" si="87"/>
        <v/>
      </c>
      <c r="P1816" s="26" t="str">
        <f t="shared" si="88"/>
        <v/>
      </c>
      <c r="Q1816" s="26" t="str">
        <f t="shared" si="89"/>
        <v/>
      </c>
    </row>
    <row r="1817" spans="1:17" x14ac:dyDescent="0.3">
      <c r="A1817" s="35"/>
      <c r="B1817" s="25"/>
      <c r="C1817" s="25"/>
      <c r="D1817" s="25"/>
      <c r="E1817" s="25"/>
      <c r="F1817" s="25"/>
      <c r="G1817" s="25"/>
      <c r="H1817" s="25"/>
      <c r="I1817" s="25"/>
      <c r="J1817" s="25"/>
      <c r="K1817" s="25"/>
      <c r="L1817" s="25"/>
      <c r="M1817" s="22" t="s">
        <v>86</v>
      </c>
      <c r="N1817" s="23">
        <v>46083</v>
      </c>
      <c r="O1817" s="26" t="str">
        <f t="shared" si="87"/>
        <v/>
      </c>
      <c r="P1817" s="26" t="str">
        <f t="shared" si="88"/>
        <v/>
      </c>
      <c r="Q1817" s="26" t="str">
        <f t="shared" si="89"/>
        <v/>
      </c>
    </row>
    <row r="1818" spans="1:17" x14ac:dyDescent="0.3">
      <c r="A1818" s="35"/>
      <c r="B1818" s="25"/>
      <c r="C1818" s="25"/>
      <c r="D1818" s="25"/>
      <c r="E1818" s="25"/>
      <c r="F1818" s="25"/>
      <c r="G1818" s="25"/>
      <c r="H1818" s="25"/>
      <c r="I1818" s="25"/>
      <c r="J1818" s="25"/>
      <c r="K1818" s="25"/>
      <c r="L1818" s="25"/>
      <c r="M1818" s="22" t="s">
        <v>86</v>
      </c>
      <c r="N1818" s="23">
        <v>46083</v>
      </c>
      <c r="O1818" s="26" t="str">
        <f t="shared" si="87"/>
        <v/>
      </c>
      <c r="P1818" s="26" t="str">
        <f t="shared" si="88"/>
        <v/>
      </c>
      <c r="Q1818" s="26" t="str">
        <f t="shared" si="89"/>
        <v/>
      </c>
    </row>
    <row r="1819" spans="1:17" x14ac:dyDescent="0.3">
      <c r="A1819" s="35"/>
      <c r="B1819" s="25"/>
      <c r="C1819" s="25"/>
      <c r="D1819" s="25"/>
      <c r="E1819" s="25"/>
      <c r="F1819" s="25"/>
      <c r="G1819" s="25"/>
      <c r="H1819" s="25"/>
      <c r="I1819" s="25"/>
      <c r="J1819" s="25"/>
      <c r="K1819" s="25"/>
      <c r="L1819" s="25"/>
      <c r="M1819" s="22" t="s">
        <v>86</v>
      </c>
      <c r="N1819" s="23">
        <v>46083</v>
      </c>
      <c r="O1819" s="26" t="str">
        <f t="shared" si="87"/>
        <v/>
      </c>
      <c r="P1819" s="26" t="str">
        <f t="shared" si="88"/>
        <v/>
      </c>
      <c r="Q1819" s="26" t="str">
        <f t="shared" si="89"/>
        <v/>
      </c>
    </row>
    <row r="1820" spans="1:17" x14ac:dyDescent="0.3">
      <c r="A1820" s="35"/>
      <c r="B1820" s="25"/>
      <c r="C1820" s="25"/>
      <c r="D1820" s="25"/>
      <c r="E1820" s="25"/>
      <c r="F1820" s="25"/>
      <c r="G1820" s="25"/>
      <c r="H1820" s="25"/>
      <c r="I1820" s="25"/>
      <c r="J1820" s="25"/>
      <c r="K1820" s="25"/>
      <c r="L1820" s="25"/>
      <c r="M1820" s="22" t="s">
        <v>86</v>
      </c>
      <c r="N1820" s="23">
        <v>46083</v>
      </c>
      <c r="O1820" s="26" t="str">
        <f t="shared" si="87"/>
        <v/>
      </c>
      <c r="P1820" s="26" t="str">
        <f t="shared" si="88"/>
        <v/>
      </c>
      <c r="Q1820" s="26" t="str">
        <f t="shared" si="89"/>
        <v/>
      </c>
    </row>
    <row r="1821" spans="1:17" x14ac:dyDescent="0.3">
      <c r="A1821" s="35"/>
      <c r="B1821" s="25"/>
      <c r="C1821" s="25"/>
      <c r="D1821" s="25"/>
      <c r="E1821" s="25"/>
      <c r="F1821" s="25"/>
      <c r="G1821" s="25"/>
      <c r="H1821" s="25"/>
      <c r="I1821" s="25"/>
      <c r="J1821" s="25"/>
      <c r="K1821" s="25"/>
      <c r="L1821" s="25"/>
      <c r="M1821" s="22" t="s">
        <v>86</v>
      </c>
      <c r="N1821" s="23">
        <v>46083</v>
      </c>
      <c r="O1821" s="26" t="str">
        <f t="shared" si="87"/>
        <v/>
      </c>
      <c r="P1821" s="26" t="str">
        <f t="shared" si="88"/>
        <v/>
      </c>
      <c r="Q1821" s="26" t="str">
        <f t="shared" si="89"/>
        <v/>
      </c>
    </row>
    <row r="1822" spans="1:17" x14ac:dyDescent="0.3">
      <c r="A1822" s="35"/>
      <c r="B1822" s="25"/>
      <c r="C1822" s="25"/>
      <c r="D1822" s="25"/>
      <c r="E1822" s="25"/>
      <c r="F1822" s="25"/>
      <c r="G1822" s="25"/>
      <c r="H1822" s="25"/>
      <c r="I1822" s="25"/>
      <c r="J1822" s="25"/>
      <c r="K1822" s="25"/>
      <c r="L1822" s="25"/>
      <c r="M1822" s="22" t="s">
        <v>86</v>
      </c>
      <c r="N1822" s="23">
        <v>46083</v>
      </c>
      <c r="O1822" s="26" t="str">
        <f t="shared" si="87"/>
        <v/>
      </c>
      <c r="P1822" s="26" t="str">
        <f t="shared" si="88"/>
        <v/>
      </c>
      <c r="Q1822" s="26" t="str">
        <f t="shared" si="89"/>
        <v/>
      </c>
    </row>
    <row r="1823" spans="1:17" x14ac:dyDescent="0.3">
      <c r="A1823" s="35"/>
      <c r="B1823" s="25"/>
      <c r="C1823" s="25"/>
      <c r="D1823" s="25"/>
      <c r="E1823" s="25"/>
      <c r="F1823" s="25"/>
      <c r="G1823" s="25"/>
      <c r="H1823" s="25"/>
      <c r="I1823" s="25"/>
      <c r="J1823" s="25"/>
      <c r="K1823" s="25"/>
      <c r="L1823" s="25"/>
      <c r="M1823" s="22" t="s">
        <v>86</v>
      </c>
      <c r="N1823" s="23">
        <v>46083</v>
      </c>
      <c r="O1823" s="26" t="str">
        <f t="shared" si="87"/>
        <v/>
      </c>
      <c r="P1823" s="26" t="str">
        <f t="shared" si="88"/>
        <v/>
      </c>
      <c r="Q1823" s="26" t="str">
        <f t="shared" si="89"/>
        <v/>
      </c>
    </row>
    <row r="1824" spans="1:17" x14ac:dyDescent="0.3">
      <c r="A1824" s="35"/>
      <c r="B1824" s="25"/>
      <c r="C1824" s="25"/>
      <c r="D1824" s="25"/>
      <c r="E1824" s="25"/>
      <c r="F1824" s="25"/>
      <c r="G1824" s="25"/>
      <c r="H1824" s="25"/>
      <c r="I1824" s="25"/>
      <c r="J1824" s="25"/>
      <c r="K1824" s="25"/>
      <c r="L1824" s="25"/>
      <c r="M1824" s="22" t="s">
        <v>86</v>
      </c>
      <c r="N1824" s="23">
        <v>46083</v>
      </c>
      <c r="O1824" s="26" t="str">
        <f t="shared" si="87"/>
        <v/>
      </c>
      <c r="P1824" s="26" t="str">
        <f t="shared" si="88"/>
        <v/>
      </c>
      <c r="Q1824" s="26" t="str">
        <f t="shared" si="89"/>
        <v/>
      </c>
    </row>
    <row r="1825" spans="1:17" x14ac:dyDescent="0.3">
      <c r="A1825" s="35"/>
      <c r="B1825" s="25"/>
      <c r="C1825" s="25"/>
      <c r="D1825" s="25"/>
      <c r="E1825" s="25"/>
      <c r="F1825" s="25"/>
      <c r="G1825" s="25"/>
      <c r="H1825" s="25"/>
      <c r="I1825" s="25"/>
      <c r="J1825" s="25"/>
      <c r="K1825" s="25"/>
      <c r="L1825" s="25"/>
      <c r="M1825" s="22" t="s">
        <v>86</v>
      </c>
      <c r="N1825" s="23">
        <v>46083</v>
      </c>
      <c r="O1825" s="26" t="str">
        <f t="shared" si="87"/>
        <v/>
      </c>
      <c r="P1825" s="26" t="str">
        <f t="shared" si="88"/>
        <v/>
      </c>
      <c r="Q1825" s="26" t="str">
        <f t="shared" si="89"/>
        <v/>
      </c>
    </row>
    <row r="1826" spans="1:17" x14ac:dyDescent="0.3">
      <c r="A1826" s="35"/>
      <c r="B1826" s="25"/>
      <c r="C1826" s="25"/>
      <c r="D1826" s="25"/>
      <c r="E1826" s="25"/>
      <c r="F1826" s="25"/>
      <c r="G1826" s="25"/>
      <c r="H1826" s="25"/>
      <c r="I1826" s="25"/>
      <c r="J1826" s="25"/>
      <c r="K1826" s="25"/>
      <c r="L1826" s="25"/>
      <c r="M1826" s="22" t="s">
        <v>86</v>
      </c>
      <c r="N1826" s="23">
        <v>46083</v>
      </c>
      <c r="O1826" s="26" t="str">
        <f t="shared" si="87"/>
        <v/>
      </c>
      <c r="P1826" s="26" t="str">
        <f t="shared" si="88"/>
        <v/>
      </c>
      <c r="Q1826" s="26" t="str">
        <f t="shared" si="89"/>
        <v/>
      </c>
    </row>
    <row r="1827" spans="1:17" x14ac:dyDescent="0.3">
      <c r="A1827" s="35"/>
      <c r="B1827" s="25"/>
      <c r="C1827" s="25"/>
      <c r="D1827" s="25"/>
      <c r="E1827" s="25"/>
      <c r="F1827" s="25"/>
      <c r="G1827" s="25"/>
      <c r="H1827" s="25"/>
      <c r="I1827" s="25"/>
      <c r="J1827" s="25"/>
      <c r="K1827" s="25"/>
      <c r="L1827" s="25"/>
      <c r="M1827" s="22" t="s">
        <v>86</v>
      </c>
      <c r="N1827" s="23">
        <v>46083</v>
      </c>
      <c r="O1827" s="26" t="str">
        <f t="shared" si="87"/>
        <v/>
      </c>
      <c r="P1827" s="26" t="str">
        <f t="shared" si="88"/>
        <v/>
      </c>
      <c r="Q1827" s="26" t="str">
        <f t="shared" si="89"/>
        <v/>
      </c>
    </row>
    <row r="1828" spans="1:17" x14ac:dyDescent="0.3">
      <c r="A1828" s="35"/>
      <c r="B1828" s="25"/>
      <c r="C1828" s="25"/>
      <c r="D1828" s="25"/>
      <c r="E1828" s="25"/>
      <c r="F1828" s="25"/>
      <c r="G1828" s="25"/>
      <c r="H1828" s="25"/>
      <c r="I1828" s="25"/>
      <c r="J1828" s="25"/>
      <c r="K1828" s="25"/>
      <c r="L1828" s="25"/>
      <c r="M1828" s="22" t="s">
        <v>86</v>
      </c>
      <c r="N1828" s="23">
        <v>46083</v>
      </c>
      <c r="O1828" s="26" t="str">
        <f t="shared" si="87"/>
        <v/>
      </c>
      <c r="P1828" s="26" t="str">
        <f t="shared" si="88"/>
        <v/>
      </c>
      <c r="Q1828" s="26" t="str">
        <f t="shared" si="89"/>
        <v/>
      </c>
    </row>
    <row r="1829" spans="1:17" x14ac:dyDescent="0.3">
      <c r="A1829" s="35"/>
      <c r="B1829" s="25"/>
      <c r="C1829" s="25"/>
      <c r="D1829" s="25"/>
      <c r="E1829" s="25"/>
      <c r="F1829" s="25"/>
      <c r="G1829" s="25"/>
      <c r="H1829" s="25"/>
      <c r="I1829" s="25"/>
      <c r="J1829" s="25"/>
      <c r="K1829" s="25"/>
      <c r="L1829" s="25"/>
      <c r="M1829" s="22" t="s">
        <v>86</v>
      </c>
      <c r="N1829" s="23">
        <v>46083</v>
      </c>
      <c r="O1829" s="26" t="str">
        <f t="shared" si="87"/>
        <v/>
      </c>
      <c r="P1829" s="26" t="str">
        <f t="shared" si="88"/>
        <v/>
      </c>
      <c r="Q1829" s="26" t="str">
        <f t="shared" si="89"/>
        <v/>
      </c>
    </row>
    <row r="1830" spans="1:17" x14ac:dyDescent="0.3">
      <c r="A1830" s="35"/>
      <c r="B1830" s="25"/>
      <c r="C1830" s="25"/>
      <c r="D1830" s="25"/>
      <c r="E1830" s="25"/>
      <c r="F1830" s="25"/>
      <c r="G1830" s="25"/>
      <c r="H1830" s="25"/>
      <c r="I1830" s="25"/>
      <c r="J1830" s="25"/>
      <c r="K1830" s="25"/>
      <c r="L1830" s="25"/>
      <c r="M1830" s="22" t="s">
        <v>86</v>
      </c>
      <c r="N1830" s="23">
        <v>46083</v>
      </c>
      <c r="O1830" s="26" t="str">
        <f t="shared" si="87"/>
        <v/>
      </c>
      <c r="P1830" s="26" t="str">
        <f t="shared" si="88"/>
        <v/>
      </c>
      <c r="Q1830" s="26" t="str">
        <f t="shared" si="89"/>
        <v/>
      </c>
    </row>
    <row r="1831" spans="1:17" x14ac:dyDescent="0.3">
      <c r="A1831" s="35"/>
      <c r="B1831" s="25"/>
      <c r="C1831" s="25"/>
      <c r="D1831" s="25"/>
      <c r="E1831" s="25"/>
      <c r="F1831" s="25"/>
      <c r="G1831" s="25"/>
      <c r="H1831" s="25"/>
      <c r="I1831" s="25"/>
      <c r="J1831" s="25"/>
      <c r="K1831" s="25"/>
      <c r="L1831" s="25"/>
      <c r="M1831" s="22" t="s">
        <v>86</v>
      </c>
      <c r="N1831" s="23">
        <v>46083</v>
      </c>
      <c r="O1831" s="26" t="str">
        <f t="shared" si="87"/>
        <v/>
      </c>
      <c r="P1831" s="26" t="str">
        <f t="shared" si="88"/>
        <v/>
      </c>
      <c r="Q1831" s="26" t="str">
        <f t="shared" si="89"/>
        <v/>
      </c>
    </row>
    <row r="1832" spans="1:17" x14ac:dyDescent="0.3">
      <c r="A1832" s="35"/>
      <c r="B1832" s="25"/>
      <c r="C1832" s="25"/>
      <c r="D1832" s="25"/>
      <c r="E1832" s="25"/>
      <c r="F1832" s="25"/>
      <c r="G1832" s="25"/>
      <c r="H1832" s="25"/>
      <c r="I1832" s="25"/>
      <c r="J1832" s="25"/>
      <c r="K1832" s="25"/>
      <c r="L1832" s="25"/>
      <c r="M1832" s="22" t="s">
        <v>86</v>
      </c>
      <c r="N1832" s="23">
        <v>46083</v>
      </c>
      <c r="O1832" s="26" t="str">
        <f t="shared" si="87"/>
        <v/>
      </c>
      <c r="P1832" s="26" t="str">
        <f t="shared" si="88"/>
        <v/>
      </c>
      <c r="Q1832" s="26" t="str">
        <f t="shared" si="89"/>
        <v/>
      </c>
    </row>
    <row r="1833" spans="1:17" x14ac:dyDescent="0.3">
      <c r="A1833" s="35"/>
      <c r="B1833" s="25"/>
      <c r="C1833" s="25"/>
      <c r="D1833" s="25"/>
      <c r="E1833" s="25"/>
      <c r="F1833" s="25"/>
      <c r="G1833" s="25"/>
      <c r="H1833" s="25"/>
      <c r="I1833" s="25"/>
      <c r="J1833" s="25"/>
      <c r="K1833" s="25"/>
      <c r="L1833" s="25"/>
      <c r="M1833" s="22" t="s">
        <v>86</v>
      </c>
      <c r="N1833" s="23">
        <v>46083</v>
      </c>
      <c r="O1833" s="26" t="str">
        <f t="shared" si="87"/>
        <v/>
      </c>
      <c r="P1833" s="26" t="str">
        <f t="shared" si="88"/>
        <v/>
      </c>
      <c r="Q1833" s="26" t="str">
        <f t="shared" si="89"/>
        <v/>
      </c>
    </row>
    <row r="1834" spans="1:17" x14ac:dyDescent="0.3">
      <c r="A1834" s="35"/>
      <c r="B1834" s="25"/>
      <c r="C1834" s="25"/>
      <c r="D1834" s="25"/>
      <c r="E1834" s="25"/>
      <c r="F1834" s="25"/>
      <c r="G1834" s="25"/>
      <c r="H1834" s="25"/>
      <c r="I1834" s="25"/>
      <c r="J1834" s="25"/>
      <c r="K1834" s="25"/>
      <c r="L1834" s="25"/>
      <c r="M1834" s="22" t="s">
        <v>86</v>
      </c>
      <c r="N1834" s="23">
        <v>46083</v>
      </c>
      <c r="O1834" s="26" t="str">
        <f t="shared" si="87"/>
        <v/>
      </c>
      <c r="P1834" s="26" t="str">
        <f t="shared" si="88"/>
        <v/>
      </c>
      <c r="Q1834" s="26" t="str">
        <f t="shared" si="89"/>
        <v/>
      </c>
    </row>
    <row r="1835" spans="1:17" x14ac:dyDescent="0.3">
      <c r="A1835" s="35"/>
      <c r="B1835" s="25"/>
      <c r="C1835" s="25"/>
      <c r="D1835" s="25"/>
      <c r="E1835" s="25"/>
      <c r="F1835" s="25"/>
      <c r="G1835" s="25"/>
      <c r="H1835" s="25"/>
      <c r="I1835" s="25"/>
      <c r="J1835" s="25"/>
      <c r="K1835" s="25"/>
      <c r="L1835" s="25"/>
      <c r="M1835" s="22" t="s">
        <v>86</v>
      </c>
      <c r="N1835" s="23">
        <v>46083</v>
      </c>
      <c r="O1835" s="26" t="str">
        <f t="shared" si="87"/>
        <v/>
      </c>
      <c r="P1835" s="26" t="str">
        <f t="shared" si="88"/>
        <v/>
      </c>
      <c r="Q1835" s="26" t="str">
        <f t="shared" si="89"/>
        <v/>
      </c>
    </row>
    <row r="1836" spans="1:17" x14ac:dyDescent="0.3">
      <c r="A1836" s="35"/>
      <c r="B1836" s="25"/>
      <c r="C1836" s="25"/>
      <c r="D1836" s="25"/>
      <c r="E1836" s="25"/>
      <c r="F1836" s="25"/>
      <c r="G1836" s="25"/>
      <c r="H1836" s="25"/>
      <c r="I1836" s="25"/>
      <c r="J1836" s="25"/>
      <c r="K1836" s="25"/>
      <c r="L1836" s="25"/>
      <c r="M1836" s="22" t="s">
        <v>86</v>
      </c>
      <c r="N1836" s="23">
        <v>46083</v>
      </c>
      <c r="O1836" s="26" t="str">
        <f t="shared" si="87"/>
        <v/>
      </c>
      <c r="P1836" s="26" t="str">
        <f t="shared" si="88"/>
        <v/>
      </c>
      <c r="Q1836" s="26" t="str">
        <f t="shared" si="89"/>
        <v/>
      </c>
    </row>
    <row r="1837" spans="1:17" x14ac:dyDescent="0.3">
      <c r="A1837" s="35"/>
      <c r="B1837" s="25"/>
      <c r="C1837" s="25"/>
      <c r="D1837" s="25"/>
      <c r="E1837" s="25"/>
      <c r="F1837" s="25"/>
      <c r="G1837" s="25"/>
      <c r="H1837" s="25"/>
      <c r="I1837" s="25"/>
      <c r="J1837" s="25"/>
      <c r="K1837" s="25"/>
      <c r="L1837" s="25"/>
      <c r="M1837" s="22" t="s">
        <v>86</v>
      </c>
      <c r="N1837" s="23">
        <v>46083</v>
      </c>
      <c r="O1837" s="26" t="str">
        <f t="shared" si="87"/>
        <v/>
      </c>
      <c r="P1837" s="26" t="str">
        <f t="shared" si="88"/>
        <v/>
      </c>
      <c r="Q1837" s="26" t="str">
        <f t="shared" si="89"/>
        <v/>
      </c>
    </row>
    <row r="1838" spans="1:17" x14ac:dyDescent="0.3">
      <c r="A1838" s="35"/>
      <c r="B1838" s="25"/>
      <c r="C1838" s="25"/>
      <c r="D1838" s="25"/>
      <c r="E1838" s="25"/>
      <c r="F1838" s="25"/>
      <c r="G1838" s="25"/>
      <c r="H1838" s="25"/>
      <c r="I1838" s="25"/>
      <c r="J1838" s="25"/>
      <c r="K1838" s="25"/>
      <c r="L1838" s="25"/>
      <c r="M1838" s="22" t="s">
        <v>86</v>
      </c>
      <c r="N1838" s="23">
        <v>46083</v>
      </c>
      <c r="O1838" s="26" t="str">
        <f t="shared" si="87"/>
        <v/>
      </c>
      <c r="P1838" s="26" t="str">
        <f t="shared" si="88"/>
        <v/>
      </c>
      <c r="Q1838" s="26" t="str">
        <f t="shared" si="89"/>
        <v/>
      </c>
    </row>
    <row r="1839" spans="1:17" x14ac:dyDescent="0.3">
      <c r="A1839" s="35"/>
      <c r="B1839" s="25"/>
      <c r="C1839" s="25"/>
      <c r="D1839" s="25"/>
      <c r="E1839" s="25"/>
      <c r="F1839" s="25"/>
      <c r="G1839" s="25"/>
      <c r="H1839" s="25"/>
      <c r="I1839" s="25"/>
      <c r="J1839" s="25"/>
      <c r="K1839" s="25"/>
      <c r="L1839" s="25"/>
      <c r="M1839" s="22" t="s">
        <v>86</v>
      </c>
      <c r="N1839" s="23">
        <v>46083</v>
      </c>
      <c r="O1839" s="26" t="str">
        <f t="shared" si="87"/>
        <v/>
      </c>
      <c r="P1839" s="26" t="str">
        <f t="shared" si="88"/>
        <v/>
      </c>
      <c r="Q1839" s="26" t="str">
        <f t="shared" si="89"/>
        <v/>
      </c>
    </row>
    <row r="1840" spans="1:17" x14ac:dyDescent="0.3">
      <c r="A1840" s="35"/>
      <c r="B1840" s="25"/>
      <c r="C1840" s="25"/>
      <c r="D1840" s="25"/>
      <c r="E1840" s="25"/>
      <c r="F1840" s="25"/>
      <c r="G1840" s="25"/>
      <c r="H1840" s="25"/>
      <c r="I1840" s="25"/>
      <c r="J1840" s="25"/>
      <c r="K1840" s="25"/>
      <c r="L1840" s="25"/>
      <c r="M1840" s="22" t="s">
        <v>86</v>
      </c>
      <c r="N1840" s="23">
        <v>46083</v>
      </c>
      <c r="O1840" s="26" t="str">
        <f t="shared" si="87"/>
        <v/>
      </c>
      <c r="P1840" s="26" t="str">
        <f t="shared" si="88"/>
        <v/>
      </c>
      <c r="Q1840" s="26" t="str">
        <f t="shared" si="89"/>
        <v/>
      </c>
    </row>
    <row r="1841" spans="1:17" x14ac:dyDescent="0.3">
      <c r="A1841" s="35"/>
      <c r="B1841" s="25"/>
      <c r="C1841" s="25"/>
      <c r="D1841" s="25"/>
      <c r="E1841" s="25"/>
      <c r="F1841" s="25"/>
      <c r="G1841" s="25"/>
      <c r="H1841" s="25"/>
      <c r="I1841" s="25"/>
      <c r="J1841" s="25"/>
      <c r="K1841" s="25"/>
      <c r="L1841" s="25"/>
      <c r="M1841" s="22" t="s">
        <v>86</v>
      </c>
      <c r="N1841" s="23">
        <v>46083</v>
      </c>
      <c r="O1841" s="26" t="str">
        <f t="shared" si="87"/>
        <v/>
      </c>
      <c r="P1841" s="26" t="str">
        <f t="shared" si="88"/>
        <v/>
      </c>
      <c r="Q1841" s="26" t="str">
        <f t="shared" si="89"/>
        <v/>
      </c>
    </row>
    <row r="1842" spans="1:17" x14ac:dyDescent="0.3">
      <c r="A1842" s="35"/>
      <c r="B1842" s="25"/>
      <c r="C1842" s="25"/>
      <c r="D1842" s="25"/>
      <c r="E1842" s="25"/>
      <c r="F1842" s="25"/>
      <c r="G1842" s="25"/>
      <c r="H1842" s="25"/>
      <c r="I1842" s="25"/>
      <c r="J1842" s="25"/>
      <c r="K1842" s="25"/>
      <c r="L1842" s="25"/>
      <c r="M1842" s="22" t="s">
        <v>86</v>
      </c>
      <c r="N1842" s="23">
        <v>46083</v>
      </c>
      <c r="O1842" s="26" t="str">
        <f t="shared" si="87"/>
        <v/>
      </c>
      <c r="P1842" s="26" t="str">
        <f t="shared" si="88"/>
        <v/>
      </c>
      <c r="Q1842" s="26" t="str">
        <f t="shared" si="89"/>
        <v/>
      </c>
    </row>
    <row r="1843" spans="1:17" x14ac:dyDescent="0.3">
      <c r="A1843" s="35"/>
      <c r="B1843" s="25"/>
      <c r="C1843" s="25"/>
      <c r="D1843" s="25"/>
      <c r="E1843" s="25"/>
      <c r="F1843" s="25"/>
      <c r="G1843" s="25"/>
      <c r="H1843" s="25"/>
      <c r="I1843" s="25"/>
      <c r="J1843" s="25"/>
      <c r="K1843" s="25"/>
      <c r="L1843" s="25"/>
      <c r="M1843" s="22" t="s">
        <v>86</v>
      </c>
      <c r="N1843" s="23">
        <v>46083</v>
      </c>
      <c r="O1843" s="26" t="str">
        <f t="shared" si="87"/>
        <v/>
      </c>
      <c r="P1843" s="26" t="str">
        <f t="shared" si="88"/>
        <v/>
      </c>
      <c r="Q1843" s="26" t="str">
        <f t="shared" si="89"/>
        <v/>
      </c>
    </row>
    <row r="1844" spans="1:17" x14ac:dyDescent="0.3">
      <c r="A1844" s="35"/>
      <c r="B1844" s="25"/>
      <c r="C1844" s="25"/>
      <c r="D1844" s="25"/>
      <c r="E1844" s="25"/>
      <c r="F1844" s="25"/>
      <c r="G1844" s="25"/>
      <c r="H1844" s="25"/>
      <c r="I1844" s="25"/>
      <c r="J1844" s="25"/>
      <c r="K1844" s="25"/>
      <c r="L1844" s="25"/>
      <c r="M1844" s="22" t="s">
        <v>86</v>
      </c>
      <c r="N1844" s="23">
        <v>46083</v>
      </c>
      <c r="O1844" s="26" t="str">
        <f t="shared" si="87"/>
        <v/>
      </c>
      <c r="P1844" s="26" t="str">
        <f t="shared" si="88"/>
        <v/>
      </c>
      <c r="Q1844" s="26" t="str">
        <f t="shared" si="89"/>
        <v/>
      </c>
    </row>
    <row r="1845" spans="1:17" x14ac:dyDescent="0.3">
      <c r="A1845" s="35"/>
      <c r="B1845" s="25"/>
      <c r="C1845" s="25"/>
      <c r="D1845" s="25"/>
      <c r="E1845" s="25"/>
      <c r="F1845" s="25"/>
      <c r="G1845" s="25"/>
      <c r="H1845" s="25"/>
      <c r="I1845" s="25"/>
      <c r="J1845" s="25"/>
      <c r="K1845" s="25"/>
      <c r="L1845" s="25"/>
      <c r="M1845" s="22" t="s">
        <v>86</v>
      </c>
      <c r="N1845" s="23">
        <v>46083</v>
      </c>
      <c r="O1845" s="26" t="str">
        <f t="shared" si="87"/>
        <v/>
      </c>
      <c r="P1845" s="26" t="str">
        <f t="shared" si="88"/>
        <v/>
      </c>
      <c r="Q1845" s="26" t="str">
        <f t="shared" si="89"/>
        <v/>
      </c>
    </row>
    <row r="1846" spans="1:17" x14ac:dyDescent="0.3">
      <c r="A1846" s="35"/>
      <c r="B1846" s="25"/>
      <c r="C1846" s="25"/>
      <c r="D1846" s="25"/>
      <c r="E1846" s="25"/>
      <c r="F1846" s="25"/>
      <c r="G1846" s="25"/>
      <c r="H1846" s="25"/>
      <c r="I1846" s="25"/>
      <c r="J1846" s="25"/>
      <c r="K1846" s="25"/>
      <c r="L1846" s="25"/>
      <c r="M1846" s="22" t="s">
        <v>86</v>
      </c>
      <c r="N1846" s="23">
        <v>46083</v>
      </c>
      <c r="O1846" s="26" t="str">
        <f t="shared" si="87"/>
        <v/>
      </c>
      <c r="P1846" s="26" t="str">
        <f t="shared" si="88"/>
        <v/>
      </c>
      <c r="Q1846" s="26" t="str">
        <f t="shared" si="89"/>
        <v/>
      </c>
    </row>
    <row r="1847" spans="1:17" x14ac:dyDescent="0.3">
      <c r="A1847" s="35"/>
      <c r="B1847" s="25"/>
      <c r="C1847" s="25"/>
      <c r="D1847" s="25"/>
      <c r="E1847" s="25"/>
      <c r="F1847" s="25"/>
      <c r="G1847" s="25"/>
      <c r="H1847" s="25"/>
      <c r="I1847" s="25"/>
      <c r="J1847" s="25"/>
      <c r="K1847" s="25"/>
      <c r="L1847" s="25"/>
      <c r="M1847" s="22" t="s">
        <v>86</v>
      </c>
      <c r="N1847" s="23">
        <v>46083</v>
      </c>
      <c r="O1847" s="26" t="str">
        <f t="shared" si="87"/>
        <v/>
      </c>
      <c r="P1847" s="26" t="str">
        <f t="shared" si="88"/>
        <v/>
      </c>
      <c r="Q1847" s="26" t="str">
        <f t="shared" si="89"/>
        <v/>
      </c>
    </row>
    <row r="1848" spans="1:17" x14ac:dyDescent="0.3">
      <c r="A1848" s="35"/>
      <c r="B1848" s="25"/>
      <c r="C1848" s="25"/>
      <c r="D1848" s="25"/>
      <c r="E1848" s="25"/>
      <c r="F1848" s="25"/>
      <c r="G1848" s="25"/>
      <c r="H1848" s="25"/>
      <c r="I1848" s="25"/>
      <c r="J1848" s="25"/>
      <c r="K1848" s="25"/>
      <c r="L1848" s="25"/>
      <c r="M1848" s="22" t="s">
        <v>86</v>
      </c>
      <c r="N1848" s="23">
        <v>46083</v>
      </c>
      <c r="O1848" s="26" t="str">
        <f t="shared" si="87"/>
        <v/>
      </c>
      <c r="P1848" s="26" t="str">
        <f t="shared" si="88"/>
        <v/>
      </c>
      <c r="Q1848" s="26" t="str">
        <f t="shared" si="89"/>
        <v/>
      </c>
    </row>
    <row r="1849" spans="1:17" x14ac:dyDescent="0.3">
      <c r="A1849" s="35"/>
      <c r="B1849" s="25"/>
      <c r="C1849" s="25"/>
      <c r="D1849" s="25"/>
      <c r="E1849" s="25"/>
      <c r="F1849" s="25"/>
      <c r="G1849" s="25"/>
      <c r="H1849" s="25"/>
      <c r="I1849" s="25"/>
      <c r="J1849" s="25"/>
      <c r="K1849" s="25"/>
      <c r="L1849" s="25"/>
      <c r="M1849" s="22" t="s">
        <v>86</v>
      </c>
      <c r="N1849" s="23">
        <v>46083</v>
      </c>
      <c r="O1849" s="26" t="str">
        <f t="shared" si="87"/>
        <v/>
      </c>
      <c r="P1849" s="26" t="str">
        <f t="shared" si="88"/>
        <v/>
      </c>
      <c r="Q1849" s="26" t="str">
        <f t="shared" si="89"/>
        <v/>
      </c>
    </row>
    <row r="1850" spans="1:17" x14ac:dyDescent="0.3">
      <c r="A1850" s="35"/>
      <c r="B1850" s="25"/>
      <c r="C1850" s="25"/>
      <c r="D1850" s="25"/>
      <c r="E1850" s="25"/>
      <c r="F1850" s="25"/>
      <c r="G1850" s="25"/>
      <c r="H1850" s="25"/>
      <c r="I1850" s="25"/>
      <c r="J1850" s="25"/>
      <c r="K1850" s="25"/>
      <c r="L1850" s="25"/>
      <c r="M1850" s="22" t="s">
        <v>86</v>
      </c>
      <c r="N1850" s="23">
        <v>46083</v>
      </c>
      <c r="O1850" s="26" t="str">
        <f t="shared" si="87"/>
        <v/>
      </c>
      <c r="P1850" s="26" t="str">
        <f t="shared" si="88"/>
        <v/>
      </c>
      <c r="Q1850" s="26" t="str">
        <f t="shared" si="89"/>
        <v/>
      </c>
    </row>
    <row r="1851" spans="1:17" x14ac:dyDescent="0.3">
      <c r="A1851" s="35"/>
      <c r="B1851" s="25"/>
      <c r="C1851" s="25"/>
      <c r="D1851" s="25"/>
      <c r="E1851" s="25"/>
      <c r="F1851" s="25"/>
      <c r="G1851" s="25"/>
      <c r="H1851" s="25"/>
      <c r="I1851" s="25"/>
      <c r="J1851" s="25"/>
      <c r="K1851" s="25"/>
      <c r="L1851" s="25"/>
      <c r="M1851" s="22" t="s">
        <v>86</v>
      </c>
      <c r="N1851" s="23">
        <v>46083</v>
      </c>
      <c r="O1851" s="26" t="str">
        <f t="shared" si="87"/>
        <v/>
      </c>
      <c r="P1851" s="26" t="str">
        <f t="shared" si="88"/>
        <v/>
      </c>
      <c r="Q1851" s="26" t="str">
        <f t="shared" si="89"/>
        <v/>
      </c>
    </row>
    <row r="1852" spans="1:17" x14ac:dyDescent="0.3">
      <c r="A1852" s="35"/>
      <c r="B1852" s="25"/>
      <c r="C1852" s="25"/>
      <c r="D1852" s="25"/>
      <c r="E1852" s="25"/>
      <c r="F1852" s="25"/>
      <c r="G1852" s="25"/>
      <c r="H1852" s="25"/>
      <c r="I1852" s="25"/>
      <c r="J1852" s="25"/>
      <c r="K1852" s="25"/>
      <c r="L1852" s="25"/>
      <c r="M1852" s="22" t="s">
        <v>86</v>
      </c>
      <c r="N1852" s="23">
        <v>46083</v>
      </c>
      <c r="O1852" s="26" t="str">
        <f t="shared" si="87"/>
        <v/>
      </c>
      <c r="P1852" s="26" t="str">
        <f t="shared" si="88"/>
        <v/>
      </c>
      <c r="Q1852" s="26" t="str">
        <f t="shared" si="89"/>
        <v/>
      </c>
    </row>
    <row r="1853" spans="1:17" x14ac:dyDescent="0.3">
      <c r="A1853" s="35"/>
      <c r="B1853" s="25"/>
      <c r="C1853" s="25"/>
      <c r="D1853" s="25"/>
      <c r="E1853" s="25"/>
      <c r="F1853" s="25"/>
      <c r="G1853" s="25"/>
      <c r="H1853" s="25"/>
      <c r="I1853" s="25"/>
      <c r="J1853" s="25"/>
      <c r="K1853" s="25"/>
      <c r="L1853" s="25"/>
      <c r="M1853" s="22" t="s">
        <v>86</v>
      </c>
      <c r="N1853" s="23">
        <v>46083</v>
      </c>
      <c r="O1853" s="26" t="str">
        <f t="shared" si="87"/>
        <v/>
      </c>
      <c r="P1853" s="26" t="str">
        <f t="shared" si="88"/>
        <v/>
      </c>
      <c r="Q1853" s="26" t="str">
        <f t="shared" si="89"/>
        <v/>
      </c>
    </row>
    <row r="1854" spans="1:17" x14ac:dyDescent="0.3">
      <c r="A1854" s="35"/>
      <c r="B1854" s="25"/>
      <c r="C1854" s="25"/>
      <c r="D1854" s="25"/>
      <c r="E1854" s="25"/>
      <c r="F1854" s="25"/>
      <c r="G1854" s="25"/>
      <c r="H1854" s="25"/>
      <c r="I1854" s="25"/>
      <c r="J1854" s="25"/>
      <c r="K1854" s="25"/>
      <c r="L1854" s="25"/>
      <c r="M1854" s="22" t="s">
        <v>86</v>
      </c>
      <c r="N1854" s="23">
        <v>46083</v>
      </c>
      <c r="O1854" s="26" t="str">
        <f t="shared" si="87"/>
        <v/>
      </c>
      <c r="P1854" s="26" t="str">
        <f t="shared" si="88"/>
        <v/>
      </c>
      <c r="Q1854" s="26" t="str">
        <f t="shared" si="89"/>
        <v/>
      </c>
    </row>
    <row r="1855" spans="1:17" x14ac:dyDescent="0.3">
      <c r="A1855" s="35"/>
      <c r="B1855" s="25"/>
      <c r="C1855" s="25"/>
      <c r="D1855" s="25"/>
      <c r="E1855" s="25"/>
      <c r="F1855" s="25"/>
      <c r="G1855" s="25"/>
      <c r="H1855" s="25"/>
      <c r="I1855" s="25"/>
      <c r="J1855" s="25"/>
      <c r="K1855" s="25"/>
      <c r="L1855" s="25"/>
      <c r="M1855" s="22" t="s">
        <v>86</v>
      </c>
      <c r="N1855" s="23">
        <v>46083</v>
      </c>
      <c r="O1855" s="26" t="str">
        <f t="shared" si="87"/>
        <v/>
      </c>
      <c r="P1855" s="26" t="str">
        <f t="shared" si="88"/>
        <v/>
      </c>
      <c r="Q1855" s="26" t="str">
        <f t="shared" si="89"/>
        <v/>
      </c>
    </row>
    <row r="1856" spans="1:17" x14ac:dyDescent="0.3">
      <c r="A1856" s="35"/>
      <c r="B1856" s="25"/>
      <c r="C1856" s="25"/>
      <c r="D1856" s="25"/>
      <c r="E1856" s="25"/>
      <c r="F1856" s="25"/>
      <c r="G1856" s="25"/>
      <c r="H1856" s="25"/>
      <c r="I1856" s="25"/>
      <c r="J1856" s="25"/>
      <c r="K1856" s="25"/>
      <c r="L1856" s="25"/>
      <c r="M1856" s="22" t="s">
        <v>86</v>
      </c>
      <c r="N1856" s="23">
        <v>46083</v>
      </c>
      <c r="O1856" s="26" t="str">
        <f t="shared" si="87"/>
        <v/>
      </c>
      <c r="P1856" s="26" t="str">
        <f t="shared" si="88"/>
        <v/>
      </c>
      <c r="Q1856" s="26" t="str">
        <f t="shared" si="89"/>
        <v/>
      </c>
    </row>
    <row r="1857" spans="1:17" x14ac:dyDescent="0.3">
      <c r="A1857" s="35"/>
      <c r="B1857" s="25"/>
      <c r="C1857" s="25"/>
      <c r="D1857" s="25"/>
      <c r="E1857" s="25"/>
      <c r="F1857" s="25"/>
      <c r="G1857" s="25"/>
      <c r="H1857" s="25"/>
      <c r="I1857" s="25"/>
      <c r="J1857" s="25"/>
      <c r="K1857" s="25"/>
      <c r="L1857" s="25"/>
      <c r="M1857" s="22" t="s">
        <v>86</v>
      </c>
      <c r="N1857" s="23">
        <v>46083</v>
      </c>
      <c r="O1857" s="26" t="str">
        <f t="shared" si="87"/>
        <v/>
      </c>
      <c r="P1857" s="26" t="str">
        <f t="shared" si="88"/>
        <v/>
      </c>
      <c r="Q1857" s="26" t="str">
        <f t="shared" si="89"/>
        <v/>
      </c>
    </row>
    <row r="1858" spans="1:17" x14ac:dyDescent="0.3">
      <c r="A1858" s="35"/>
      <c r="B1858" s="25"/>
      <c r="C1858" s="25"/>
      <c r="D1858" s="25"/>
      <c r="E1858" s="25"/>
      <c r="F1858" s="25"/>
      <c r="G1858" s="25"/>
      <c r="H1858" s="25"/>
      <c r="I1858" s="25"/>
      <c r="J1858" s="25"/>
      <c r="K1858" s="25"/>
      <c r="L1858" s="25"/>
      <c r="M1858" s="22" t="s">
        <v>86</v>
      </c>
      <c r="N1858" s="23">
        <v>46083</v>
      </c>
      <c r="O1858" s="26" t="str">
        <f t="shared" ref="O1858:O1921" si="90">IF(A1858="","",IFERROR(IF(AND(LEN(A1858)=10,NOT(ISERROR(VALUE(A1858)))),"OK","확인"),"확인"))</f>
        <v/>
      </c>
      <c r="P1858" s="26" t="str">
        <f t="shared" ref="P1858:P1921" si="91">IF(A1858="","",IF(COUNTIF($A$2:$A$1946,A1858)&gt;1,"중복",""))</f>
        <v/>
      </c>
      <c r="Q1858" s="26" t="str">
        <f t="shared" ref="Q1858:Q1921" si="92">IF(G1858="","",IF(ISNUMBER(SEARCH("@",G1858)),"","확인"))</f>
        <v/>
      </c>
    </row>
    <row r="1859" spans="1:17" x14ac:dyDescent="0.3">
      <c r="A1859" s="35"/>
      <c r="B1859" s="25"/>
      <c r="C1859" s="25"/>
      <c r="D1859" s="25"/>
      <c r="E1859" s="25"/>
      <c r="F1859" s="25"/>
      <c r="G1859" s="25"/>
      <c r="H1859" s="25"/>
      <c r="I1859" s="25"/>
      <c r="J1859" s="25"/>
      <c r="K1859" s="25"/>
      <c r="L1859" s="25"/>
      <c r="M1859" s="22" t="s">
        <v>86</v>
      </c>
      <c r="N1859" s="23">
        <v>46083</v>
      </c>
      <c r="O1859" s="26" t="str">
        <f t="shared" si="90"/>
        <v/>
      </c>
      <c r="P1859" s="26" t="str">
        <f t="shared" si="91"/>
        <v/>
      </c>
      <c r="Q1859" s="26" t="str">
        <f t="shared" si="92"/>
        <v/>
      </c>
    </row>
    <row r="1860" spans="1:17" x14ac:dyDescent="0.3">
      <c r="A1860" s="35"/>
      <c r="B1860" s="25"/>
      <c r="C1860" s="25"/>
      <c r="D1860" s="25"/>
      <c r="E1860" s="25"/>
      <c r="F1860" s="25"/>
      <c r="G1860" s="25"/>
      <c r="H1860" s="25"/>
      <c r="I1860" s="25"/>
      <c r="J1860" s="25"/>
      <c r="K1860" s="25"/>
      <c r="L1860" s="25"/>
      <c r="M1860" s="22" t="s">
        <v>86</v>
      </c>
      <c r="N1860" s="23">
        <v>46083</v>
      </c>
      <c r="O1860" s="26" t="str">
        <f t="shared" si="90"/>
        <v/>
      </c>
      <c r="P1860" s="26" t="str">
        <f t="shared" si="91"/>
        <v/>
      </c>
      <c r="Q1860" s="26" t="str">
        <f t="shared" si="92"/>
        <v/>
      </c>
    </row>
    <row r="1861" spans="1:17" x14ac:dyDescent="0.3">
      <c r="A1861" s="35"/>
      <c r="B1861" s="25"/>
      <c r="C1861" s="25"/>
      <c r="D1861" s="25"/>
      <c r="E1861" s="25"/>
      <c r="F1861" s="25"/>
      <c r="G1861" s="25"/>
      <c r="H1861" s="25"/>
      <c r="I1861" s="25"/>
      <c r="J1861" s="25"/>
      <c r="K1861" s="25"/>
      <c r="L1861" s="25"/>
      <c r="M1861" s="22" t="s">
        <v>86</v>
      </c>
      <c r="N1861" s="23">
        <v>46083</v>
      </c>
      <c r="O1861" s="26" t="str">
        <f t="shared" si="90"/>
        <v/>
      </c>
      <c r="P1861" s="26" t="str">
        <f t="shared" si="91"/>
        <v/>
      </c>
      <c r="Q1861" s="26" t="str">
        <f t="shared" si="92"/>
        <v/>
      </c>
    </row>
    <row r="1862" spans="1:17" x14ac:dyDescent="0.3">
      <c r="A1862" s="35"/>
      <c r="B1862" s="25"/>
      <c r="C1862" s="25"/>
      <c r="D1862" s="25"/>
      <c r="E1862" s="25"/>
      <c r="F1862" s="25"/>
      <c r="G1862" s="25"/>
      <c r="H1862" s="25"/>
      <c r="I1862" s="25"/>
      <c r="J1862" s="25"/>
      <c r="K1862" s="25"/>
      <c r="L1862" s="25"/>
      <c r="M1862" s="22" t="s">
        <v>86</v>
      </c>
      <c r="N1862" s="23">
        <v>46083</v>
      </c>
      <c r="O1862" s="26" t="str">
        <f t="shared" si="90"/>
        <v/>
      </c>
      <c r="P1862" s="26" t="str">
        <f t="shared" si="91"/>
        <v/>
      </c>
      <c r="Q1862" s="26" t="str">
        <f t="shared" si="92"/>
        <v/>
      </c>
    </row>
    <row r="1863" spans="1:17" x14ac:dyDescent="0.3">
      <c r="A1863" s="35"/>
      <c r="B1863" s="25"/>
      <c r="C1863" s="25"/>
      <c r="D1863" s="25"/>
      <c r="E1863" s="25"/>
      <c r="F1863" s="25"/>
      <c r="G1863" s="25"/>
      <c r="H1863" s="25"/>
      <c r="I1863" s="25"/>
      <c r="J1863" s="25"/>
      <c r="K1863" s="25"/>
      <c r="L1863" s="25"/>
      <c r="M1863" s="22" t="s">
        <v>86</v>
      </c>
      <c r="N1863" s="23">
        <v>46083</v>
      </c>
      <c r="O1863" s="26" t="str">
        <f t="shared" si="90"/>
        <v/>
      </c>
      <c r="P1863" s="26" t="str">
        <f t="shared" si="91"/>
        <v/>
      </c>
      <c r="Q1863" s="26" t="str">
        <f t="shared" si="92"/>
        <v/>
      </c>
    </row>
    <row r="1864" spans="1:17" x14ac:dyDescent="0.3">
      <c r="A1864" s="35"/>
      <c r="B1864" s="25"/>
      <c r="C1864" s="25"/>
      <c r="D1864" s="25"/>
      <c r="E1864" s="25"/>
      <c r="F1864" s="25"/>
      <c r="G1864" s="25"/>
      <c r="H1864" s="25"/>
      <c r="I1864" s="25"/>
      <c r="J1864" s="25"/>
      <c r="K1864" s="25"/>
      <c r="L1864" s="25"/>
      <c r="M1864" s="22" t="s">
        <v>86</v>
      </c>
      <c r="N1864" s="23">
        <v>46083</v>
      </c>
      <c r="O1864" s="26" t="str">
        <f t="shared" si="90"/>
        <v/>
      </c>
      <c r="P1864" s="26" t="str">
        <f t="shared" si="91"/>
        <v/>
      </c>
      <c r="Q1864" s="26" t="str">
        <f t="shared" si="92"/>
        <v/>
      </c>
    </row>
    <row r="1865" spans="1:17" x14ac:dyDescent="0.3">
      <c r="A1865" s="35"/>
      <c r="B1865" s="25"/>
      <c r="C1865" s="25"/>
      <c r="D1865" s="25"/>
      <c r="E1865" s="25"/>
      <c r="F1865" s="25"/>
      <c r="G1865" s="25"/>
      <c r="H1865" s="25"/>
      <c r="I1865" s="25"/>
      <c r="J1865" s="25"/>
      <c r="K1865" s="25"/>
      <c r="L1865" s="25"/>
      <c r="M1865" s="22" t="s">
        <v>86</v>
      </c>
      <c r="N1865" s="23">
        <v>46083</v>
      </c>
      <c r="O1865" s="26" t="str">
        <f t="shared" si="90"/>
        <v/>
      </c>
      <c r="P1865" s="26" t="str">
        <f t="shared" si="91"/>
        <v/>
      </c>
      <c r="Q1865" s="26" t="str">
        <f t="shared" si="92"/>
        <v/>
      </c>
    </row>
    <row r="1866" spans="1:17" x14ac:dyDescent="0.3">
      <c r="A1866" s="35"/>
      <c r="B1866" s="25"/>
      <c r="C1866" s="25"/>
      <c r="D1866" s="25"/>
      <c r="E1866" s="25"/>
      <c r="F1866" s="25"/>
      <c r="G1866" s="25"/>
      <c r="H1866" s="25"/>
      <c r="I1866" s="25"/>
      <c r="J1866" s="25"/>
      <c r="K1866" s="25"/>
      <c r="L1866" s="25"/>
      <c r="M1866" s="22" t="s">
        <v>86</v>
      </c>
      <c r="N1866" s="23">
        <v>46083</v>
      </c>
      <c r="O1866" s="26" t="str">
        <f t="shared" si="90"/>
        <v/>
      </c>
      <c r="P1866" s="26" t="str">
        <f t="shared" si="91"/>
        <v/>
      </c>
      <c r="Q1866" s="26" t="str">
        <f t="shared" si="92"/>
        <v/>
      </c>
    </row>
    <row r="1867" spans="1:17" x14ac:dyDescent="0.3">
      <c r="A1867" s="35"/>
      <c r="B1867" s="25"/>
      <c r="C1867" s="25"/>
      <c r="D1867" s="25"/>
      <c r="E1867" s="25"/>
      <c r="F1867" s="25"/>
      <c r="G1867" s="25"/>
      <c r="H1867" s="25"/>
      <c r="I1867" s="25"/>
      <c r="J1867" s="25"/>
      <c r="K1867" s="25"/>
      <c r="L1867" s="25"/>
      <c r="M1867" s="22" t="s">
        <v>86</v>
      </c>
      <c r="N1867" s="23">
        <v>46083</v>
      </c>
      <c r="O1867" s="26" t="str">
        <f t="shared" si="90"/>
        <v/>
      </c>
      <c r="P1867" s="26" t="str">
        <f t="shared" si="91"/>
        <v/>
      </c>
      <c r="Q1867" s="26" t="str">
        <f t="shared" si="92"/>
        <v/>
      </c>
    </row>
    <row r="1868" spans="1:17" x14ac:dyDescent="0.3">
      <c r="A1868" s="35"/>
      <c r="B1868" s="25"/>
      <c r="C1868" s="25"/>
      <c r="D1868" s="25"/>
      <c r="E1868" s="25"/>
      <c r="F1868" s="25"/>
      <c r="G1868" s="25"/>
      <c r="H1868" s="25"/>
      <c r="I1868" s="25"/>
      <c r="J1868" s="25"/>
      <c r="K1868" s="25"/>
      <c r="L1868" s="25"/>
      <c r="M1868" s="22" t="s">
        <v>86</v>
      </c>
      <c r="N1868" s="23">
        <v>46083</v>
      </c>
      <c r="O1868" s="26" t="str">
        <f t="shared" si="90"/>
        <v/>
      </c>
      <c r="P1868" s="26" t="str">
        <f t="shared" si="91"/>
        <v/>
      </c>
      <c r="Q1868" s="26" t="str">
        <f t="shared" si="92"/>
        <v/>
      </c>
    </row>
    <row r="1869" spans="1:17" x14ac:dyDescent="0.3">
      <c r="A1869" s="35"/>
      <c r="B1869" s="25"/>
      <c r="C1869" s="25"/>
      <c r="D1869" s="25"/>
      <c r="E1869" s="25"/>
      <c r="F1869" s="25"/>
      <c r="G1869" s="25"/>
      <c r="H1869" s="25"/>
      <c r="I1869" s="25"/>
      <c r="J1869" s="25"/>
      <c r="K1869" s="25"/>
      <c r="L1869" s="25"/>
      <c r="M1869" s="22" t="s">
        <v>86</v>
      </c>
      <c r="N1869" s="23">
        <v>46083</v>
      </c>
      <c r="O1869" s="26" t="str">
        <f t="shared" si="90"/>
        <v/>
      </c>
      <c r="P1869" s="26" t="str">
        <f t="shared" si="91"/>
        <v/>
      </c>
      <c r="Q1869" s="26" t="str">
        <f t="shared" si="92"/>
        <v/>
      </c>
    </row>
    <row r="1870" spans="1:17" x14ac:dyDescent="0.3">
      <c r="A1870" s="35"/>
      <c r="B1870" s="25"/>
      <c r="C1870" s="25"/>
      <c r="D1870" s="25"/>
      <c r="E1870" s="25"/>
      <c r="F1870" s="25"/>
      <c r="G1870" s="25"/>
      <c r="H1870" s="25"/>
      <c r="I1870" s="25"/>
      <c r="J1870" s="25"/>
      <c r="K1870" s="25"/>
      <c r="L1870" s="25"/>
      <c r="M1870" s="22" t="s">
        <v>86</v>
      </c>
      <c r="N1870" s="23">
        <v>46083</v>
      </c>
      <c r="O1870" s="26" t="str">
        <f t="shared" si="90"/>
        <v/>
      </c>
      <c r="P1870" s="26" t="str">
        <f t="shared" si="91"/>
        <v/>
      </c>
      <c r="Q1870" s="26" t="str">
        <f t="shared" si="92"/>
        <v/>
      </c>
    </row>
    <row r="1871" spans="1:17" x14ac:dyDescent="0.3">
      <c r="A1871" s="35"/>
      <c r="B1871" s="25"/>
      <c r="C1871" s="25"/>
      <c r="D1871" s="25"/>
      <c r="E1871" s="25"/>
      <c r="F1871" s="25"/>
      <c r="G1871" s="25"/>
      <c r="H1871" s="25"/>
      <c r="I1871" s="25"/>
      <c r="J1871" s="25"/>
      <c r="K1871" s="25"/>
      <c r="L1871" s="25"/>
      <c r="M1871" s="22" t="s">
        <v>86</v>
      </c>
      <c r="N1871" s="23">
        <v>46083</v>
      </c>
      <c r="O1871" s="26" t="str">
        <f t="shared" si="90"/>
        <v/>
      </c>
      <c r="P1871" s="26" t="str">
        <f t="shared" si="91"/>
        <v/>
      </c>
      <c r="Q1871" s="26" t="str">
        <f t="shared" si="92"/>
        <v/>
      </c>
    </row>
    <row r="1872" spans="1:17" x14ac:dyDescent="0.3">
      <c r="A1872" s="35"/>
      <c r="B1872" s="25"/>
      <c r="C1872" s="25"/>
      <c r="D1872" s="25"/>
      <c r="E1872" s="25"/>
      <c r="F1872" s="25"/>
      <c r="G1872" s="25"/>
      <c r="H1872" s="25"/>
      <c r="I1872" s="25"/>
      <c r="J1872" s="25"/>
      <c r="K1872" s="25"/>
      <c r="L1872" s="25"/>
      <c r="M1872" s="22" t="s">
        <v>86</v>
      </c>
      <c r="N1872" s="23">
        <v>46083</v>
      </c>
      <c r="O1872" s="26" t="str">
        <f t="shared" si="90"/>
        <v/>
      </c>
      <c r="P1872" s="26" t="str">
        <f t="shared" si="91"/>
        <v/>
      </c>
      <c r="Q1872" s="26" t="str">
        <f t="shared" si="92"/>
        <v/>
      </c>
    </row>
    <row r="1873" spans="1:17" x14ac:dyDescent="0.3">
      <c r="A1873" s="35"/>
      <c r="B1873" s="25"/>
      <c r="C1873" s="25"/>
      <c r="D1873" s="25"/>
      <c r="E1873" s="25"/>
      <c r="F1873" s="25"/>
      <c r="G1873" s="25"/>
      <c r="H1873" s="25"/>
      <c r="I1873" s="25"/>
      <c r="J1873" s="25"/>
      <c r="K1873" s="25"/>
      <c r="L1873" s="25"/>
      <c r="M1873" s="22" t="s">
        <v>86</v>
      </c>
      <c r="N1873" s="23">
        <v>46083</v>
      </c>
      <c r="O1873" s="26" t="str">
        <f t="shared" si="90"/>
        <v/>
      </c>
      <c r="P1873" s="26" t="str">
        <f t="shared" si="91"/>
        <v/>
      </c>
      <c r="Q1873" s="26" t="str">
        <f t="shared" si="92"/>
        <v/>
      </c>
    </row>
    <row r="1874" spans="1:17" x14ac:dyDescent="0.3">
      <c r="A1874" s="35"/>
      <c r="B1874" s="25"/>
      <c r="C1874" s="25"/>
      <c r="D1874" s="25"/>
      <c r="E1874" s="25"/>
      <c r="F1874" s="25"/>
      <c r="G1874" s="25"/>
      <c r="H1874" s="25"/>
      <c r="I1874" s="25"/>
      <c r="J1874" s="25"/>
      <c r="K1874" s="25"/>
      <c r="L1874" s="25"/>
      <c r="M1874" s="22" t="s">
        <v>86</v>
      </c>
      <c r="N1874" s="23">
        <v>46083</v>
      </c>
      <c r="O1874" s="26" t="str">
        <f t="shared" si="90"/>
        <v/>
      </c>
      <c r="P1874" s="26" t="str">
        <f t="shared" si="91"/>
        <v/>
      </c>
      <c r="Q1874" s="26" t="str">
        <f t="shared" si="92"/>
        <v/>
      </c>
    </row>
    <row r="1875" spans="1:17" x14ac:dyDescent="0.3">
      <c r="A1875" s="35"/>
      <c r="B1875" s="25"/>
      <c r="C1875" s="25"/>
      <c r="D1875" s="25"/>
      <c r="E1875" s="25"/>
      <c r="F1875" s="25"/>
      <c r="G1875" s="25"/>
      <c r="H1875" s="25"/>
      <c r="I1875" s="25"/>
      <c r="J1875" s="25"/>
      <c r="K1875" s="25"/>
      <c r="L1875" s="25"/>
      <c r="M1875" s="22" t="s">
        <v>86</v>
      </c>
      <c r="N1875" s="23">
        <v>46083</v>
      </c>
      <c r="O1875" s="26" t="str">
        <f t="shared" si="90"/>
        <v/>
      </c>
      <c r="P1875" s="26" t="str">
        <f t="shared" si="91"/>
        <v/>
      </c>
      <c r="Q1875" s="26" t="str">
        <f t="shared" si="92"/>
        <v/>
      </c>
    </row>
    <row r="1876" spans="1:17" x14ac:dyDescent="0.3">
      <c r="A1876" s="35"/>
      <c r="B1876" s="25"/>
      <c r="C1876" s="25"/>
      <c r="D1876" s="25"/>
      <c r="E1876" s="25"/>
      <c r="F1876" s="25"/>
      <c r="G1876" s="25"/>
      <c r="H1876" s="25"/>
      <c r="I1876" s="25"/>
      <c r="J1876" s="25"/>
      <c r="K1876" s="25"/>
      <c r="L1876" s="25"/>
      <c r="M1876" s="22" t="s">
        <v>86</v>
      </c>
      <c r="N1876" s="23">
        <v>46083</v>
      </c>
      <c r="O1876" s="26" t="str">
        <f t="shared" si="90"/>
        <v/>
      </c>
      <c r="P1876" s="26" t="str">
        <f t="shared" si="91"/>
        <v/>
      </c>
      <c r="Q1876" s="26" t="str">
        <f t="shared" si="92"/>
        <v/>
      </c>
    </row>
    <row r="1877" spans="1:17" x14ac:dyDescent="0.3">
      <c r="A1877" s="35"/>
      <c r="B1877" s="25"/>
      <c r="C1877" s="25"/>
      <c r="D1877" s="25"/>
      <c r="E1877" s="25"/>
      <c r="F1877" s="25"/>
      <c r="G1877" s="25"/>
      <c r="H1877" s="25"/>
      <c r="I1877" s="25"/>
      <c r="J1877" s="25"/>
      <c r="K1877" s="25"/>
      <c r="L1877" s="25"/>
      <c r="M1877" s="22" t="s">
        <v>86</v>
      </c>
      <c r="N1877" s="23">
        <v>46083</v>
      </c>
      <c r="O1877" s="26" t="str">
        <f t="shared" si="90"/>
        <v/>
      </c>
      <c r="P1877" s="26" t="str">
        <f t="shared" si="91"/>
        <v/>
      </c>
      <c r="Q1877" s="26" t="str">
        <f t="shared" si="92"/>
        <v/>
      </c>
    </row>
    <row r="1878" spans="1:17" x14ac:dyDescent="0.3">
      <c r="A1878" s="35"/>
      <c r="B1878" s="25"/>
      <c r="C1878" s="25"/>
      <c r="D1878" s="25"/>
      <c r="E1878" s="25"/>
      <c r="F1878" s="25"/>
      <c r="G1878" s="25"/>
      <c r="H1878" s="25"/>
      <c r="I1878" s="25"/>
      <c r="J1878" s="25"/>
      <c r="K1878" s="25"/>
      <c r="L1878" s="25"/>
      <c r="M1878" s="22" t="s">
        <v>86</v>
      </c>
      <c r="N1878" s="23">
        <v>46083</v>
      </c>
      <c r="O1878" s="26" t="str">
        <f t="shared" si="90"/>
        <v/>
      </c>
      <c r="P1878" s="26" t="str">
        <f t="shared" si="91"/>
        <v/>
      </c>
      <c r="Q1878" s="26" t="str">
        <f t="shared" si="92"/>
        <v/>
      </c>
    </row>
    <row r="1879" spans="1:17" x14ac:dyDescent="0.3">
      <c r="A1879" s="35"/>
      <c r="B1879" s="25"/>
      <c r="C1879" s="25"/>
      <c r="D1879" s="25"/>
      <c r="E1879" s="25"/>
      <c r="F1879" s="25"/>
      <c r="G1879" s="25"/>
      <c r="H1879" s="25"/>
      <c r="I1879" s="25"/>
      <c r="J1879" s="25"/>
      <c r="K1879" s="25"/>
      <c r="L1879" s="25"/>
      <c r="M1879" s="22" t="s">
        <v>86</v>
      </c>
      <c r="N1879" s="23">
        <v>46083</v>
      </c>
      <c r="O1879" s="26" t="str">
        <f t="shared" si="90"/>
        <v/>
      </c>
      <c r="P1879" s="26" t="str">
        <f t="shared" si="91"/>
        <v/>
      </c>
      <c r="Q1879" s="26" t="str">
        <f t="shared" si="92"/>
        <v/>
      </c>
    </row>
    <row r="1880" spans="1:17" x14ac:dyDescent="0.3">
      <c r="A1880" s="35"/>
      <c r="B1880" s="25"/>
      <c r="C1880" s="25"/>
      <c r="D1880" s="25"/>
      <c r="E1880" s="25"/>
      <c r="F1880" s="25"/>
      <c r="G1880" s="25"/>
      <c r="H1880" s="25"/>
      <c r="I1880" s="25"/>
      <c r="J1880" s="25"/>
      <c r="K1880" s="25"/>
      <c r="L1880" s="25"/>
      <c r="M1880" s="22" t="s">
        <v>86</v>
      </c>
      <c r="N1880" s="23">
        <v>46083</v>
      </c>
      <c r="O1880" s="26" t="str">
        <f t="shared" si="90"/>
        <v/>
      </c>
      <c r="P1880" s="26" t="str">
        <f t="shared" si="91"/>
        <v/>
      </c>
      <c r="Q1880" s="26" t="str">
        <f t="shared" si="92"/>
        <v/>
      </c>
    </row>
    <row r="1881" spans="1:17" x14ac:dyDescent="0.3">
      <c r="A1881" s="35"/>
      <c r="B1881" s="25"/>
      <c r="C1881" s="25"/>
      <c r="D1881" s="25"/>
      <c r="E1881" s="25"/>
      <c r="F1881" s="25"/>
      <c r="G1881" s="25"/>
      <c r="H1881" s="25"/>
      <c r="I1881" s="25"/>
      <c r="J1881" s="25"/>
      <c r="K1881" s="25"/>
      <c r="L1881" s="25"/>
      <c r="M1881" s="22" t="s">
        <v>86</v>
      </c>
      <c r="N1881" s="23">
        <v>46083</v>
      </c>
      <c r="O1881" s="26" t="str">
        <f t="shared" si="90"/>
        <v/>
      </c>
      <c r="P1881" s="26" t="str">
        <f t="shared" si="91"/>
        <v/>
      </c>
      <c r="Q1881" s="26" t="str">
        <f t="shared" si="92"/>
        <v/>
      </c>
    </row>
    <row r="1882" spans="1:17" x14ac:dyDescent="0.3">
      <c r="A1882" s="35"/>
      <c r="B1882" s="25"/>
      <c r="C1882" s="25"/>
      <c r="D1882" s="25"/>
      <c r="E1882" s="25"/>
      <c r="F1882" s="25"/>
      <c r="G1882" s="25"/>
      <c r="H1882" s="25"/>
      <c r="I1882" s="25"/>
      <c r="J1882" s="25"/>
      <c r="K1882" s="25"/>
      <c r="L1882" s="25"/>
      <c r="M1882" s="22" t="s">
        <v>86</v>
      </c>
      <c r="N1882" s="23">
        <v>46083</v>
      </c>
      <c r="O1882" s="26" t="str">
        <f t="shared" si="90"/>
        <v/>
      </c>
      <c r="P1882" s="26" t="str">
        <f t="shared" si="91"/>
        <v/>
      </c>
      <c r="Q1882" s="26" t="str">
        <f t="shared" si="92"/>
        <v/>
      </c>
    </row>
    <row r="1883" spans="1:17" x14ac:dyDescent="0.3">
      <c r="A1883" s="35"/>
      <c r="B1883" s="25"/>
      <c r="C1883" s="25"/>
      <c r="D1883" s="25"/>
      <c r="E1883" s="25"/>
      <c r="F1883" s="25"/>
      <c r="G1883" s="25"/>
      <c r="H1883" s="25"/>
      <c r="I1883" s="25"/>
      <c r="J1883" s="25"/>
      <c r="K1883" s="25"/>
      <c r="L1883" s="25"/>
      <c r="M1883" s="22" t="s">
        <v>86</v>
      </c>
      <c r="N1883" s="23">
        <v>46083</v>
      </c>
      <c r="O1883" s="26" t="str">
        <f t="shared" si="90"/>
        <v/>
      </c>
      <c r="P1883" s="26" t="str">
        <f t="shared" si="91"/>
        <v/>
      </c>
      <c r="Q1883" s="26" t="str">
        <f t="shared" si="92"/>
        <v/>
      </c>
    </row>
    <row r="1884" spans="1:17" x14ac:dyDescent="0.3">
      <c r="A1884" s="35"/>
      <c r="B1884" s="25"/>
      <c r="C1884" s="25"/>
      <c r="D1884" s="25"/>
      <c r="E1884" s="25"/>
      <c r="F1884" s="25"/>
      <c r="G1884" s="25"/>
      <c r="H1884" s="25"/>
      <c r="I1884" s="25"/>
      <c r="J1884" s="25"/>
      <c r="K1884" s="25"/>
      <c r="L1884" s="25"/>
      <c r="M1884" s="22" t="s">
        <v>86</v>
      </c>
      <c r="N1884" s="23">
        <v>46083</v>
      </c>
      <c r="O1884" s="26" t="str">
        <f t="shared" si="90"/>
        <v/>
      </c>
      <c r="P1884" s="26" t="str">
        <f t="shared" si="91"/>
        <v/>
      </c>
      <c r="Q1884" s="26" t="str">
        <f t="shared" si="92"/>
        <v/>
      </c>
    </row>
    <row r="1885" spans="1:17" x14ac:dyDescent="0.3">
      <c r="A1885" s="35"/>
      <c r="B1885" s="25"/>
      <c r="C1885" s="25"/>
      <c r="D1885" s="25"/>
      <c r="E1885" s="25"/>
      <c r="F1885" s="25"/>
      <c r="G1885" s="25"/>
      <c r="H1885" s="25"/>
      <c r="I1885" s="25"/>
      <c r="J1885" s="25"/>
      <c r="K1885" s="25"/>
      <c r="L1885" s="25"/>
      <c r="M1885" s="22" t="s">
        <v>86</v>
      </c>
      <c r="N1885" s="23">
        <v>46083</v>
      </c>
      <c r="O1885" s="26" t="str">
        <f t="shared" si="90"/>
        <v/>
      </c>
      <c r="P1885" s="26" t="str">
        <f t="shared" si="91"/>
        <v/>
      </c>
      <c r="Q1885" s="26" t="str">
        <f t="shared" si="92"/>
        <v/>
      </c>
    </row>
    <row r="1886" spans="1:17" x14ac:dyDescent="0.3">
      <c r="A1886" s="35"/>
      <c r="B1886" s="25"/>
      <c r="C1886" s="25"/>
      <c r="D1886" s="25"/>
      <c r="E1886" s="25"/>
      <c r="F1886" s="25"/>
      <c r="G1886" s="25"/>
      <c r="H1886" s="25"/>
      <c r="I1886" s="25"/>
      <c r="J1886" s="25"/>
      <c r="K1886" s="25"/>
      <c r="L1886" s="25"/>
      <c r="M1886" s="22" t="s">
        <v>86</v>
      </c>
      <c r="N1886" s="23">
        <v>46083</v>
      </c>
      <c r="O1886" s="26" t="str">
        <f t="shared" si="90"/>
        <v/>
      </c>
      <c r="P1886" s="26" t="str">
        <f t="shared" si="91"/>
        <v/>
      </c>
      <c r="Q1886" s="26" t="str">
        <f t="shared" si="92"/>
        <v/>
      </c>
    </row>
    <row r="1887" spans="1:17" x14ac:dyDescent="0.3">
      <c r="A1887" s="35"/>
      <c r="B1887" s="25"/>
      <c r="C1887" s="25"/>
      <c r="D1887" s="25"/>
      <c r="E1887" s="25"/>
      <c r="F1887" s="25"/>
      <c r="G1887" s="25"/>
      <c r="H1887" s="25"/>
      <c r="I1887" s="25"/>
      <c r="J1887" s="25"/>
      <c r="K1887" s="25"/>
      <c r="L1887" s="25"/>
      <c r="M1887" s="22" t="s">
        <v>86</v>
      </c>
      <c r="N1887" s="23">
        <v>46083</v>
      </c>
      <c r="O1887" s="26" t="str">
        <f t="shared" si="90"/>
        <v/>
      </c>
      <c r="P1887" s="26" t="str">
        <f t="shared" si="91"/>
        <v/>
      </c>
      <c r="Q1887" s="26" t="str">
        <f t="shared" si="92"/>
        <v/>
      </c>
    </row>
    <row r="1888" spans="1:17" x14ac:dyDescent="0.3">
      <c r="A1888" s="35"/>
      <c r="B1888" s="25"/>
      <c r="C1888" s="25"/>
      <c r="D1888" s="25"/>
      <c r="E1888" s="25"/>
      <c r="F1888" s="25"/>
      <c r="G1888" s="25"/>
      <c r="H1888" s="25"/>
      <c r="I1888" s="25"/>
      <c r="J1888" s="25"/>
      <c r="K1888" s="25"/>
      <c r="L1888" s="25"/>
      <c r="M1888" s="22" t="s">
        <v>86</v>
      </c>
      <c r="N1888" s="23">
        <v>46083</v>
      </c>
      <c r="O1888" s="26" t="str">
        <f t="shared" si="90"/>
        <v/>
      </c>
      <c r="P1888" s="26" t="str">
        <f t="shared" si="91"/>
        <v/>
      </c>
      <c r="Q1888" s="26" t="str">
        <f t="shared" si="92"/>
        <v/>
      </c>
    </row>
    <row r="1889" spans="1:17" x14ac:dyDescent="0.3">
      <c r="A1889" s="35"/>
      <c r="B1889" s="25"/>
      <c r="C1889" s="25"/>
      <c r="D1889" s="25"/>
      <c r="E1889" s="25"/>
      <c r="F1889" s="25"/>
      <c r="G1889" s="25"/>
      <c r="H1889" s="25"/>
      <c r="I1889" s="25"/>
      <c r="J1889" s="25"/>
      <c r="K1889" s="25"/>
      <c r="L1889" s="25"/>
      <c r="M1889" s="22" t="s">
        <v>86</v>
      </c>
      <c r="N1889" s="23">
        <v>46083</v>
      </c>
      <c r="O1889" s="26" t="str">
        <f t="shared" si="90"/>
        <v/>
      </c>
      <c r="P1889" s="26" t="str">
        <f t="shared" si="91"/>
        <v/>
      </c>
      <c r="Q1889" s="26" t="str">
        <f t="shared" si="92"/>
        <v/>
      </c>
    </row>
    <row r="1890" spans="1:17" x14ac:dyDescent="0.3">
      <c r="A1890" s="35"/>
      <c r="B1890" s="25"/>
      <c r="C1890" s="25"/>
      <c r="D1890" s="25"/>
      <c r="E1890" s="25"/>
      <c r="F1890" s="25"/>
      <c r="G1890" s="25"/>
      <c r="H1890" s="25"/>
      <c r="I1890" s="25"/>
      <c r="J1890" s="25"/>
      <c r="K1890" s="25"/>
      <c r="L1890" s="25"/>
      <c r="M1890" s="22" t="s">
        <v>86</v>
      </c>
      <c r="N1890" s="23">
        <v>46083</v>
      </c>
      <c r="O1890" s="26" t="str">
        <f t="shared" si="90"/>
        <v/>
      </c>
      <c r="P1890" s="26" t="str">
        <f t="shared" si="91"/>
        <v/>
      </c>
      <c r="Q1890" s="26" t="str">
        <f t="shared" si="92"/>
        <v/>
      </c>
    </row>
    <row r="1891" spans="1:17" x14ac:dyDescent="0.3">
      <c r="A1891" s="35"/>
      <c r="B1891" s="25"/>
      <c r="C1891" s="25"/>
      <c r="D1891" s="25"/>
      <c r="E1891" s="25"/>
      <c r="F1891" s="25"/>
      <c r="G1891" s="25"/>
      <c r="H1891" s="25"/>
      <c r="I1891" s="25"/>
      <c r="J1891" s="25"/>
      <c r="K1891" s="25"/>
      <c r="L1891" s="25"/>
      <c r="M1891" s="22" t="s">
        <v>86</v>
      </c>
      <c r="N1891" s="23">
        <v>46083</v>
      </c>
      <c r="O1891" s="26" t="str">
        <f t="shared" si="90"/>
        <v/>
      </c>
      <c r="P1891" s="26" t="str">
        <f t="shared" si="91"/>
        <v/>
      </c>
      <c r="Q1891" s="26" t="str">
        <f t="shared" si="92"/>
        <v/>
      </c>
    </row>
    <row r="1892" spans="1:17" x14ac:dyDescent="0.3">
      <c r="A1892" s="35"/>
      <c r="B1892" s="25"/>
      <c r="C1892" s="25"/>
      <c r="D1892" s="25"/>
      <c r="E1892" s="25"/>
      <c r="F1892" s="25"/>
      <c r="G1892" s="25"/>
      <c r="H1892" s="25"/>
      <c r="I1892" s="25"/>
      <c r="J1892" s="25"/>
      <c r="K1892" s="25"/>
      <c r="L1892" s="25"/>
      <c r="M1892" s="22" t="s">
        <v>86</v>
      </c>
      <c r="N1892" s="23">
        <v>46083</v>
      </c>
      <c r="O1892" s="26" t="str">
        <f t="shared" si="90"/>
        <v/>
      </c>
      <c r="P1892" s="26" t="str">
        <f t="shared" si="91"/>
        <v/>
      </c>
      <c r="Q1892" s="26" t="str">
        <f t="shared" si="92"/>
        <v/>
      </c>
    </row>
    <row r="1893" spans="1:17" x14ac:dyDescent="0.3">
      <c r="A1893" s="35"/>
      <c r="B1893" s="25"/>
      <c r="C1893" s="25"/>
      <c r="D1893" s="25"/>
      <c r="E1893" s="25"/>
      <c r="F1893" s="25"/>
      <c r="G1893" s="25"/>
      <c r="H1893" s="25"/>
      <c r="I1893" s="25"/>
      <c r="J1893" s="25"/>
      <c r="K1893" s="25"/>
      <c r="L1893" s="25"/>
      <c r="M1893" s="22" t="s">
        <v>86</v>
      </c>
      <c r="N1893" s="23">
        <v>46083</v>
      </c>
      <c r="O1893" s="26" t="str">
        <f t="shared" si="90"/>
        <v/>
      </c>
      <c r="P1893" s="26" t="str">
        <f t="shared" si="91"/>
        <v/>
      </c>
      <c r="Q1893" s="26" t="str">
        <f t="shared" si="92"/>
        <v/>
      </c>
    </row>
    <row r="1894" spans="1:17" x14ac:dyDescent="0.3">
      <c r="A1894" s="35"/>
      <c r="B1894" s="25"/>
      <c r="C1894" s="25"/>
      <c r="D1894" s="25"/>
      <c r="E1894" s="25"/>
      <c r="F1894" s="25"/>
      <c r="G1894" s="25"/>
      <c r="H1894" s="25"/>
      <c r="I1894" s="25"/>
      <c r="J1894" s="25"/>
      <c r="K1894" s="25"/>
      <c r="L1894" s="25"/>
      <c r="M1894" s="22" t="s">
        <v>86</v>
      </c>
      <c r="N1894" s="23">
        <v>46083</v>
      </c>
      <c r="O1894" s="26" t="str">
        <f t="shared" si="90"/>
        <v/>
      </c>
      <c r="P1894" s="26" t="str">
        <f t="shared" si="91"/>
        <v/>
      </c>
      <c r="Q1894" s="26" t="str">
        <f t="shared" si="92"/>
        <v/>
      </c>
    </row>
    <row r="1895" spans="1:17" x14ac:dyDescent="0.3">
      <c r="A1895" s="35"/>
      <c r="B1895" s="25"/>
      <c r="C1895" s="25"/>
      <c r="D1895" s="25"/>
      <c r="E1895" s="25"/>
      <c r="F1895" s="25"/>
      <c r="G1895" s="25"/>
      <c r="H1895" s="25"/>
      <c r="I1895" s="25"/>
      <c r="J1895" s="25"/>
      <c r="K1895" s="25"/>
      <c r="L1895" s="25"/>
      <c r="M1895" s="22" t="s">
        <v>86</v>
      </c>
      <c r="N1895" s="23">
        <v>46083</v>
      </c>
      <c r="O1895" s="26" t="str">
        <f t="shared" si="90"/>
        <v/>
      </c>
      <c r="P1895" s="26" t="str">
        <f t="shared" si="91"/>
        <v/>
      </c>
      <c r="Q1895" s="26" t="str">
        <f t="shared" si="92"/>
        <v/>
      </c>
    </row>
    <row r="1896" spans="1:17" x14ac:dyDescent="0.3">
      <c r="A1896" s="35"/>
      <c r="B1896" s="25"/>
      <c r="C1896" s="25"/>
      <c r="D1896" s="25"/>
      <c r="E1896" s="25"/>
      <c r="F1896" s="25"/>
      <c r="G1896" s="25"/>
      <c r="H1896" s="25"/>
      <c r="I1896" s="25"/>
      <c r="J1896" s="25"/>
      <c r="K1896" s="25"/>
      <c r="L1896" s="25"/>
      <c r="M1896" s="22" t="s">
        <v>86</v>
      </c>
      <c r="N1896" s="23">
        <v>46083</v>
      </c>
      <c r="O1896" s="26" t="str">
        <f t="shared" si="90"/>
        <v/>
      </c>
      <c r="P1896" s="26" t="str">
        <f t="shared" si="91"/>
        <v/>
      </c>
      <c r="Q1896" s="26" t="str">
        <f t="shared" si="92"/>
        <v/>
      </c>
    </row>
    <row r="1897" spans="1:17" x14ac:dyDescent="0.3">
      <c r="A1897" s="35"/>
      <c r="B1897" s="25"/>
      <c r="C1897" s="25"/>
      <c r="D1897" s="25"/>
      <c r="E1897" s="25"/>
      <c r="F1897" s="25"/>
      <c r="G1897" s="25"/>
      <c r="H1897" s="25"/>
      <c r="I1897" s="25"/>
      <c r="J1897" s="25"/>
      <c r="K1897" s="25"/>
      <c r="L1897" s="25"/>
      <c r="M1897" s="22" t="s">
        <v>86</v>
      </c>
      <c r="N1897" s="23">
        <v>46083</v>
      </c>
      <c r="O1897" s="26" t="str">
        <f t="shared" si="90"/>
        <v/>
      </c>
      <c r="P1897" s="26" t="str">
        <f t="shared" si="91"/>
        <v/>
      </c>
      <c r="Q1897" s="26" t="str">
        <f t="shared" si="92"/>
        <v/>
      </c>
    </row>
    <row r="1898" spans="1:17" x14ac:dyDescent="0.3">
      <c r="A1898" s="35"/>
      <c r="B1898" s="25"/>
      <c r="C1898" s="25"/>
      <c r="D1898" s="25"/>
      <c r="E1898" s="25"/>
      <c r="F1898" s="25"/>
      <c r="G1898" s="25"/>
      <c r="H1898" s="25"/>
      <c r="I1898" s="25"/>
      <c r="J1898" s="25"/>
      <c r="K1898" s="25"/>
      <c r="L1898" s="25"/>
      <c r="M1898" s="22" t="s">
        <v>86</v>
      </c>
      <c r="N1898" s="23">
        <v>46083</v>
      </c>
      <c r="O1898" s="26" t="str">
        <f t="shared" si="90"/>
        <v/>
      </c>
      <c r="P1898" s="26" t="str">
        <f t="shared" si="91"/>
        <v/>
      </c>
      <c r="Q1898" s="26" t="str">
        <f t="shared" si="92"/>
        <v/>
      </c>
    </row>
    <row r="1899" spans="1:17" x14ac:dyDescent="0.3">
      <c r="A1899" s="35"/>
      <c r="B1899" s="25"/>
      <c r="C1899" s="25"/>
      <c r="D1899" s="25"/>
      <c r="E1899" s="25"/>
      <c r="F1899" s="25"/>
      <c r="G1899" s="25"/>
      <c r="H1899" s="25"/>
      <c r="I1899" s="25"/>
      <c r="J1899" s="25"/>
      <c r="K1899" s="25"/>
      <c r="L1899" s="25"/>
      <c r="M1899" s="22" t="s">
        <v>86</v>
      </c>
      <c r="N1899" s="23">
        <v>46083</v>
      </c>
      <c r="O1899" s="26" t="str">
        <f t="shared" si="90"/>
        <v/>
      </c>
      <c r="P1899" s="26" t="str">
        <f t="shared" si="91"/>
        <v/>
      </c>
      <c r="Q1899" s="26" t="str">
        <f t="shared" si="92"/>
        <v/>
      </c>
    </row>
    <row r="1900" spans="1:17" x14ac:dyDescent="0.3">
      <c r="A1900" s="35"/>
      <c r="B1900" s="25"/>
      <c r="C1900" s="25"/>
      <c r="D1900" s="25"/>
      <c r="E1900" s="25"/>
      <c r="F1900" s="25"/>
      <c r="G1900" s="25"/>
      <c r="H1900" s="25"/>
      <c r="I1900" s="25"/>
      <c r="J1900" s="25"/>
      <c r="K1900" s="25"/>
      <c r="L1900" s="25"/>
      <c r="M1900" s="22" t="s">
        <v>86</v>
      </c>
      <c r="N1900" s="23">
        <v>46083</v>
      </c>
      <c r="O1900" s="26" t="str">
        <f t="shared" si="90"/>
        <v/>
      </c>
      <c r="P1900" s="26" t="str">
        <f t="shared" si="91"/>
        <v/>
      </c>
      <c r="Q1900" s="26" t="str">
        <f t="shared" si="92"/>
        <v/>
      </c>
    </row>
    <row r="1901" spans="1:17" x14ac:dyDescent="0.3">
      <c r="A1901" s="35"/>
      <c r="B1901" s="25"/>
      <c r="C1901" s="25"/>
      <c r="D1901" s="25"/>
      <c r="E1901" s="25"/>
      <c r="F1901" s="25"/>
      <c r="G1901" s="25"/>
      <c r="H1901" s="25"/>
      <c r="I1901" s="25"/>
      <c r="J1901" s="25"/>
      <c r="K1901" s="25"/>
      <c r="L1901" s="25"/>
      <c r="M1901" s="22" t="s">
        <v>86</v>
      </c>
      <c r="N1901" s="23">
        <v>46083</v>
      </c>
      <c r="O1901" s="26" t="str">
        <f t="shared" si="90"/>
        <v/>
      </c>
      <c r="P1901" s="26" t="str">
        <f t="shared" si="91"/>
        <v/>
      </c>
      <c r="Q1901" s="26" t="str">
        <f t="shared" si="92"/>
        <v/>
      </c>
    </row>
    <row r="1902" spans="1:17" x14ac:dyDescent="0.3">
      <c r="A1902" s="35"/>
      <c r="B1902" s="25"/>
      <c r="C1902" s="25"/>
      <c r="D1902" s="25"/>
      <c r="E1902" s="25"/>
      <c r="F1902" s="25"/>
      <c r="G1902" s="25"/>
      <c r="H1902" s="25"/>
      <c r="I1902" s="25"/>
      <c r="J1902" s="25"/>
      <c r="K1902" s="25"/>
      <c r="L1902" s="25"/>
      <c r="M1902" s="22" t="s">
        <v>86</v>
      </c>
      <c r="N1902" s="23">
        <v>46083</v>
      </c>
      <c r="O1902" s="26" t="str">
        <f t="shared" si="90"/>
        <v/>
      </c>
      <c r="P1902" s="26" t="str">
        <f t="shared" si="91"/>
        <v/>
      </c>
      <c r="Q1902" s="26" t="str">
        <f t="shared" si="92"/>
        <v/>
      </c>
    </row>
    <row r="1903" spans="1:17" x14ac:dyDescent="0.3">
      <c r="A1903" s="35"/>
      <c r="B1903" s="25"/>
      <c r="C1903" s="25"/>
      <c r="D1903" s="25"/>
      <c r="E1903" s="25"/>
      <c r="F1903" s="25"/>
      <c r="G1903" s="25"/>
      <c r="H1903" s="25"/>
      <c r="I1903" s="25"/>
      <c r="J1903" s="25"/>
      <c r="K1903" s="25"/>
      <c r="L1903" s="25"/>
      <c r="M1903" s="22" t="s">
        <v>86</v>
      </c>
      <c r="N1903" s="23">
        <v>46083</v>
      </c>
      <c r="O1903" s="26" t="str">
        <f t="shared" si="90"/>
        <v/>
      </c>
      <c r="P1903" s="26" t="str">
        <f t="shared" si="91"/>
        <v/>
      </c>
      <c r="Q1903" s="26" t="str">
        <f t="shared" si="92"/>
        <v/>
      </c>
    </row>
    <row r="1904" spans="1:17" x14ac:dyDescent="0.3">
      <c r="A1904" s="35"/>
      <c r="B1904" s="25"/>
      <c r="C1904" s="25"/>
      <c r="D1904" s="25"/>
      <c r="E1904" s="25"/>
      <c r="F1904" s="25"/>
      <c r="G1904" s="25"/>
      <c r="H1904" s="25"/>
      <c r="I1904" s="25"/>
      <c r="J1904" s="25"/>
      <c r="K1904" s="25"/>
      <c r="L1904" s="25"/>
      <c r="M1904" s="22" t="s">
        <v>86</v>
      </c>
      <c r="N1904" s="23">
        <v>46083</v>
      </c>
      <c r="O1904" s="26" t="str">
        <f t="shared" si="90"/>
        <v/>
      </c>
      <c r="P1904" s="26" t="str">
        <f t="shared" si="91"/>
        <v/>
      </c>
      <c r="Q1904" s="26" t="str">
        <f t="shared" si="92"/>
        <v/>
      </c>
    </row>
    <row r="1905" spans="1:17" x14ac:dyDescent="0.3">
      <c r="A1905" s="35"/>
      <c r="B1905" s="25"/>
      <c r="C1905" s="25"/>
      <c r="D1905" s="25"/>
      <c r="E1905" s="25"/>
      <c r="F1905" s="25"/>
      <c r="G1905" s="25"/>
      <c r="H1905" s="25"/>
      <c r="I1905" s="25"/>
      <c r="J1905" s="25"/>
      <c r="K1905" s="25"/>
      <c r="L1905" s="25"/>
      <c r="M1905" s="22" t="s">
        <v>86</v>
      </c>
      <c r="N1905" s="23">
        <v>46083</v>
      </c>
      <c r="O1905" s="26" t="str">
        <f t="shared" si="90"/>
        <v/>
      </c>
      <c r="P1905" s="26" t="str">
        <f t="shared" si="91"/>
        <v/>
      </c>
      <c r="Q1905" s="26" t="str">
        <f t="shared" si="92"/>
        <v/>
      </c>
    </row>
    <row r="1906" spans="1:17" x14ac:dyDescent="0.3">
      <c r="A1906" s="35"/>
      <c r="B1906" s="25"/>
      <c r="C1906" s="25"/>
      <c r="D1906" s="25"/>
      <c r="E1906" s="25"/>
      <c r="F1906" s="25"/>
      <c r="G1906" s="25"/>
      <c r="H1906" s="25"/>
      <c r="I1906" s="25"/>
      <c r="J1906" s="25"/>
      <c r="K1906" s="25"/>
      <c r="L1906" s="25"/>
      <c r="M1906" s="22" t="s">
        <v>86</v>
      </c>
      <c r="N1906" s="23">
        <v>46083</v>
      </c>
      <c r="O1906" s="26" t="str">
        <f t="shared" si="90"/>
        <v/>
      </c>
      <c r="P1906" s="26" t="str">
        <f t="shared" si="91"/>
        <v/>
      </c>
      <c r="Q1906" s="26" t="str">
        <f t="shared" si="92"/>
        <v/>
      </c>
    </row>
    <row r="1907" spans="1:17" x14ac:dyDescent="0.3">
      <c r="A1907" s="35"/>
      <c r="B1907" s="25"/>
      <c r="C1907" s="25"/>
      <c r="D1907" s="25"/>
      <c r="E1907" s="25"/>
      <c r="F1907" s="25"/>
      <c r="G1907" s="25"/>
      <c r="H1907" s="25"/>
      <c r="I1907" s="25"/>
      <c r="J1907" s="25"/>
      <c r="K1907" s="25"/>
      <c r="L1907" s="25"/>
      <c r="M1907" s="22" t="s">
        <v>86</v>
      </c>
      <c r="N1907" s="23">
        <v>46083</v>
      </c>
      <c r="O1907" s="26" t="str">
        <f t="shared" si="90"/>
        <v/>
      </c>
      <c r="P1907" s="26" t="str">
        <f t="shared" si="91"/>
        <v/>
      </c>
      <c r="Q1907" s="26" t="str">
        <f t="shared" si="92"/>
        <v/>
      </c>
    </row>
    <row r="1908" spans="1:17" x14ac:dyDescent="0.3">
      <c r="A1908" s="35"/>
      <c r="B1908" s="25"/>
      <c r="C1908" s="25"/>
      <c r="D1908" s="25"/>
      <c r="E1908" s="25"/>
      <c r="F1908" s="25"/>
      <c r="G1908" s="25"/>
      <c r="H1908" s="25"/>
      <c r="I1908" s="25"/>
      <c r="J1908" s="25"/>
      <c r="K1908" s="25"/>
      <c r="L1908" s="25"/>
      <c r="M1908" s="22" t="s">
        <v>86</v>
      </c>
      <c r="N1908" s="23">
        <v>46083</v>
      </c>
      <c r="O1908" s="26" t="str">
        <f t="shared" si="90"/>
        <v/>
      </c>
      <c r="P1908" s="26" t="str">
        <f t="shared" si="91"/>
        <v/>
      </c>
      <c r="Q1908" s="26" t="str">
        <f t="shared" si="92"/>
        <v/>
      </c>
    </row>
    <row r="1909" spans="1:17" x14ac:dyDescent="0.3">
      <c r="A1909" s="35"/>
      <c r="B1909" s="25"/>
      <c r="C1909" s="25"/>
      <c r="D1909" s="25"/>
      <c r="E1909" s="25"/>
      <c r="F1909" s="25"/>
      <c r="G1909" s="25"/>
      <c r="H1909" s="25"/>
      <c r="I1909" s="25"/>
      <c r="J1909" s="25"/>
      <c r="K1909" s="25"/>
      <c r="L1909" s="25"/>
      <c r="M1909" s="22" t="s">
        <v>86</v>
      </c>
      <c r="N1909" s="23">
        <v>46083</v>
      </c>
      <c r="O1909" s="26" t="str">
        <f t="shared" si="90"/>
        <v/>
      </c>
      <c r="P1909" s="26" t="str">
        <f t="shared" si="91"/>
        <v/>
      </c>
      <c r="Q1909" s="26" t="str">
        <f t="shared" si="92"/>
        <v/>
      </c>
    </row>
    <row r="1910" spans="1:17" x14ac:dyDescent="0.3">
      <c r="A1910" s="35"/>
      <c r="B1910" s="25"/>
      <c r="C1910" s="25"/>
      <c r="D1910" s="25"/>
      <c r="E1910" s="25"/>
      <c r="F1910" s="25"/>
      <c r="G1910" s="25"/>
      <c r="H1910" s="25"/>
      <c r="I1910" s="25"/>
      <c r="J1910" s="25"/>
      <c r="K1910" s="25"/>
      <c r="L1910" s="25"/>
      <c r="M1910" s="22" t="s">
        <v>86</v>
      </c>
      <c r="N1910" s="23">
        <v>46083</v>
      </c>
      <c r="O1910" s="26" t="str">
        <f t="shared" si="90"/>
        <v/>
      </c>
      <c r="P1910" s="26" t="str">
        <f t="shared" si="91"/>
        <v/>
      </c>
      <c r="Q1910" s="26" t="str">
        <f t="shared" si="92"/>
        <v/>
      </c>
    </row>
    <row r="1911" spans="1:17" x14ac:dyDescent="0.3">
      <c r="A1911" s="35"/>
      <c r="B1911" s="25"/>
      <c r="C1911" s="25"/>
      <c r="D1911" s="25"/>
      <c r="E1911" s="25"/>
      <c r="F1911" s="25"/>
      <c r="G1911" s="25"/>
      <c r="H1911" s="25"/>
      <c r="I1911" s="25"/>
      <c r="J1911" s="25"/>
      <c r="K1911" s="25"/>
      <c r="L1911" s="25"/>
      <c r="M1911" s="22" t="s">
        <v>86</v>
      </c>
      <c r="N1911" s="23">
        <v>46083</v>
      </c>
      <c r="O1911" s="26" t="str">
        <f t="shared" si="90"/>
        <v/>
      </c>
      <c r="P1911" s="26" t="str">
        <f t="shared" si="91"/>
        <v/>
      </c>
      <c r="Q1911" s="26" t="str">
        <f t="shared" si="92"/>
        <v/>
      </c>
    </row>
    <row r="1912" spans="1:17" x14ac:dyDescent="0.3">
      <c r="A1912" s="35"/>
      <c r="B1912" s="25"/>
      <c r="C1912" s="25"/>
      <c r="D1912" s="25"/>
      <c r="E1912" s="25"/>
      <c r="F1912" s="25"/>
      <c r="G1912" s="25"/>
      <c r="H1912" s="25"/>
      <c r="I1912" s="25"/>
      <c r="J1912" s="25"/>
      <c r="K1912" s="25"/>
      <c r="L1912" s="25"/>
      <c r="M1912" s="22" t="s">
        <v>86</v>
      </c>
      <c r="N1912" s="23">
        <v>46083</v>
      </c>
      <c r="O1912" s="26" t="str">
        <f t="shared" si="90"/>
        <v/>
      </c>
      <c r="P1912" s="26" t="str">
        <f t="shared" si="91"/>
        <v/>
      </c>
      <c r="Q1912" s="26" t="str">
        <f t="shared" si="92"/>
        <v/>
      </c>
    </row>
    <row r="1913" spans="1:17" x14ac:dyDescent="0.3">
      <c r="A1913" s="35"/>
      <c r="B1913" s="25"/>
      <c r="C1913" s="25"/>
      <c r="D1913" s="25"/>
      <c r="E1913" s="25"/>
      <c r="F1913" s="25"/>
      <c r="G1913" s="25"/>
      <c r="H1913" s="25"/>
      <c r="I1913" s="25"/>
      <c r="J1913" s="25"/>
      <c r="K1913" s="25"/>
      <c r="L1913" s="25"/>
      <c r="M1913" s="22" t="s">
        <v>86</v>
      </c>
      <c r="N1913" s="23">
        <v>46083</v>
      </c>
      <c r="O1913" s="26" t="str">
        <f t="shared" si="90"/>
        <v/>
      </c>
      <c r="P1913" s="26" t="str">
        <f t="shared" si="91"/>
        <v/>
      </c>
      <c r="Q1913" s="26" t="str">
        <f t="shared" si="92"/>
        <v/>
      </c>
    </row>
    <row r="1914" spans="1:17" x14ac:dyDescent="0.3">
      <c r="A1914" s="35"/>
      <c r="B1914" s="25"/>
      <c r="C1914" s="25"/>
      <c r="D1914" s="25"/>
      <c r="E1914" s="25"/>
      <c r="F1914" s="25"/>
      <c r="G1914" s="25"/>
      <c r="H1914" s="25"/>
      <c r="I1914" s="25"/>
      <c r="J1914" s="25"/>
      <c r="K1914" s="25"/>
      <c r="L1914" s="25"/>
      <c r="M1914" s="22" t="s">
        <v>86</v>
      </c>
      <c r="N1914" s="23">
        <v>46083</v>
      </c>
      <c r="O1914" s="26" t="str">
        <f t="shared" si="90"/>
        <v/>
      </c>
      <c r="P1914" s="26" t="str">
        <f t="shared" si="91"/>
        <v/>
      </c>
      <c r="Q1914" s="26" t="str">
        <f t="shared" si="92"/>
        <v/>
      </c>
    </row>
    <row r="1915" spans="1:17" x14ac:dyDescent="0.3">
      <c r="A1915" s="35"/>
      <c r="B1915" s="25"/>
      <c r="C1915" s="25"/>
      <c r="D1915" s="25"/>
      <c r="E1915" s="25"/>
      <c r="F1915" s="25"/>
      <c r="G1915" s="25"/>
      <c r="H1915" s="25"/>
      <c r="I1915" s="25"/>
      <c r="J1915" s="25"/>
      <c r="K1915" s="25"/>
      <c r="L1915" s="25"/>
      <c r="M1915" s="22" t="s">
        <v>86</v>
      </c>
      <c r="N1915" s="23">
        <v>46083</v>
      </c>
      <c r="O1915" s="26" t="str">
        <f t="shared" si="90"/>
        <v/>
      </c>
      <c r="P1915" s="26" t="str">
        <f t="shared" si="91"/>
        <v/>
      </c>
      <c r="Q1915" s="26" t="str">
        <f t="shared" si="92"/>
        <v/>
      </c>
    </row>
    <row r="1916" spans="1:17" x14ac:dyDescent="0.3">
      <c r="A1916" s="35"/>
      <c r="B1916" s="25"/>
      <c r="C1916" s="25"/>
      <c r="D1916" s="25"/>
      <c r="E1916" s="25"/>
      <c r="F1916" s="25"/>
      <c r="G1916" s="25"/>
      <c r="H1916" s="25"/>
      <c r="I1916" s="25"/>
      <c r="J1916" s="25"/>
      <c r="K1916" s="25"/>
      <c r="L1916" s="25"/>
      <c r="M1916" s="22" t="s">
        <v>86</v>
      </c>
      <c r="N1916" s="23">
        <v>46083</v>
      </c>
      <c r="O1916" s="26" t="str">
        <f t="shared" si="90"/>
        <v/>
      </c>
      <c r="P1916" s="26" t="str">
        <f t="shared" si="91"/>
        <v/>
      </c>
      <c r="Q1916" s="26" t="str">
        <f t="shared" si="92"/>
        <v/>
      </c>
    </row>
    <row r="1917" spans="1:17" x14ac:dyDescent="0.3">
      <c r="A1917" s="35"/>
      <c r="B1917" s="25"/>
      <c r="C1917" s="25"/>
      <c r="D1917" s="25"/>
      <c r="E1917" s="25"/>
      <c r="F1917" s="25"/>
      <c r="G1917" s="25"/>
      <c r="H1917" s="25"/>
      <c r="I1917" s="25"/>
      <c r="J1917" s="25"/>
      <c r="K1917" s="25"/>
      <c r="L1917" s="25"/>
      <c r="M1917" s="22" t="s">
        <v>86</v>
      </c>
      <c r="N1917" s="23">
        <v>46083</v>
      </c>
      <c r="O1917" s="26" t="str">
        <f t="shared" si="90"/>
        <v/>
      </c>
      <c r="P1917" s="26" t="str">
        <f t="shared" si="91"/>
        <v/>
      </c>
      <c r="Q1917" s="26" t="str">
        <f t="shared" si="92"/>
        <v/>
      </c>
    </row>
    <row r="1918" spans="1:17" x14ac:dyDescent="0.3">
      <c r="A1918" s="35"/>
      <c r="B1918" s="25"/>
      <c r="C1918" s="25"/>
      <c r="D1918" s="25"/>
      <c r="E1918" s="25"/>
      <c r="F1918" s="25"/>
      <c r="G1918" s="25"/>
      <c r="H1918" s="25"/>
      <c r="I1918" s="25"/>
      <c r="J1918" s="25"/>
      <c r="K1918" s="25"/>
      <c r="L1918" s="25"/>
      <c r="M1918" s="22" t="s">
        <v>86</v>
      </c>
      <c r="N1918" s="23">
        <v>46083</v>
      </c>
      <c r="O1918" s="26" t="str">
        <f t="shared" si="90"/>
        <v/>
      </c>
      <c r="P1918" s="26" t="str">
        <f t="shared" si="91"/>
        <v/>
      </c>
      <c r="Q1918" s="26" t="str">
        <f t="shared" si="92"/>
        <v/>
      </c>
    </row>
    <row r="1919" spans="1:17" x14ac:dyDescent="0.3">
      <c r="A1919" s="35"/>
      <c r="B1919" s="25"/>
      <c r="C1919" s="25"/>
      <c r="D1919" s="25"/>
      <c r="E1919" s="25"/>
      <c r="F1919" s="25"/>
      <c r="G1919" s="25"/>
      <c r="H1919" s="25"/>
      <c r="I1919" s="25"/>
      <c r="J1919" s="25"/>
      <c r="K1919" s="25"/>
      <c r="L1919" s="25"/>
      <c r="M1919" s="22" t="s">
        <v>86</v>
      </c>
      <c r="N1919" s="23">
        <v>46083</v>
      </c>
      <c r="O1919" s="26" t="str">
        <f t="shared" si="90"/>
        <v/>
      </c>
      <c r="P1919" s="26" t="str">
        <f t="shared" si="91"/>
        <v/>
      </c>
      <c r="Q1919" s="26" t="str">
        <f t="shared" si="92"/>
        <v/>
      </c>
    </row>
    <row r="1920" spans="1:17" x14ac:dyDescent="0.3">
      <c r="A1920" s="35"/>
      <c r="B1920" s="25"/>
      <c r="C1920" s="25"/>
      <c r="D1920" s="25"/>
      <c r="E1920" s="25"/>
      <c r="F1920" s="25"/>
      <c r="G1920" s="25"/>
      <c r="H1920" s="25"/>
      <c r="I1920" s="25"/>
      <c r="J1920" s="25"/>
      <c r="K1920" s="25"/>
      <c r="L1920" s="25"/>
      <c r="M1920" s="22" t="s">
        <v>86</v>
      </c>
      <c r="N1920" s="23">
        <v>46083</v>
      </c>
      <c r="O1920" s="26" t="str">
        <f t="shared" si="90"/>
        <v/>
      </c>
      <c r="P1920" s="26" t="str">
        <f t="shared" si="91"/>
        <v/>
      </c>
      <c r="Q1920" s="26" t="str">
        <f t="shared" si="92"/>
        <v/>
      </c>
    </row>
    <row r="1921" spans="1:17" x14ac:dyDescent="0.3">
      <c r="A1921" s="35"/>
      <c r="B1921" s="25"/>
      <c r="C1921" s="25"/>
      <c r="D1921" s="25"/>
      <c r="E1921" s="25"/>
      <c r="F1921" s="25"/>
      <c r="G1921" s="25"/>
      <c r="H1921" s="25"/>
      <c r="I1921" s="25"/>
      <c r="J1921" s="25"/>
      <c r="K1921" s="25"/>
      <c r="L1921" s="25"/>
      <c r="M1921" s="22" t="s">
        <v>86</v>
      </c>
      <c r="N1921" s="23">
        <v>46083</v>
      </c>
      <c r="O1921" s="26" t="str">
        <f t="shared" si="90"/>
        <v/>
      </c>
      <c r="P1921" s="26" t="str">
        <f t="shared" si="91"/>
        <v/>
      </c>
      <c r="Q1921" s="26" t="str">
        <f t="shared" si="92"/>
        <v/>
      </c>
    </row>
    <row r="1922" spans="1:17" x14ac:dyDescent="0.3">
      <c r="A1922" s="35"/>
      <c r="B1922" s="25"/>
      <c r="C1922" s="25"/>
      <c r="D1922" s="25"/>
      <c r="E1922" s="25"/>
      <c r="F1922" s="25"/>
      <c r="G1922" s="25"/>
      <c r="H1922" s="25"/>
      <c r="I1922" s="25"/>
      <c r="J1922" s="25"/>
      <c r="K1922" s="25"/>
      <c r="L1922" s="25"/>
      <c r="M1922" s="22" t="s">
        <v>86</v>
      </c>
      <c r="N1922" s="23">
        <v>46083</v>
      </c>
      <c r="O1922" s="26" t="str">
        <f t="shared" ref="O1922:O1946" si="93">IF(A1922="","",IFERROR(IF(AND(LEN(A1922)=10,NOT(ISERROR(VALUE(A1922)))),"OK","확인"),"확인"))</f>
        <v/>
      </c>
      <c r="P1922" s="26" t="str">
        <f t="shared" ref="P1922:P1946" si="94">IF(A1922="","",IF(COUNTIF($A$2:$A$1946,A1922)&gt;1,"중복",""))</f>
        <v/>
      </c>
      <c r="Q1922" s="26" t="str">
        <f t="shared" ref="Q1922:Q1946" si="95">IF(G1922="","",IF(ISNUMBER(SEARCH("@",G1922)),"","확인"))</f>
        <v/>
      </c>
    </row>
    <row r="1923" spans="1:17" x14ac:dyDescent="0.3">
      <c r="A1923" s="35"/>
      <c r="B1923" s="25"/>
      <c r="C1923" s="25"/>
      <c r="D1923" s="25"/>
      <c r="E1923" s="25"/>
      <c r="F1923" s="25"/>
      <c r="G1923" s="25"/>
      <c r="H1923" s="25"/>
      <c r="I1923" s="25"/>
      <c r="J1923" s="25"/>
      <c r="K1923" s="25"/>
      <c r="L1923" s="25"/>
      <c r="M1923" s="22" t="s">
        <v>86</v>
      </c>
      <c r="N1923" s="23">
        <v>46083</v>
      </c>
      <c r="O1923" s="26" t="str">
        <f t="shared" si="93"/>
        <v/>
      </c>
      <c r="P1923" s="26" t="str">
        <f t="shared" si="94"/>
        <v/>
      </c>
      <c r="Q1923" s="26" t="str">
        <f t="shared" si="95"/>
        <v/>
      </c>
    </row>
    <row r="1924" spans="1:17" x14ac:dyDescent="0.3">
      <c r="A1924" s="35"/>
      <c r="B1924" s="25"/>
      <c r="C1924" s="25"/>
      <c r="D1924" s="25"/>
      <c r="E1924" s="25"/>
      <c r="F1924" s="25"/>
      <c r="G1924" s="25"/>
      <c r="H1924" s="25"/>
      <c r="I1924" s="25"/>
      <c r="J1924" s="25"/>
      <c r="K1924" s="25"/>
      <c r="L1924" s="25"/>
      <c r="M1924" s="22" t="s">
        <v>86</v>
      </c>
      <c r="N1924" s="23">
        <v>46083</v>
      </c>
      <c r="O1924" s="26" t="str">
        <f t="shared" si="93"/>
        <v/>
      </c>
      <c r="P1924" s="26" t="str">
        <f t="shared" si="94"/>
        <v/>
      </c>
      <c r="Q1924" s="26" t="str">
        <f t="shared" si="95"/>
        <v/>
      </c>
    </row>
    <row r="1925" spans="1:17" x14ac:dyDescent="0.3">
      <c r="A1925" s="35"/>
      <c r="B1925" s="25"/>
      <c r="C1925" s="25"/>
      <c r="D1925" s="25"/>
      <c r="E1925" s="25"/>
      <c r="F1925" s="25"/>
      <c r="G1925" s="25"/>
      <c r="H1925" s="25"/>
      <c r="I1925" s="25"/>
      <c r="J1925" s="25"/>
      <c r="K1925" s="25"/>
      <c r="L1925" s="25"/>
      <c r="M1925" s="22" t="s">
        <v>86</v>
      </c>
      <c r="N1925" s="23">
        <v>46083</v>
      </c>
      <c r="O1925" s="26" t="str">
        <f t="shared" si="93"/>
        <v/>
      </c>
      <c r="P1925" s="26" t="str">
        <f t="shared" si="94"/>
        <v/>
      </c>
      <c r="Q1925" s="26" t="str">
        <f t="shared" si="95"/>
        <v/>
      </c>
    </row>
    <row r="1926" spans="1:17" x14ac:dyDescent="0.3">
      <c r="A1926" s="35"/>
      <c r="B1926" s="25"/>
      <c r="C1926" s="25"/>
      <c r="D1926" s="25"/>
      <c r="E1926" s="25"/>
      <c r="F1926" s="25"/>
      <c r="G1926" s="25"/>
      <c r="H1926" s="25"/>
      <c r="I1926" s="25"/>
      <c r="J1926" s="25"/>
      <c r="K1926" s="25"/>
      <c r="L1926" s="25"/>
      <c r="M1926" s="22" t="s">
        <v>86</v>
      </c>
      <c r="N1926" s="23">
        <v>46083</v>
      </c>
      <c r="O1926" s="26" t="str">
        <f t="shared" si="93"/>
        <v/>
      </c>
      <c r="P1926" s="26" t="str">
        <f t="shared" si="94"/>
        <v/>
      </c>
      <c r="Q1926" s="26" t="str">
        <f t="shared" si="95"/>
        <v/>
      </c>
    </row>
    <row r="1927" spans="1:17" x14ac:dyDescent="0.3">
      <c r="A1927" s="35"/>
      <c r="B1927" s="25"/>
      <c r="C1927" s="25"/>
      <c r="D1927" s="25"/>
      <c r="E1927" s="25"/>
      <c r="F1927" s="25"/>
      <c r="G1927" s="25"/>
      <c r="H1927" s="25"/>
      <c r="I1927" s="25"/>
      <c r="J1927" s="25"/>
      <c r="K1927" s="25"/>
      <c r="L1927" s="25"/>
      <c r="M1927" s="22" t="s">
        <v>86</v>
      </c>
      <c r="N1927" s="23">
        <v>46083</v>
      </c>
      <c r="O1927" s="26" t="str">
        <f t="shared" si="93"/>
        <v/>
      </c>
      <c r="P1927" s="26" t="str">
        <f t="shared" si="94"/>
        <v/>
      </c>
      <c r="Q1927" s="26" t="str">
        <f t="shared" si="95"/>
        <v/>
      </c>
    </row>
    <row r="1928" spans="1:17" x14ac:dyDescent="0.3">
      <c r="A1928" s="35"/>
      <c r="B1928" s="25"/>
      <c r="C1928" s="25"/>
      <c r="D1928" s="25"/>
      <c r="E1928" s="25"/>
      <c r="F1928" s="25"/>
      <c r="G1928" s="25"/>
      <c r="H1928" s="25"/>
      <c r="I1928" s="25"/>
      <c r="J1928" s="25"/>
      <c r="K1928" s="25"/>
      <c r="L1928" s="25"/>
      <c r="M1928" s="22" t="s">
        <v>86</v>
      </c>
      <c r="N1928" s="23">
        <v>46083</v>
      </c>
      <c r="O1928" s="26" t="str">
        <f t="shared" si="93"/>
        <v/>
      </c>
      <c r="P1928" s="26" t="str">
        <f t="shared" si="94"/>
        <v/>
      </c>
      <c r="Q1928" s="26" t="str">
        <f t="shared" si="95"/>
        <v/>
      </c>
    </row>
    <row r="1929" spans="1:17" x14ac:dyDescent="0.3">
      <c r="A1929" s="35"/>
      <c r="B1929" s="25"/>
      <c r="C1929" s="25"/>
      <c r="D1929" s="25"/>
      <c r="E1929" s="25"/>
      <c r="F1929" s="25"/>
      <c r="G1929" s="25"/>
      <c r="H1929" s="25"/>
      <c r="I1929" s="25"/>
      <c r="J1929" s="25"/>
      <c r="K1929" s="25"/>
      <c r="L1929" s="25"/>
      <c r="M1929" s="22" t="s">
        <v>86</v>
      </c>
      <c r="N1929" s="23">
        <v>46083</v>
      </c>
      <c r="O1929" s="26" t="str">
        <f t="shared" si="93"/>
        <v/>
      </c>
      <c r="P1929" s="26" t="str">
        <f t="shared" si="94"/>
        <v/>
      </c>
      <c r="Q1929" s="26" t="str">
        <f t="shared" si="95"/>
        <v/>
      </c>
    </row>
    <row r="1930" spans="1:17" x14ac:dyDescent="0.3">
      <c r="A1930" s="35"/>
      <c r="B1930" s="25"/>
      <c r="C1930" s="25"/>
      <c r="D1930" s="25"/>
      <c r="E1930" s="25"/>
      <c r="F1930" s="25"/>
      <c r="G1930" s="25"/>
      <c r="H1930" s="25"/>
      <c r="I1930" s="25"/>
      <c r="J1930" s="25"/>
      <c r="K1930" s="25"/>
      <c r="L1930" s="25"/>
      <c r="M1930" s="22" t="s">
        <v>86</v>
      </c>
      <c r="N1930" s="23">
        <v>46083</v>
      </c>
      <c r="O1930" s="26" t="str">
        <f t="shared" si="93"/>
        <v/>
      </c>
      <c r="P1930" s="26" t="str">
        <f t="shared" si="94"/>
        <v/>
      </c>
      <c r="Q1930" s="26" t="str">
        <f t="shared" si="95"/>
        <v/>
      </c>
    </row>
    <row r="1931" spans="1:17" x14ac:dyDescent="0.3">
      <c r="A1931" s="35"/>
      <c r="B1931" s="25"/>
      <c r="C1931" s="25"/>
      <c r="D1931" s="25"/>
      <c r="E1931" s="25"/>
      <c r="F1931" s="25"/>
      <c r="G1931" s="25"/>
      <c r="H1931" s="25"/>
      <c r="I1931" s="25"/>
      <c r="J1931" s="25"/>
      <c r="K1931" s="25"/>
      <c r="L1931" s="25"/>
      <c r="M1931" s="22" t="s">
        <v>86</v>
      </c>
      <c r="N1931" s="23">
        <v>46083</v>
      </c>
      <c r="O1931" s="26" t="str">
        <f t="shared" si="93"/>
        <v/>
      </c>
      <c r="P1931" s="26" t="str">
        <f t="shared" si="94"/>
        <v/>
      </c>
      <c r="Q1931" s="26" t="str">
        <f t="shared" si="95"/>
        <v/>
      </c>
    </row>
    <row r="1932" spans="1:17" x14ac:dyDescent="0.3">
      <c r="A1932" s="35"/>
      <c r="B1932" s="25"/>
      <c r="C1932" s="25"/>
      <c r="D1932" s="25"/>
      <c r="E1932" s="25"/>
      <c r="F1932" s="25"/>
      <c r="G1932" s="25"/>
      <c r="H1932" s="25"/>
      <c r="I1932" s="25"/>
      <c r="J1932" s="25"/>
      <c r="K1932" s="25"/>
      <c r="L1932" s="25"/>
      <c r="M1932" s="22" t="s">
        <v>86</v>
      </c>
      <c r="N1932" s="23">
        <v>46083</v>
      </c>
      <c r="O1932" s="26" t="str">
        <f t="shared" si="93"/>
        <v/>
      </c>
      <c r="P1932" s="26" t="str">
        <f t="shared" si="94"/>
        <v/>
      </c>
      <c r="Q1932" s="26" t="str">
        <f t="shared" si="95"/>
        <v/>
      </c>
    </row>
    <row r="1933" spans="1:17" x14ac:dyDescent="0.3">
      <c r="A1933" s="35"/>
      <c r="B1933" s="25"/>
      <c r="C1933" s="25"/>
      <c r="D1933" s="25"/>
      <c r="E1933" s="25"/>
      <c r="F1933" s="25"/>
      <c r="G1933" s="25"/>
      <c r="H1933" s="25"/>
      <c r="I1933" s="25"/>
      <c r="J1933" s="25"/>
      <c r="K1933" s="25"/>
      <c r="L1933" s="25"/>
      <c r="M1933" s="22" t="s">
        <v>86</v>
      </c>
      <c r="N1933" s="23">
        <v>46083</v>
      </c>
      <c r="O1933" s="26" t="str">
        <f t="shared" si="93"/>
        <v/>
      </c>
      <c r="P1933" s="26" t="str">
        <f t="shared" si="94"/>
        <v/>
      </c>
      <c r="Q1933" s="26" t="str">
        <f t="shared" si="95"/>
        <v/>
      </c>
    </row>
    <row r="1934" spans="1:17" x14ac:dyDescent="0.3">
      <c r="A1934" s="35"/>
      <c r="B1934" s="25"/>
      <c r="C1934" s="25"/>
      <c r="D1934" s="25"/>
      <c r="E1934" s="25"/>
      <c r="F1934" s="25"/>
      <c r="G1934" s="25"/>
      <c r="H1934" s="25"/>
      <c r="I1934" s="25"/>
      <c r="J1934" s="25"/>
      <c r="K1934" s="25"/>
      <c r="L1934" s="25"/>
      <c r="M1934" s="22" t="s">
        <v>86</v>
      </c>
      <c r="N1934" s="23">
        <v>46083</v>
      </c>
      <c r="O1934" s="26" t="str">
        <f t="shared" si="93"/>
        <v/>
      </c>
      <c r="P1934" s="26" t="str">
        <f t="shared" si="94"/>
        <v/>
      </c>
      <c r="Q1934" s="26" t="str">
        <f t="shared" si="95"/>
        <v/>
      </c>
    </row>
    <row r="1935" spans="1:17" x14ac:dyDescent="0.3">
      <c r="A1935" s="35"/>
      <c r="B1935" s="25"/>
      <c r="C1935" s="25"/>
      <c r="D1935" s="25"/>
      <c r="E1935" s="25"/>
      <c r="F1935" s="25"/>
      <c r="G1935" s="25"/>
      <c r="H1935" s="25"/>
      <c r="I1935" s="25"/>
      <c r="J1935" s="25"/>
      <c r="K1935" s="25"/>
      <c r="L1935" s="25"/>
      <c r="M1935" s="22" t="s">
        <v>86</v>
      </c>
      <c r="N1935" s="23">
        <v>46083</v>
      </c>
      <c r="O1935" s="26" t="str">
        <f t="shared" si="93"/>
        <v/>
      </c>
      <c r="P1935" s="26" t="str">
        <f t="shared" si="94"/>
        <v/>
      </c>
      <c r="Q1935" s="26" t="str">
        <f t="shared" si="95"/>
        <v/>
      </c>
    </row>
    <row r="1936" spans="1:17" x14ac:dyDescent="0.3">
      <c r="A1936" s="35"/>
      <c r="B1936" s="25"/>
      <c r="C1936" s="25"/>
      <c r="D1936" s="25"/>
      <c r="E1936" s="25"/>
      <c r="F1936" s="25"/>
      <c r="G1936" s="25"/>
      <c r="H1936" s="25"/>
      <c r="I1936" s="25"/>
      <c r="J1936" s="25"/>
      <c r="K1936" s="25"/>
      <c r="L1936" s="25"/>
      <c r="M1936" s="22" t="s">
        <v>86</v>
      </c>
      <c r="N1936" s="23">
        <v>46083</v>
      </c>
      <c r="O1936" s="26" t="str">
        <f t="shared" si="93"/>
        <v/>
      </c>
      <c r="P1936" s="26" t="str">
        <f t="shared" si="94"/>
        <v/>
      </c>
      <c r="Q1936" s="26" t="str">
        <f t="shared" si="95"/>
        <v/>
      </c>
    </row>
    <row r="1937" spans="1:17" x14ac:dyDescent="0.3">
      <c r="A1937" s="35"/>
      <c r="B1937" s="25"/>
      <c r="C1937" s="25"/>
      <c r="D1937" s="25"/>
      <c r="E1937" s="25"/>
      <c r="F1937" s="25"/>
      <c r="G1937" s="25"/>
      <c r="H1937" s="25"/>
      <c r="I1937" s="25"/>
      <c r="J1937" s="25"/>
      <c r="K1937" s="25"/>
      <c r="L1937" s="25"/>
      <c r="M1937" s="22" t="s">
        <v>86</v>
      </c>
      <c r="N1937" s="23">
        <v>46083</v>
      </c>
      <c r="O1937" s="26" t="str">
        <f t="shared" si="93"/>
        <v/>
      </c>
      <c r="P1937" s="26" t="str">
        <f t="shared" si="94"/>
        <v/>
      </c>
      <c r="Q1937" s="26" t="str">
        <f t="shared" si="95"/>
        <v/>
      </c>
    </row>
    <row r="1938" spans="1:17" x14ac:dyDescent="0.3">
      <c r="A1938" s="35"/>
      <c r="B1938" s="25"/>
      <c r="C1938" s="25"/>
      <c r="D1938" s="25"/>
      <c r="E1938" s="25"/>
      <c r="F1938" s="25"/>
      <c r="G1938" s="25"/>
      <c r="H1938" s="25"/>
      <c r="I1938" s="25"/>
      <c r="J1938" s="25"/>
      <c r="K1938" s="25"/>
      <c r="L1938" s="25"/>
      <c r="M1938" s="22" t="s">
        <v>86</v>
      </c>
      <c r="N1938" s="23">
        <v>46083</v>
      </c>
      <c r="O1938" s="26" t="str">
        <f t="shared" si="93"/>
        <v/>
      </c>
      <c r="P1938" s="26" t="str">
        <f t="shared" si="94"/>
        <v/>
      </c>
      <c r="Q1938" s="26" t="str">
        <f t="shared" si="95"/>
        <v/>
      </c>
    </row>
    <row r="1939" spans="1:17" x14ac:dyDescent="0.3">
      <c r="A1939" s="35"/>
      <c r="B1939" s="25"/>
      <c r="C1939" s="25"/>
      <c r="D1939" s="25"/>
      <c r="E1939" s="25"/>
      <c r="F1939" s="25"/>
      <c r="G1939" s="25"/>
      <c r="H1939" s="25"/>
      <c r="I1939" s="25"/>
      <c r="J1939" s="25"/>
      <c r="K1939" s="25"/>
      <c r="L1939" s="25"/>
      <c r="M1939" s="22" t="s">
        <v>86</v>
      </c>
      <c r="N1939" s="23">
        <v>46083</v>
      </c>
      <c r="O1939" s="26" t="str">
        <f t="shared" si="93"/>
        <v/>
      </c>
      <c r="P1939" s="26" t="str">
        <f t="shared" si="94"/>
        <v/>
      </c>
      <c r="Q1939" s="26" t="str">
        <f t="shared" si="95"/>
        <v/>
      </c>
    </row>
    <row r="1940" spans="1:17" x14ac:dyDescent="0.3">
      <c r="A1940" s="35"/>
      <c r="B1940" s="25"/>
      <c r="C1940" s="25"/>
      <c r="D1940" s="25"/>
      <c r="E1940" s="25"/>
      <c r="F1940" s="25"/>
      <c r="G1940" s="25"/>
      <c r="H1940" s="25"/>
      <c r="I1940" s="25"/>
      <c r="J1940" s="25"/>
      <c r="K1940" s="25"/>
      <c r="L1940" s="25"/>
      <c r="M1940" s="22" t="s">
        <v>86</v>
      </c>
      <c r="N1940" s="23">
        <v>46083</v>
      </c>
      <c r="O1940" s="26" t="str">
        <f t="shared" si="93"/>
        <v/>
      </c>
      <c r="P1940" s="26" t="str">
        <f t="shared" si="94"/>
        <v/>
      </c>
      <c r="Q1940" s="26" t="str">
        <f t="shared" si="95"/>
        <v/>
      </c>
    </row>
    <row r="1941" spans="1:17" x14ac:dyDescent="0.3">
      <c r="A1941" s="35"/>
      <c r="B1941" s="25"/>
      <c r="C1941" s="25"/>
      <c r="D1941" s="25"/>
      <c r="E1941" s="25"/>
      <c r="F1941" s="25"/>
      <c r="G1941" s="25"/>
      <c r="H1941" s="25"/>
      <c r="I1941" s="25"/>
      <c r="J1941" s="25"/>
      <c r="K1941" s="25"/>
      <c r="L1941" s="25"/>
      <c r="M1941" s="22" t="s">
        <v>86</v>
      </c>
      <c r="N1941" s="23">
        <v>46083</v>
      </c>
      <c r="O1941" s="26" t="str">
        <f t="shared" si="93"/>
        <v/>
      </c>
      <c r="P1941" s="26" t="str">
        <f t="shared" si="94"/>
        <v/>
      </c>
      <c r="Q1941" s="26" t="str">
        <f t="shared" si="95"/>
        <v/>
      </c>
    </row>
    <row r="1942" spans="1:17" x14ac:dyDescent="0.3">
      <c r="A1942" s="35"/>
      <c r="B1942" s="25"/>
      <c r="C1942" s="25"/>
      <c r="D1942" s="25"/>
      <c r="E1942" s="25"/>
      <c r="F1942" s="25"/>
      <c r="G1942" s="25"/>
      <c r="H1942" s="25"/>
      <c r="I1942" s="25"/>
      <c r="J1942" s="25"/>
      <c r="K1942" s="25"/>
      <c r="L1942" s="25"/>
      <c r="M1942" s="22" t="s">
        <v>86</v>
      </c>
      <c r="N1942" s="23">
        <v>46083</v>
      </c>
      <c r="O1942" s="26" t="str">
        <f t="shared" si="93"/>
        <v/>
      </c>
      <c r="P1942" s="26" t="str">
        <f t="shared" si="94"/>
        <v/>
      </c>
      <c r="Q1942" s="26" t="str">
        <f t="shared" si="95"/>
        <v/>
      </c>
    </row>
    <row r="1943" spans="1:17" x14ac:dyDescent="0.3">
      <c r="A1943" s="35"/>
      <c r="B1943" s="25"/>
      <c r="C1943" s="25"/>
      <c r="D1943" s="25"/>
      <c r="E1943" s="25"/>
      <c r="F1943" s="25"/>
      <c r="G1943" s="25"/>
      <c r="H1943" s="25"/>
      <c r="I1943" s="25"/>
      <c r="J1943" s="25"/>
      <c r="K1943" s="25"/>
      <c r="L1943" s="25"/>
      <c r="M1943" s="22" t="s">
        <v>86</v>
      </c>
      <c r="N1943" s="23">
        <v>46083</v>
      </c>
      <c r="O1943" s="26" t="str">
        <f t="shared" si="93"/>
        <v/>
      </c>
      <c r="P1943" s="26" t="str">
        <f t="shared" si="94"/>
        <v/>
      </c>
      <c r="Q1943" s="26" t="str">
        <f t="shared" si="95"/>
        <v/>
      </c>
    </row>
    <row r="1944" spans="1:17" x14ac:dyDescent="0.3">
      <c r="A1944" s="35"/>
      <c r="B1944" s="25"/>
      <c r="C1944" s="25"/>
      <c r="D1944" s="25"/>
      <c r="E1944" s="25"/>
      <c r="F1944" s="25"/>
      <c r="G1944" s="25"/>
      <c r="H1944" s="25"/>
      <c r="I1944" s="25"/>
      <c r="J1944" s="25"/>
      <c r="K1944" s="25"/>
      <c r="L1944" s="25"/>
      <c r="M1944" s="22" t="s">
        <v>86</v>
      </c>
      <c r="N1944" s="23">
        <v>46083</v>
      </c>
      <c r="O1944" s="26" t="str">
        <f t="shared" si="93"/>
        <v/>
      </c>
      <c r="P1944" s="26" t="str">
        <f t="shared" si="94"/>
        <v/>
      </c>
      <c r="Q1944" s="26" t="str">
        <f t="shared" si="95"/>
        <v/>
      </c>
    </row>
    <row r="1945" spans="1:17" x14ac:dyDescent="0.3">
      <c r="A1945" s="35"/>
      <c r="B1945" s="25"/>
      <c r="C1945" s="25"/>
      <c r="D1945" s="25"/>
      <c r="E1945" s="25"/>
      <c r="F1945" s="25"/>
      <c r="G1945" s="25"/>
      <c r="H1945" s="25"/>
      <c r="I1945" s="25"/>
      <c r="J1945" s="25"/>
      <c r="K1945" s="25"/>
      <c r="L1945" s="25"/>
      <c r="M1945" s="22" t="s">
        <v>86</v>
      </c>
      <c r="N1945" s="23">
        <v>46083</v>
      </c>
      <c r="O1945" s="26" t="str">
        <f t="shared" si="93"/>
        <v/>
      </c>
      <c r="P1945" s="26" t="str">
        <f t="shared" si="94"/>
        <v/>
      </c>
      <c r="Q1945" s="26" t="str">
        <f t="shared" si="95"/>
        <v/>
      </c>
    </row>
    <row r="1946" spans="1:17" x14ac:dyDescent="0.3">
      <c r="A1946" s="35"/>
      <c r="B1946" s="25"/>
      <c r="C1946" s="25"/>
      <c r="D1946" s="25"/>
      <c r="E1946" s="25"/>
      <c r="F1946" s="25"/>
      <c r="G1946" s="25"/>
      <c r="H1946" s="25"/>
      <c r="I1946" s="25"/>
      <c r="J1946" s="25"/>
      <c r="K1946" s="25"/>
      <c r="L1946" s="25"/>
      <c r="M1946" s="22" t="s">
        <v>86</v>
      </c>
      <c r="N1946" s="23">
        <v>46083</v>
      </c>
      <c r="O1946" s="26" t="str">
        <f t="shared" si="93"/>
        <v/>
      </c>
      <c r="P1946" s="26" t="str">
        <f t="shared" si="94"/>
        <v/>
      </c>
      <c r="Q1946" s="26" t="str">
        <f t="shared" si="95"/>
        <v/>
      </c>
    </row>
  </sheetData>
  <phoneticPr fontId="2" type="noConversion"/>
  <conditionalFormatting sqref="A639:Q1946 B2:Q186 B187:G187 B188:Q637 I187:Q187">
    <cfRule type="expression" dxfId="39" priority="16">
      <formula>$O2="확인"</formula>
    </cfRule>
    <cfRule type="expression" dxfId="38" priority="17">
      <formula>$P2="중복"</formula>
    </cfRule>
    <cfRule type="expression" dxfId="37" priority="18">
      <formula>$Q2="확인"</formula>
    </cfRule>
  </conditionalFormatting>
  <conditionalFormatting sqref="H187">
    <cfRule type="expression" dxfId="36" priority="19">
      <formula>#REF!="확인"</formula>
    </cfRule>
    <cfRule type="expression" dxfId="35" priority="20">
      <formula>#REF!="중복"</formula>
    </cfRule>
    <cfRule type="expression" dxfId="34" priority="21">
      <formula>#REF!="확인"</formula>
    </cfRule>
  </conditionalFormatting>
  <conditionalFormatting sqref="A2:A637">
    <cfRule type="expression" dxfId="33" priority="13">
      <formula>$O2="확인"</formula>
    </cfRule>
    <cfRule type="expression" dxfId="32" priority="14">
      <formula>$P2="중복"</formula>
    </cfRule>
    <cfRule type="expression" dxfId="31" priority="15">
      <formula>$Q2="확인"</formula>
    </cfRule>
  </conditionalFormatting>
  <conditionalFormatting sqref="B638:F638 H638:Q638">
    <cfRule type="expression" dxfId="11" priority="10">
      <formula>$O638="확인"</formula>
    </cfRule>
    <cfRule type="expression" dxfId="10" priority="11">
      <formula>$P638="중복"</formula>
    </cfRule>
    <cfRule type="expression" dxfId="9" priority="12">
      <formula>$Q638="확인"</formula>
    </cfRule>
  </conditionalFormatting>
  <conditionalFormatting sqref="A638">
    <cfRule type="expression" dxfId="8" priority="7">
      <formula>$O638="확인"</formula>
    </cfRule>
    <cfRule type="expression" dxfId="7" priority="8">
      <formula>$P638="중복"</formula>
    </cfRule>
    <cfRule type="expression" dxfId="6" priority="9">
      <formula>$Q638="확인"</formula>
    </cfRule>
  </conditionalFormatting>
  <conditionalFormatting sqref="G638">
    <cfRule type="expression" dxfId="2" priority="1">
      <formula>$O638="확인"</formula>
    </cfRule>
    <cfRule type="expression" dxfId="1" priority="2">
      <formula>$P638="중복"</formula>
    </cfRule>
    <cfRule type="expression" dxfId="0" priority="3">
      <formula>$Q638="확인"</formula>
    </cfRule>
  </conditionalFormatting>
  <hyperlinks>
    <hyperlink ref="G638" r:id="rId1"/>
  </hyperlinks>
  <pageMargins left="0.7" right="0.7" top="0.75" bottom="0.75" header="0.3" footer="0.3"/>
  <pageSetup paperSize="9" orientation="portrait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2"/>
  <sheetViews>
    <sheetView workbookViewId="0">
      <pane ySplit="1" topLeftCell="A2" activePane="bottomLeft" state="frozen"/>
      <selection pane="bottomLeft" activeCell="B23" sqref="B23"/>
    </sheetView>
  </sheetViews>
  <sheetFormatPr defaultRowHeight="16.5" x14ac:dyDescent="0.3"/>
  <cols>
    <col min="1" max="1" width="19.125" customWidth="1"/>
    <col min="2" max="2" width="17.625" customWidth="1"/>
    <col min="3" max="3" width="12.25" customWidth="1"/>
    <col min="4" max="4" width="11.125" customWidth="1"/>
    <col min="5" max="5" width="12.625" customWidth="1"/>
  </cols>
  <sheetData>
    <row r="1" spans="1:5" x14ac:dyDescent="0.3">
      <c r="A1" s="42" t="s">
        <v>3018</v>
      </c>
      <c r="B1" s="42" t="s">
        <v>3019</v>
      </c>
      <c r="C1" s="42" t="s">
        <v>3020</v>
      </c>
      <c r="D1" s="42" t="s">
        <v>3021</v>
      </c>
      <c r="E1" s="42" t="s">
        <v>3022</v>
      </c>
    </row>
    <row r="2" spans="1:5" x14ac:dyDescent="0.3">
      <c r="A2" s="56"/>
      <c r="B2" s="56"/>
      <c r="C2" s="57"/>
      <c r="D2" s="57"/>
      <c r="E2" s="57"/>
    </row>
    <row r="3" spans="1:5" x14ac:dyDescent="0.3">
      <c r="A3" s="56"/>
      <c r="B3" s="56"/>
      <c r="C3" s="57"/>
      <c r="D3" s="57"/>
      <c r="E3" s="57"/>
    </row>
    <row r="4" spans="1:5" x14ac:dyDescent="0.3">
      <c r="A4" s="56"/>
      <c r="B4" s="56"/>
      <c r="C4" s="57"/>
      <c r="D4" s="57"/>
      <c r="E4" s="57"/>
    </row>
    <row r="5" spans="1:5" x14ac:dyDescent="0.3">
      <c r="A5" s="56"/>
      <c r="B5" s="56"/>
      <c r="C5" s="57"/>
      <c r="D5" s="57"/>
      <c r="E5" s="57"/>
    </row>
    <row r="6" spans="1:5" x14ac:dyDescent="0.3">
      <c r="A6" s="56"/>
      <c r="B6" s="56"/>
      <c r="C6" s="57"/>
      <c r="D6" s="57"/>
      <c r="E6" s="57"/>
    </row>
    <row r="7" spans="1:5" x14ac:dyDescent="0.3">
      <c r="A7" s="56"/>
      <c r="B7" s="56"/>
      <c r="C7" s="57"/>
      <c r="D7" s="57"/>
      <c r="E7" s="57"/>
    </row>
    <row r="8" spans="1:5" x14ac:dyDescent="0.3">
      <c r="A8" s="56"/>
      <c r="B8" s="56"/>
      <c r="C8" s="57"/>
      <c r="D8" s="57"/>
      <c r="E8" s="57"/>
    </row>
    <row r="9" spans="1:5" x14ac:dyDescent="0.3">
      <c r="A9" s="56"/>
      <c r="B9" s="56"/>
      <c r="C9" s="57"/>
      <c r="D9" s="57"/>
      <c r="E9" s="57"/>
    </row>
    <row r="10" spans="1:5" x14ac:dyDescent="0.3">
      <c r="A10" s="56"/>
      <c r="B10" s="56"/>
      <c r="C10" s="57"/>
      <c r="D10" s="57"/>
      <c r="E10" s="57"/>
    </row>
    <row r="11" spans="1:5" x14ac:dyDescent="0.3">
      <c r="A11" s="56"/>
      <c r="B11" s="56"/>
      <c r="C11" s="57"/>
      <c r="D11" s="57"/>
      <c r="E11" s="57"/>
    </row>
    <row r="12" spans="1:5" x14ac:dyDescent="0.3">
      <c r="A12" s="56"/>
      <c r="B12" s="56"/>
      <c r="C12" s="57"/>
      <c r="D12" s="57"/>
      <c r="E12" s="57"/>
    </row>
    <row r="13" spans="1:5" x14ac:dyDescent="0.3">
      <c r="A13" s="56"/>
      <c r="B13" s="56"/>
      <c r="C13" s="57"/>
      <c r="D13" s="57"/>
      <c r="E13" s="57"/>
    </row>
    <row r="14" spans="1:5" x14ac:dyDescent="0.3">
      <c r="A14" s="56"/>
      <c r="B14" s="56"/>
      <c r="C14" s="57"/>
      <c r="D14" s="57"/>
      <c r="E14" s="57"/>
    </row>
    <row r="15" spans="1:5" x14ac:dyDescent="0.3">
      <c r="A15" s="56"/>
      <c r="B15" s="56"/>
      <c r="C15" s="57"/>
      <c r="D15" s="57"/>
      <c r="E15" s="57"/>
    </row>
    <row r="16" spans="1:5" x14ac:dyDescent="0.3">
      <c r="A16" s="56"/>
      <c r="B16" s="56"/>
      <c r="C16" s="57"/>
      <c r="D16" s="57"/>
      <c r="E16" s="57"/>
    </row>
    <row r="17" spans="1:5" x14ac:dyDescent="0.3">
      <c r="A17" s="56"/>
      <c r="B17" s="56"/>
      <c r="C17" s="57"/>
      <c r="D17" s="57"/>
      <c r="E17" s="57"/>
    </row>
    <row r="18" spans="1:5" x14ac:dyDescent="0.3">
      <c r="A18" s="56"/>
      <c r="B18" s="56"/>
      <c r="C18" s="57"/>
      <c r="D18" s="57"/>
      <c r="E18" s="57"/>
    </row>
    <row r="19" spans="1:5" x14ac:dyDescent="0.3">
      <c r="A19" s="56"/>
      <c r="B19" s="56"/>
      <c r="C19" s="57"/>
      <c r="D19" s="57"/>
      <c r="E19" s="57"/>
    </row>
    <row r="20" spans="1:5" x14ac:dyDescent="0.3">
      <c r="A20" s="56"/>
      <c r="B20" s="56"/>
      <c r="C20" s="57"/>
      <c r="D20" s="57"/>
      <c r="E20" s="57"/>
    </row>
    <row r="21" spans="1:5" x14ac:dyDescent="0.3">
      <c r="A21" s="56"/>
      <c r="B21" s="56"/>
      <c r="C21" s="57"/>
      <c r="D21" s="57"/>
      <c r="E21" s="57"/>
    </row>
    <row r="22" spans="1:5" x14ac:dyDescent="0.3">
      <c r="A22" s="56"/>
      <c r="B22" s="56"/>
      <c r="C22" s="57"/>
      <c r="D22" s="57"/>
      <c r="E22" s="57"/>
    </row>
    <row r="23" spans="1:5" x14ac:dyDescent="0.3">
      <c r="A23" s="56"/>
      <c r="B23" s="56"/>
      <c r="C23" s="57"/>
      <c r="D23" s="57"/>
      <c r="E23" s="57"/>
    </row>
    <row r="24" spans="1:5" x14ac:dyDescent="0.3">
      <c r="A24" s="56"/>
      <c r="B24" s="56"/>
      <c r="C24" s="57"/>
      <c r="D24" s="57"/>
      <c r="E24" s="57"/>
    </row>
    <row r="25" spans="1:5" x14ac:dyDescent="0.3">
      <c r="A25" s="56"/>
      <c r="B25" s="56"/>
      <c r="C25" s="57"/>
      <c r="D25" s="57"/>
      <c r="E25" s="57"/>
    </row>
    <row r="26" spans="1:5" x14ac:dyDescent="0.3">
      <c r="A26" s="56"/>
      <c r="B26" s="56"/>
      <c r="C26" s="57"/>
      <c r="D26" s="57"/>
      <c r="E26" s="57"/>
    </row>
    <row r="27" spans="1:5" x14ac:dyDescent="0.3">
      <c r="A27" s="56"/>
      <c r="B27" s="56"/>
      <c r="C27" s="57"/>
      <c r="D27" s="57"/>
      <c r="E27" s="57"/>
    </row>
    <row r="28" spans="1:5" x14ac:dyDescent="0.3">
      <c r="A28" s="56"/>
      <c r="B28" s="56"/>
      <c r="C28" s="57"/>
      <c r="D28" s="57"/>
      <c r="E28" s="57"/>
    </row>
    <row r="29" spans="1:5" x14ac:dyDescent="0.3">
      <c r="A29" s="56"/>
      <c r="B29" s="56"/>
      <c r="C29" s="57"/>
      <c r="D29" s="57"/>
      <c r="E29" s="57"/>
    </row>
    <row r="30" spans="1:5" x14ac:dyDescent="0.3">
      <c r="A30" s="43"/>
      <c r="B30" s="43"/>
      <c r="C30" s="44"/>
      <c r="D30" s="44"/>
      <c r="E30" s="44"/>
    </row>
    <row r="31" spans="1:5" x14ac:dyDescent="0.3">
      <c r="A31" s="43"/>
      <c r="B31" s="43"/>
      <c r="C31" s="44"/>
      <c r="D31" s="44"/>
      <c r="E31" s="44"/>
    </row>
    <row r="32" spans="1:5" x14ac:dyDescent="0.3">
      <c r="A32" s="43"/>
      <c r="B32" s="43"/>
      <c r="C32" s="44"/>
      <c r="D32" s="44"/>
      <c r="E32" s="44"/>
    </row>
    <row r="33" spans="1:5" x14ac:dyDescent="0.3">
      <c r="A33" s="43"/>
      <c r="B33" s="43"/>
      <c r="C33" s="44"/>
      <c r="D33" s="44"/>
      <c r="E33" s="44"/>
    </row>
    <row r="34" spans="1:5" x14ac:dyDescent="0.3">
      <c r="A34" s="43"/>
      <c r="B34" s="43"/>
      <c r="C34" s="44"/>
      <c r="D34" s="44"/>
      <c r="E34" s="44"/>
    </row>
    <row r="35" spans="1:5" x14ac:dyDescent="0.3">
      <c r="A35" s="43"/>
      <c r="B35" s="43"/>
      <c r="C35" s="44"/>
      <c r="D35" s="44"/>
      <c r="E35" s="44"/>
    </row>
    <row r="36" spans="1:5" x14ac:dyDescent="0.3">
      <c r="A36" s="43"/>
      <c r="B36" s="43"/>
      <c r="C36" s="44"/>
      <c r="D36" s="44"/>
      <c r="E36" s="44"/>
    </row>
    <row r="37" spans="1:5" x14ac:dyDescent="0.3">
      <c r="A37" s="43"/>
      <c r="B37" s="43"/>
      <c r="C37" s="44"/>
      <c r="D37" s="44"/>
      <c r="E37" s="44"/>
    </row>
    <row r="38" spans="1:5" x14ac:dyDescent="0.3">
      <c r="A38" s="43"/>
      <c r="B38" s="43"/>
      <c r="C38" s="44"/>
      <c r="D38" s="44"/>
      <c r="E38" s="44"/>
    </row>
    <row r="39" spans="1:5" x14ac:dyDescent="0.3">
      <c r="A39" s="43"/>
      <c r="B39" s="43"/>
      <c r="C39" s="44"/>
      <c r="D39" s="44"/>
      <c r="E39" s="44"/>
    </row>
    <row r="40" spans="1:5" x14ac:dyDescent="0.3">
      <c r="A40" s="43"/>
      <c r="B40" s="43"/>
      <c r="C40" s="44"/>
      <c r="D40" s="44"/>
      <c r="E40" s="44"/>
    </row>
    <row r="41" spans="1:5" x14ac:dyDescent="0.3">
      <c r="A41" s="43"/>
      <c r="B41" s="43"/>
      <c r="C41" s="44"/>
      <c r="D41" s="44"/>
      <c r="E41" s="44"/>
    </row>
    <row r="42" spans="1:5" x14ac:dyDescent="0.3">
      <c r="A42" s="43"/>
      <c r="B42" s="43"/>
      <c r="C42" s="44"/>
      <c r="D42" s="44"/>
      <c r="E42" s="44"/>
    </row>
    <row r="43" spans="1:5" x14ac:dyDescent="0.3">
      <c r="A43" s="43"/>
      <c r="B43" s="43"/>
      <c r="C43" s="44"/>
      <c r="D43" s="44"/>
      <c r="E43" s="44"/>
    </row>
    <row r="44" spans="1:5" x14ac:dyDescent="0.3">
      <c r="A44" s="43"/>
      <c r="B44" s="43"/>
      <c r="C44" s="44"/>
      <c r="D44" s="44"/>
      <c r="E44" s="44"/>
    </row>
    <row r="45" spans="1:5" x14ac:dyDescent="0.3">
      <c r="A45" s="43"/>
      <c r="B45" s="43"/>
      <c r="C45" s="44"/>
      <c r="D45" s="44"/>
      <c r="E45" s="44"/>
    </row>
    <row r="46" spans="1:5" x14ac:dyDescent="0.3">
      <c r="A46" s="43"/>
      <c r="B46" s="43"/>
      <c r="C46" s="44"/>
      <c r="D46" s="44"/>
      <c r="E46" s="44"/>
    </row>
    <row r="47" spans="1:5" x14ac:dyDescent="0.3">
      <c r="A47" s="43"/>
      <c r="B47" s="43"/>
      <c r="C47" s="44"/>
      <c r="D47" s="44"/>
      <c r="E47" s="44"/>
    </row>
    <row r="48" spans="1:5" x14ac:dyDescent="0.3">
      <c r="A48" s="43"/>
      <c r="B48" s="43"/>
      <c r="C48" s="44"/>
      <c r="D48" s="44"/>
      <c r="E48" s="44"/>
    </row>
    <row r="49" spans="1:5" x14ac:dyDescent="0.3">
      <c r="A49" s="43"/>
      <c r="B49" s="43"/>
      <c r="C49" s="44"/>
      <c r="D49" s="44"/>
      <c r="E49" s="44"/>
    </row>
    <row r="50" spans="1:5" x14ac:dyDescent="0.3">
      <c r="A50" s="43"/>
      <c r="B50" s="43"/>
      <c r="C50" s="44"/>
      <c r="D50" s="44"/>
      <c r="E50" s="44"/>
    </row>
    <row r="51" spans="1:5" x14ac:dyDescent="0.3">
      <c r="A51" s="43"/>
      <c r="B51" s="43"/>
      <c r="C51" s="44"/>
      <c r="D51" s="44"/>
      <c r="E51" s="44"/>
    </row>
    <row r="52" spans="1:5" x14ac:dyDescent="0.3">
      <c r="A52" s="43"/>
      <c r="B52" s="43"/>
      <c r="C52" s="44"/>
      <c r="D52" s="44"/>
      <c r="E52" s="44"/>
    </row>
    <row r="53" spans="1:5" x14ac:dyDescent="0.3">
      <c r="A53" s="43"/>
      <c r="B53" s="43"/>
      <c r="C53" s="44"/>
      <c r="D53" s="44"/>
      <c r="E53" s="44"/>
    </row>
    <row r="54" spans="1:5" x14ac:dyDescent="0.3">
      <c r="A54" s="43"/>
      <c r="B54" s="43"/>
      <c r="C54" s="44"/>
      <c r="D54" s="44"/>
      <c r="E54" s="44"/>
    </row>
    <row r="55" spans="1:5" x14ac:dyDescent="0.3">
      <c r="A55" s="43"/>
      <c r="B55" s="43"/>
      <c r="C55" s="44"/>
      <c r="D55" s="44"/>
      <c r="E55" s="44"/>
    </row>
    <row r="56" spans="1:5" x14ac:dyDescent="0.3">
      <c r="A56" s="43"/>
      <c r="B56" s="43"/>
      <c r="C56" s="44"/>
      <c r="D56" s="44"/>
      <c r="E56" s="44"/>
    </row>
    <row r="57" spans="1:5" x14ac:dyDescent="0.3">
      <c r="A57" s="43"/>
      <c r="B57" s="43"/>
      <c r="C57" s="44"/>
      <c r="D57" s="44"/>
      <c r="E57" s="44"/>
    </row>
    <row r="58" spans="1:5" x14ac:dyDescent="0.3">
      <c r="A58" s="43"/>
      <c r="B58" s="43"/>
      <c r="C58" s="44"/>
      <c r="D58" s="44"/>
      <c r="E58" s="44"/>
    </row>
    <row r="59" spans="1:5" x14ac:dyDescent="0.3">
      <c r="A59" s="43"/>
      <c r="B59" s="43"/>
      <c r="C59" s="44"/>
      <c r="D59" s="44"/>
      <c r="E59" s="44"/>
    </row>
    <row r="60" spans="1:5" x14ac:dyDescent="0.3">
      <c r="A60" s="43"/>
      <c r="B60" s="43"/>
      <c r="C60" s="44"/>
      <c r="D60" s="44"/>
      <c r="E60" s="44"/>
    </row>
    <row r="61" spans="1:5" x14ac:dyDescent="0.3">
      <c r="A61" s="43"/>
      <c r="B61" s="43"/>
      <c r="C61" s="44"/>
      <c r="D61" s="44"/>
      <c r="E61" s="44"/>
    </row>
    <row r="62" spans="1:5" x14ac:dyDescent="0.3">
      <c r="A62" s="43"/>
      <c r="B62" s="43"/>
      <c r="C62" s="44"/>
      <c r="D62" s="44"/>
      <c r="E62" s="44"/>
    </row>
    <row r="63" spans="1:5" x14ac:dyDescent="0.3">
      <c r="A63" s="43"/>
      <c r="B63" s="43"/>
      <c r="C63" s="44"/>
      <c r="D63" s="44"/>
      <c r="E63" s="44"/>
    </row>
    <row r="64" spans="1:5" x14ac:dyDescent="0.3">
      <c r="A64" s="43"/>
      <c r="B64" s="43"/>
      <c r="C64" s="44"/>
      <c r="D64" s="44"/>
      <c r="E64" s="44"/>
    </row>
    <row r="65" spans="1:5" x14ac:dyDescent="0.3">
      <c r="A65" s="43"/>
      <c r="B65" s="43"/>
      <c r="C65" s="44"/>
      <c r="D65" s="44"/>
      <c r="E65" s="44"/>
    </row>
    <row r="66" spans="1:5" x14ac:dyDescent="0.3">
      <c r="A66" s="43"/>
      <c r="B66" s="43"/>
      <c r="C66" s="44"/>
      <c r="D66" s="44"/>
      <c r="E66" s="44"/>
    </row>
    <row r="67" spans="1:5" x14ac:dyDescent="0.3">
      <c r="A67" s="43"/>
      <c r="B67" s="43"/>
      <c r="C67" s="44"/>
      <c r="D67" s="44"/>
      <c r="E67" s="44"/>
    </row>
    <row r="68" spans="1:5" x14ac:dyDescent="0.3">
      <c r="A68" s="43"/>
      <c r="B68" s="43"/>
      <c r="C68" s="44"/>
      <c r="D68" s="44"/>
      <c r="E68" s="44"/>
    </row>
    <row r="69" spans="1:5" x14ac:dyDescent="0.3">
      <c r="A69" s="43"/>
      <c r="B69" s="43"/>
      <c r="C69" s="44"/>
      <c r="D69" s="44"/>
      <c r="E69" s="44"/>
    </row>
    <row r="70" spans="1:5" x14ac:dyDescent="0.3">
      <c r="A70" s="43"/>
      <c r="B70" s="43"/>
      <c r="C70" s="44"/>
      <c r="D70" s="44"/>
      <c r="E70" s="44"/>
    </row>
    <row r="71" spans="1:5" x14ac:dyDescent="0.3">
      <c r="A71" s="43"/>
      <c r="B71" s="43"/>
      <c r="C71" s="44"/>
      <c r="D71" s="44"/>
      <c r="E71" s="44"/>
    </row>
    <row r="72" spans="1:5" x14ac:dyDescent="0.3">
      <c r="A72" s="43"/>
      <c r="B72" s="43"/>
      <c r="C72" s="44"/>
      <c r="D72" s="44"/>
      <c r="E72" s="44"/>
    </row>
    <row r="73" spans="1:5" x14ac:dyDescent="0.3">
      <c r="A73" s="43"/>
      <c r="B73" s="43"/>
      <c r="C73" s="44"/>
      <c r="D73" s="44"/>
      <c r="E73" s="44"/>
    </row>
    <row r="74" spans="1:5" x14ac:dyDescent="0.3">
      <c r="A74" s="43"/>
      <c r="B74" s="43"/>
      <c r="C74" s="44"/>
      <c r="D74" s="44"/>
      <c r="E74" s="44"/>
    </row>
    <row r="75" spans="1:5" x14ac:dyDescent="0.3">
      <c r="A75" s="43"/>
      <c r="B75" s="43"/>
      <c r="C75" s="44"/>
      <c r="D75" s="44"/>
      <c r="E75" s="44"/>
    </row>
    <row r="76" spans="1:5" x14ac:dyDescent="0.3">
      <c r="A76" s="43"/>
      <c r="B76" s="43"/>
      <c r="C76" s="44"/>
      <c r="D76" s="44"/>
      <c r="E76" s="44"/>
    </row>
    <row r="77" spans="1:5" x14ac:dyDescent="0.3">
      <c r="A77" s="43"/>
      <c r="B77" s="43"/>
      <c r="C77" s="44"/>
      <c r="D77" s="44"/>
      <c r="E77" s="44"/>
    </row>
    <row r="78" spans="1:5" x14ac:dyDescent="0.3">
      <c r="A78" s="43"/>
      <c r="B78" s="43"/>
      <c r="C78" s="44"/>
      <c r="D78" s="44"/>
      <c r="E78" s="44"/>
    </row>
    <row r="79" spans="1:5" x14ac:dyDescent="0.3">
      <c r="A79" s="43"/>
      <c r="B79" s="43"/>
      <c r="C79" s="44"/>
      <c r="D79" s="44"/>
      <c r="E79" s="44"/>
    </row>
    <row r="80" spans="1:5" x14ac:dyDescent="0.3">
      <c r="A80" s="43"/>
      <c r="B80" s="43"/>
      <c r="C80" s="44"/>
      <c r="D80" s="44"/>
      <c r="E80" s="44"/>
    </row>
    <row r="81" spans="1:5" x14ac:dyDescent="0.3">
      <c r="A81" s="43"/>
      <c r="B81" s="43"/>
      <c r="C81" s="44"/>
      <c r="D81" s="44"/>
      <c r="E81" s="44"/>
    </row>
    <row r="82" spans="1:5" x14ac:dyDescent="0.3">
      <c r="A82" s="43"/>
      <c r="B82" s="43"/>
      <c r="C82" s="44"/>
      <c r="D82" s="44"/>
      <c r="E82" s="44"/>
    </row>
  </sheetData>
  <phoneticPr fontId="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엑셀업로드양식</vt:lpstr>
      <vt:lpstr>마스터시트</vt:lpstr>
      <vt:lpstr>파일1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MY</cp:lastModifiedBy>
  <dcterms:created xsi:type="dcterms:W3CDTF">2026-03-02T02:42:19Z</dcterms:created>
  <dcterms:modified xsi:type="dcterms:W3CDTF">2026-03-31T11:17:48Z</dcterms:modified>
</cp:coreProperties>
</file>